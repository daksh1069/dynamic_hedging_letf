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404040"/>
      <sz val="9"/>
    </font>
    <font>
      <name val="Arial"/>
      <b val="1"/>
      <color rgb="00000000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  <col width="1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" customWidth="1" min="16" max="16"/>
    <col width="13" customWidth="1" min="17" max="17"/>
    <col width="15" customWidth="1" min="18" max="18"/>
    <col width="15" customWidth="1" min="19" max="19"/>
    <col width="15" customWidth="1" min="20" max="20"/>
    <col width="15" customWidth="1" min="21" max="21"/>
    <col width="3" customWidth="1" min="22" max="22"/>
    <col width="13" customWidth="1" min="23" max="23"/>
    <col width="15" customWidth="1" min="24" max="24"/>
    <col width="15" customWidth="1" min="25" max="25"/>
  </cols>
  <sheetData>
    <row r="1" ht="26" customHeight="1">
      <c r="A1" s="1" t="inlineStr">
        <is>
          <t xml:space="preserve">  LETF Hedging Project — Benchmark Data  |  NCSU FIM 675</t>
        </is>
      </c>
    </row>
    <row r="2" ht="16" customHeight="1">
      <c r="A2" s="2" t="inlineStr">
        <is>
          <t xml:space="preserve">  Source: Bloomberg Terminal  |  Tickers: SPY, QQQ, VIX Index, USGG3M (3M T-Bill)  |  Range: 06/01/2020 to Present</t>
        </is>
      </c>
    </row>
    <row r="3" ht="7" customHeight="1"/>
    <row r="4" ht="20" customHeight="1">
      <c r="A4" s="3" t="inlineStr">
        <is>
          <t xml:space="preserve">  Parameters</t>
        </is>
      </c>
    </row>
    <row r="5" ht="18" customHeight="1">
      <c r="A5" s="4" t="inlineStr">
        <is>
          <t xml:space="preserve">  Start Date:</t>
        </is>
      </c>
      <c r="B5" s="5" t="inlineStr">
        <is>
          <t>06/01/2020</t>
        </is>
      </c>
      <c r="D5" s="6" t="inlineStr">
        <is>
          <t xml:space="preserve">  Edit yellow cells to change date range for ALL formulas below.</t>
        </is>
      </c>
    </row>
    <row r="6" ht="18" customHeight="1">
      <c r="A6" s="4" t="inlineStr">
        <is>
          <t xml:space="preserve">  End Date:</t>
        </is>
      </c>
      <c r="B6" s="5">
        <f>TEXT(TODAY(),"MM/DD/YYYY")</f>
        <v/>
      </c>
    </row>
    <row r="7" ht="10" customHeight="1"/>
    <row r="8" ht="20" customHeight="1">
      <c r="A8" s="3" t="inlineStr">
        <is>
          <t xml:space="preserve">  SPY US Equity — S&amp;P 500 ETF (Benchmark)</t>
        </is>
      </c>
      <c r="I8" s="3" t="inlineStr">
        <is>
          <t xml:space="preserve">  QQQ US Equity — Nasdaq-100 ETF</t>
        </is>
      </c>
      <c r="Q8" s="3" t="inlineStr">
        <is>
          <t xml:space="preserve">  VIX Index — Implied Volatility</t>
        </is>
      </c>
      <c r="W8" s="3" t="inlineStr">
        <is>
          <t xml:space="preserve">  USGG3M Index — Risk-Free Rate</t>
        </is>
      </c>
    </row>
    <row r="9" ht="30" customHeight="1">
      <c r="A9" s="7" t="inlineStr">
        <is>
          <t>Date</t>
        </is>
      </c>
      <c r="B9" s="7" t="inlineStr">
        <is>
          <t>Open</t>
        </is>
      </c>
      <c r="C9" s="7" t="inlineStr">
        <is>
          <t>High</t>
        </is>
      </c>
      <c r="D9" s="7" t="inlineStr">
        <is>
          <t>Low</t>
        </is>
      </c>
      <c r="E9" s="7" t="inlineStr">
        <is>
          <t>Close</t>
        </is>
      </c>
      <c r="F9" s="7" t="inlineStr">
        <is>
          <t>Total Return Idx</t>
        </is>
      </c>
      <c r="G9" s="7" t="inlineStr">
        <is>
          <t>Volume</t>
        </is>
      </c>
      <c r="I9" s="8" t="inlineStr">
        <is>
          <t>Date</t>
        </is>
      </c>
      <c r="J9" s="8" t="inlineStr">
        <is>
          <t>Open</t>
        </is>
      </c>
      <c r="K9" s="8" t="inlineStr">
        <is>
          <t>High</t>
        </is>
      </c>
      <c r="L9" s="8" t="inlineStr">
        <is>
          <t>Low</t>
        </is>
      </c>
      <c r="M9" s="8" t="inlineStr">
        <is>
          <t>Close</t>
        </is>
      </c>
      <c r="N9" s="8" t="inlineStr">
        <is>
          <t>Total Return Idx</t>
        </is>
      </c>
      <c r="O9" s="8" t="inlineStr">
        <is>
          <t>Volume</t>
        </is>
      </c>
      <c r="Q9" s="8" t="inlineStr">
        <is>
          <t>Date</t>
        </is>
      </c>
      <c r="R9" s="8" t="inlineStr">
        <is>
          <t>Open</t>
        </is>
      </c>
      <c r="S9" s="8" t="inlineStr">
        <is>
          <t>High</t>
        </is>
      </c>
      <c r="T9" s="8" t="inlineStr">
        <is>
          <t>Low</t>
        </is>
      </c>
      <c r="U9" s="8" t="inlineStr">
        <is>
          <t>VIX Close</t>
        </is>
      </c>
      <c r="W9" s="7" t="inlineStr">
        <is>
          <t>Date</t>
        </is>
      </c>
      <c r="X9" s="7" t="inlineStr">
        <is>
          <t>3M T-Bill Yield (%)</t>
        </is>
      </c>
      <c r="Y9" s="7" t="inlineStr"/>
    </row>
    <row r="10" ht="16" customHeight="1">
      <c r="A10" s="9">
        <f>BDH("SPY US Equity",{"PX_OPEN","PX_HIGH","PX_LOW","PX_LAST","TOT_RETURN_INDEX_GROSS_DVDS","PX_VOLUME"},$B$6,$B$7,"Dts=S","Dir=V","Per=CD","Days=W","CDR=5D")</f>
        <v/>
      </c>
      <c r="I10" s="9">
        <f>BDH("QQQ US Equity",{"PX_OPEN","PX_HIGH","PX_LOW","PX_LAST","TOT_RETURN_INDEX_GROSS_DVDS","PX_VOLUME"},$B$6,$B$7,"Dts=S","Dir=V","Per=CD","Days=W","CDR=5D")</f>
        <v/>
      </c>
      <c r="Q10" s="9">
        <f>BDH("VIX Index",{"PX_OPEN","PX_HIGH","PX_LOW","PX_LAST"},$B$6,$B$7,"Dts=S","Dir=V","Per=CD","Days=W","CDR=5D")</f>
        <v/>
      </c>
      <c r="W10" s="9">
        <f>BDH("USGG3M Index","PX_LAST",$B$6,$B$7,"Dts=S","Dir=V","Per=CD","Days=W","CDR=5D")</f>
        <v/>
      </c>
    </row>
    <row r="11" ht="16" customHeight="1">
      <c r="A11" s="6" t="inlineStr">
        <is>
          <t xml:space="preserve">  Data spills ~1,500 rows downward. Do not insert rows below row above.</t>
        </is>
      </c>
      <c r="I11" s="6" t="inlineStr">
        <is>
          <t xml:space="preserve">  Data spills ~1,500 rows downward.</t>
        </is>
      </c>
      <c r="Q11" s="6" t="inlineStr">
        <is>
          <t xml:space="preserve">  VIX daily OHLC.</t>
        </is>
      </c>
      <c r="W11" s="6" t="inlineStr">
        <is>
          <t xml:space="preserve">  US 3M T-Bill yield — risk-free rate proxy.</t>
        </is>
      </c>
    </row>
  </sheetData>
  <mergeCells count="12">
    <mergeCell ref="Q8:U8"/>
    <mergeCell ref="I8:O8"/>
    <mergeCell ref="A1:Z1"/>
    <mergeCell ref="A8:G8"/>
    <mergeCell ref="Q11:U11"/>
    <mergeCell ref="W8:Y8"/>
    <mergeCell ref="A4:F4"/>
    <mergeCell ref="A2:Z2"/>
    <mergeCell ref="W11:Y11"/>
    <mergeCell ref="A11:G11"/>
    <mergeCell ref="D5:Z5"/>
    <mergeCell ref="I11:O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2026-06-06T00:46:05Z</dcterms:created>
  <dcterms:modified xmlns:dcterms="http://purl.org/dc/terms/" xmlns:xsi="http://www.w3.org/2001/XMLSchema-instance" xsi:type="dcterms:W3CDTF">2026-06-06T00:46:05Z</dcterms:modified>
</cp:coreProperties>
</file>