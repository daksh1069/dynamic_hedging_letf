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STU" sheetId="2" state="visible" r:id="rId2"/>
    <sheet xmlns:r="http://schemas.openxmlformats.org/officeDocument/2006/relationships" name="SMCX" sheetId="3" state="visible" r:id="rId3"/>
    <sheet xmlns:r="http://schemas.openxmlformats.org/officeDocument/2006/relationships" name="TSLT" sheetId="4" state="visible" r:id="rId4"/>
    <sheet xmlns:r="http://schemas.openxmlformats.org/officeDocument/2006/relationships" name="CONL" sheetId="5" state="visible" r:id="rId5"/>
    <sheet xmlns:r="http://schemas.openxmlformats.org/officeDocument/2006/relationships" name="PLTU" sheetId="6" state="visible" r:id="rId6"/>
    <sheet xmlns:r="http://schemas.openxmlformats.org/officeDocument/2006/relationships" name="MUU" sheetId="7" state="visible" r:id="rId7"/>
    <sheet xmlns:r="http://schemas.openxmlformats.org/officeDocument/2006/relationships" name="ETHT" sheetId="8" state="visible" r:id="rId8"/>
    <sheet xmlns:r="http://schemas.openxmlformats.org/officeDocument/2006/relationships" name="BOIL" sheetId="9" state="visible" r:id="rId9"/>
    <sheet xmlns:r="http://schemas.openxmlformats.org/officeDocument/2006/relationships" name="SOXL" sheetId="10" state="visible" r:id="rId10"/>
    <sheet xmlns:r="http://schemas.openxmlformats.org/officeDocument/2006/relationships" name="AVL" sheetId="11" state="visible" r:id="rId11"/>
    <sheet xmlns:r="http://schemas.openxmlformats.org/officeDocument/2006/relationships" name="NVOX" sheetId="12" state="visible" r:id="rId12"/>
    <sheet xmlns:r="http://schemas.openxmlformats.org/officeDocument/2006/relationships" name="NVDL" sheetId="13" state="visible" r:id="rId13"/>
    <sheet xmlns:r="http://schemas.openxmlformats.org/officeDocument/2006/relationships" name="MSO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00000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404040"/>
      <sz val="9"/>
    </font>
    <font>
      <name val="Arial"/>
      <b val="1"/>
      <i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/>
    </xf>
    <xf numFmtId="0" fontId="1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5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" t="inlineStr">
        <is>
          <t xml:space="preserve">  Excel 2 — LETF Data  |  Sheet Index</t>
        </is>
      </c>
    </row>
    <row r="2" ht="16" customHeight="1">
      <c r="A2" s="2" t="inlineStr">
        <is>
          <t xml:space="preserve">  One sheet per LETF ticker. Each sheet contains static metadata (BDP) and historical daily data (BDH).</t>
        </is>
      </c>
    </row>
    <row r="3" ht="28" customHeight="1">
      <c r="A3" s="3" t="inlineStr">
        <is>
          <t>#</t>
        </is>
      </c>
      <c r="B3" s="3" t="inlineStr">
        <is>
          <t>LETF</t>
        </is>
      </c>
      <c r="C3" s="3" t="inlineStr">
        <is>
          <t>Full Name</t>
        </is>
      </c>
      <c r="D3" s="3" t="inlineStr">
        <is>
          <t>Leverage</t>
        </is>
      </c>
      <c r="E3" s="3" t="inlineStr">
        <is>
          <t>Underlying</t>
        </is>
      </c>
      <c r="F3" s="3" t="inlineStr">
        <is>
          <t>Asset Class</t>
        </is>
      </c>
      <c r="G3" s="3" t="inlineStr">
        <is>
          <t>Flag</t>
        </is>
      </c>
    </row>
    <row r="4" ht="18" customHeight="1">
      <c r="A4" s="4" t="n">
        <v>1</v>
      </c>
      <c r="B4" s="4" t="inlineStr">
        <is>
          <t>MSTU</t>
        </is>
      </c>
      <c r="C4" s="4" t="inlineStr">
        <is>
          <t>T-Rex 2X Long MSTR</t>
        </is>
      </c>
      <c r="D4" s="4" t="inlineStr">
        <is>
          <t>2x</t>
        </is>
      </c>
      <c r="E4" s="4" t="inlineStr">
        <is>
          <t>MSTR</t>
        </is>
      </c>
      <c r="F4" s="4" t="inlineStr">
        <is>
          <t>Equity</t>
        </is>
      </c>
      <c r="G4" s="4" t="inlineStr"/>
    </row>
    <row r="5" ht="18" customHeight="1">
      <c r="A5" s="4" t="n">
        <v>2</v>
      </c>
      <c r="B5" s="4" t="inlineStr">
        <is>
          <t>SMCX</t>
        </is>
      </c>
      <c r="C5" s="4" t="inlineStr">
        <is>
          <t>Defiance 2x Long SMCI</t>
        </is>
      </c>
      <c r="D5" s="4" t="inlineStr">
        <is>
          <t>2x</t>
        </is>
      </c>
      <c r="E5" s="4" t="inlineStr">
        <is>
          <t>SMCI</t>
        </is>
      </c>
      <c r="F5" s="4" t="inlineStr">
        <is>
          <t>Equity</t>
        </is>
      </c>
      <c r="G5" s="4" t="inlineStr"/>
    </row>
    <row r="6" ht="18" customHeight="1">
      <c r="A6" s="4" t="n">
        <v>3</v>
      </c>
      <c r="B6" s="4" t="inlineStr">
        <is>
          <t>TSLT</t>
        </is>
      </c>
      <c r="C6" s="4" t="inlineStr">
        <is>
          <t>T-Rex 2X Long TSLA</t>
        </is>
      </c>
      <c r="D6" s="4" t="inlineStr">
        <is>
          <t>2x</t>
        </is>
      </c>
      <c r="E6" s="4" t="inlineStr">
        <is>
          <t>TSLA</t>
        </is>
      </c>
      <c r="F6" s="4" t="inlineStr">
        <is>
          <t>Equity</t>
        </is>
      </c>
      <c r="G6" s="4" t="inlineStr"/>
    </row>
    <row r="7" ht="18" customHeight="1">
      <c r="A7" s="4" t="n">
        <v>4</v>
      </c>
      <c r="B7" s="4" t="inlineStr">
        <is>
          <t>CONL</t>
        </is>
      </c>
      <c r="C7" s="4" t="inlineStr">
        <is>
          <t>GraniteShares 2x Long COIN</t>
        </is>
      </c>
      <c r="D7" s="4" t="inlineStr">
        <is>
          <t>2x</t>
        </is>
      </c>
      <c r="E7" s="4" t="inlineStr">
        <is>
          <t>COIN</t>
        </is>
      </c>
      <c r="F7" s="4" t="inlineStr">
        <is>
          <t>Equity</t>
        </is>
      </c>
      <c r="G7" s="4" t="inlineStr"/>
    </row>
    <row r="8" ht="18" customHeight="1">
      <c r="A8" s="4" t="n">
        <v>5</v>
      </c>
      <c r="B8" s="4" t="inlineStr">
        <is>
          <t>PLTU</t>
        </is>
      </c>
      <c r="C8" s="4" t="inlineStr">
        <is>
          <t>Direxion Daily PLTR Bull 2X</t>
        </is>
      </c>
      <c r="D8" s="4" t="inlineStr">
        <is>
          <t>2x</t>
        </is>
      </c>
      <c r="E8" s="4" t="inlineStr">
        <is>
          <t>PLTR</t>
        </is>
      </c>
      <c r="F8" s="4" t="inlineStr">
        <is>
          <t>Equity</t>
        </is>
      </c>
      <c r="G8" s="4" t="inlineStr"/>
    </row>
    <row r="9" ht="18" customHeight="1">
      <c r="A9" s="4" t="n">
        <v>6</v>
      </c>
      <c r="B9" s="4" t="inlineStr">
        <is>
          <t>MUU</t>
        </is>
      </c>
      <c r="C9" s="4" t="inlineStr">
        <is>
          <t>Direxion Daily MU Bull 2X</t>
        </is>
      </c>
      <c r="D9" s="4" t="inlineStr">
        <is>
          <t>2x</t>
        </is>
      </c>
      <c r="E9" s="4" t="inlineStr">
        <is>
          <t>MU</t>
        </is>
      </c>
      <c r="F9" s="4" t="inlineStr">
        <is>
          <t>Equity</t>
        </is>
      </c>
      <c r="G9" s="4" t="inlineStr"/>
    </row>
    <row r="10" ht="18" customHeight="1">
      <c r="A10" s="4" t="n">
        <v>7</v>
      </c>
      <c r="B10" s="4" t="inlineStr">
        <is>
          <t>ETHT</t>
        </is>
      </c>
      <c r="C10" s="4" t="inlineStr">
        <is>
          <t>ProShares Ultra Ether ETF</t>
        </is>
      </c>
      <c r="D10" s="4" t="inlineStr">
        <is>
          <t>2x</t>
        </is>
      </c>
      <c r="E10" s="4" t="inlineStr">
        <is>
          <t>ETH</t>
        </is>
      </c>
      <c r="F10" s="4" t="inlineStr">
        <is>
          <t>Crypto</t>
        </is>
      </c>
      <c r="G10" s="5" t="inlineStr">
        <is>
          <t>⚑ flagged</t>
        </is>
      </c>
    </row>
    <row r="11" ht="18" customHeight="1">
      <c r="A11" s="4" t="n">
        <v>8</v>
      </c>
      <c r="B11" s="4" t="inlineStr">
        <is>
          <t>BOIL</t>
        </is>
      </c>
      <c r="C11" s="4" t="inlineStr">
        <is>
          <t>ProShares Ultra Natural Gas</t>
        </is>
      </c>
      <c r="D11" s="4" t="inlineStr">
        <is>
          <t>2x</t>
        </is>
      </c>
      <c r="E11" s="4" t="inlineStr">
        <is>
          <t>NG1</t>
        </is>
      </c>
      <c r="F11" s="4" t="inlineStr">
        <is>
          <t>Commodity</t>
        </is>
      </c>
      <c r="G11" s="5" t="inlineStr">
        <is>
          <t>⚑ flagged</t>
        </is>
      </c>
    </row>
    <row r="12" ht="18" customHeight="1">
      <c r="A12" s="4" t="n">
        <v>9</v>
      </c>
      <c r="B12" s="4" t="inlineStr">
        <is>
          <t>SOXL</t>
        </is>
      </c>
      <c r="C12" s="4" t="inlineStr">
        <is>
          <t>Direxion Daily Semi Bull 3X</t>
        </is>
      </c>
      <c r="D12" s="4" t="inlineStr">
        <is>
          <t>3x</t>
        </is>
      </c>
      <c r="E12" s="4" t="inlineStr">
        <is>
          <t>SOXX</t>
        </is>
      </c>
      <c r="F12" s="4" t="inlineStr">
        <is>
          <t>Equity</t>
        </is>
      </c>
      <c r="G12" s="4" t="inlineStr"/>
    </row>
    <row r="13" ht="18" customHeight="1">
      <c r="A13" s="4" t="n">
        <v>10</v>
      </c>
      <c r="B13" s="4" t="inlineStr">
        <is>
          <t>AVL</t>
        </is>
      </c>
      <c r="C13" s="4" t="inlineStr">
        <is>
          <t>Direxion Daily AVGO Bull 2X</t>
        </is>
      </c>
      <c r="D13" s="4" t="inlineStr">
        <is>
          <t>2x</t>
        </is>
      </c>
      <c r="E13" s="4" t="inlineStr">
        <is>
          <t>AVGO</t>
        </is>
      </c>
      <c r="F13" s="4" t="inlineStr">
        <is>
          <t>Equity</t>
        </is>
      </c>
      <c r="G13" s="4" t="inlineStr"/>
    </row>
    <row r="14" ht="18" customHeight="1">
      <c r="A14" s="4" t="n">
        <v>11</v>
      </c>
      <c r="B14" s="4" t="inlineStr">
        <is>
          <t>NVOX</t>
        </is>
      </c>
      <c r="C14" s="4" t="inlineStr">
        <is>
          <t>Defiance 2X Long NVO</t>
        </is>
      </c>
      <c r="D14" s="4" t="inlineStr">
        <is>
          <t>2x</t>
        </is>
      </c>
      <c r="E14" s="4" t="inlineStr">
        <is>
          <t>NVO</t>
        </is>
      </c>
      <c r="F14" s="4" t="inlineStr">
        <is>
          <t>Equity</t>
        </is>
      </c>
      <c r="G14" s="4" t="inlineStr"/>
    </row>
    <row r="15" ht="18" customHeight="1">
      <c r="A15" s="4" t="n">
        <v>12</v>
      </c>
      <c r="B15" s="4" t="inlineStr">
        <is>
          <t>NVDL</t>
        </is>
      </c>
      <c r="C15" s="4" t="inlineStr">
        <is>
          <t>GraniteShares 2x Long NVDA</t>
        </is>
      </c>
      <c r="D15" s="4" t="inlineStr">
        <is>
          <t>2x</t>
        </is>
      </c>
      <c r="E15" s="4" t="inlineStr">
        <is>
          <t>NVDA</t>
        </is>
      </c>
      <c r="F15" s="4" t="inlineStr">
        <is>
          <t>Equity</t>
        </is>
      </c>
      <c r="G15" s="4" t="inlineStr"/>
    </row>
    <row r="16" ht="18" customHeight="1">
      <c r="A16" s="4" t="n">
        <v>13</v>
      </c>
      <c r="B16" s="4" t="inlineStr">
        <is>
          <t>MSOX</t>
        </is>
      </c>
      <c r="C16" s="4" t="inlineStr">
        <is>
          <t>AdvisorShares MSOS Daily Leveraged</t>
        </is>
      </c>
      <c r="D16" s="4" t="inlineStr">
        <is>
          <t>2x</t>
        </is>
      </c>
      <c r="E16" s="4" t="inlineStr">
        <is>
          <t>MSOS</t>
        </is>
      </c>
      <c r="F16" s="4" t="inlineStr">
        <is>
          <t>Equity</t>
        </is>
      </c>
      <c r="G16" s="5" t="inlineStr">
        <is>
          <t>⚑ flagged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MSTU  |  T-Rex 2X Long MSTR</t>
        </is>
      </c>
    </row>
    <row r="2" ht="16" customHeight="1">
      <c r="A2" s="2" t="inlineStr">
        <is>
          <t xml:space="preserve">  Bloomberg: MSTU US Equity  |  Leverage: 2x  |  Underlying: MSTR  |  Asset Class: Equity</t>
        </is>
      </c>
    </row>
    <row r="3" ht="7" customHeight="1"/>
    <row r="4" ht="20" customHeight="1">
      <c r="A4" s="6" t="inlineStr">
        <is>
          <t xml:space="preserve">  Static Metadata — BDP (Current Values, auto-refreshes on open)</t>
        </is>
      </c>
    </row>
    <row r="5" ht="18" customHeight="1">
      <c r="A5" s="7" t="inlineStr">
        <is>
          <t xml:space="preserve">  Expense Ratio (%):</t>
        </is>
      </c>
      <c r="B5" s="8">
        <f>BDP("MSTU US Equity","FUND_EXPENSE_RATIO")</f>
        <v/>
      </c>
    </row>
    <row r="6" ht="18" customHeight="1">
      <c r="A6" s="7" t="inlineStr">
        <is>
          <t xml:space="preserve">  Leverage Factor:</t>
        </is>
      </c>
      <c r="B6" s="8">
        <f>BDP("MSTU US Equity","FUND_LEVERAGE_FACTOR")</f>
        <v/>
      </c>
    </row>
    <row r="7" ht="18" customHeight="1">
      <c r="A7" s="7" t="inlineStr">
        <is>
          <t xml:space="preserve">  Inception Date:</t>
        </is>
      </c>
      <c r="B7" s="8">
        <f>BDP("MSTU US Equity","FUND_INCEPT_DT")</f>
        <v/>
      </c>
    </row>
    <row r="8" ht="18" customHeight="1">
      <c r="A8" s="7" t="inlineStr">
        <is>
          <t xml:space="preserve">  Benchmark Index:</t>
        </is>
      </c>
      <c r="B8" s="8">
        <f>BDP("MSTU US Equity","FUND_BENCHMARK_INDEX")</f>
        <v/>
      </c>
    </row>
    <row r="9" ht="18" customHeight="1">
      <c r="A9" s="7" t="inlineStr">
        <is>
          <t xml:space="preserve">  Issuer:</t>
        </is>
      </c>
      <c r="B9" s="8">
        <f>BDP("MSTU US Equity","FUND_ASSET_CLASS_FOCUS")</f>
        <v/>
      </c>
    </row>
    <row r="10" ht="7" customHeight="1"/>
    <row r="11" ht="20" customHeight="1">
      <c r="A11" s="6" t="inlineStr">
        <is>
          <t xml:space="preserve">  Parameters — Historical Data Range</t>
        </is>
      </c>
    </row>
    <row r="12" ht="18" customHeight="1">
      <c r="A12" s="9" t="inlineStr">
        <is>
          <t xml:space="preserve">  Bloomberg Ticker:</t>
        </is>
      </c>
      <c r="B12" s="10" t="inlineStr">
        <is>
          <t>MSTU US Equity</t>
        </is>
      </c>
    </row>
    <row r="13" ht="18" customHeight="1">
      <c r="A13" s="9" t="inlineStr">
        <is>
          <t xml:space="preserve">  Start Date:</t>
        </is>
      </c>
      <c r="B13" s="10" t="inlineStr">
        <is>
          <t>06/01/2020</t>
        </is>
      </c>
      <c r="D13" s="11" t="inlineStr">
        <is>
          <t xml:space="preserve">  Edit to change start date. Bloomberg returns max available history if inception post start-date.</t>
        </is>
      </c>
    </row>
    <row r="14" ht="18" customHeight="1">
      <c r="A14" s="9" t="inlineStr">
        <is>
          <t xml:space="preserve">  End Date:</t>
        </is>
      </c>
      <c r="B14" s="10">
        <f>TEXT(TODAY(),"MM/DD/YYYY")</f>
        <v/>
      </c>
    </row>
    <row r="15" ht="7" customHeight="1"/>
    <row r="16" ht="20" customHeight="1">
      <c r="A16" s="6" t="inlineStr">
        <is>
          <t xml:space="preserve">  Historical Daily Data — BDH (spills downward, ~1,500 rows for full range)</t>
        </is>
      </c>
    </row>
    <row r="17" ht="22" customHeight="1">
      <c r="A17" s="12" t="inlineStr">
        <is>
          <t xml:space="preserve">  Formula auto-populates on Bloomberg Terminal. Fields: Open, High, Low, Close, Total Return Index, Volume, NAV, AUM, Shares Outstanding. Source: Bloomberg Terminal | MSTU US Equity</t>
        </is>
      </c>
    </row>
    <row r="18" ht="30" customHeight="1">
      <c r="A18" s="13" t="inlineStr">
        <is>
          <t>Date</t>
        </is>
      </c>
      <c r="B18" s="13" t="inlineStr">
        <is>
          <t>Open</t>
        </is>
      </c>
      <c r="C18" s="13" t="inlineStr">
        <is>
          <t>High</t>
        </is>
      </c>
      <c r="D18" s="13" t="inlineStr">
        <is>
          <t>Low</t>
        </is>
      </c>
      <c r="E18" s="13" t="inlineStr">
        <is>
          <t>Close</t>
        </is>
      </c>
      <c r="F18" s="13" t="inlineStr">
        <is>
          <t>Total Return Idx</t>
        </is>
      </c>
      <c r="G18" s="13" t="inlineStr">
        <is>
          <t>Volume</t>
        </is>
      </c>
      <c r="H18" s="13" t="inlineStr">
        <is>
          <t>NAV</t>
        </is>
      </c>
      <c r="I18" s="13" t="inlineStr">
        <is>
          <t>AUM ($M)</t>
        </is>
      </c>
      <c r="J18" s="13" t="inlineStr">
        <is>
          <t>Shares Out</t>
        </is>
      </c>
    </row>
    <row r="19" ht="16" customHeight="1">
      <c r="A19" s="14">
        <f>BDH("MSTU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SMCX  |  Defiance 2x Long SMCI</t>
        </is>
      </c>
    </row>
    <row r="2" ht="16" customHeight="1">
      <c r="A2" s="2" t="inlineStr">
        <is>
          <t xml:space="preserve">  Bloomberg: SMCX US Equity  |  Leverage: 2x  |  Underlying: SMCI  |  Asset Class: Equity</t>
        </is>
      </c>
    </row>
    <row r="3" ht="7" customHeight="1"/>
    <row r="4" ht="20" customHeight="1">
      <c r="A4" s="6" t="inlineStr">
        <is>
          <t xml:space="preserve">  Static Metadata — BDP (Current Values, auto-refreshes on open)</t>
        </is>
      </c>
    </row>
    <row r="5" ht="18" customHeight="1">
      <c r="A5" s="7" t="inlineStr">
        <is>
          <t xml:space="preserve">  Expense Ratio (%):</t>
        </is>
      </c>
      <c r="B5" s="8">
        <f>BDP("SMCX US Equity","FUND_EXPENSE_RATIO")</f>
        <v/>
      </c>
    </row>
    <row r="6" ht="18" customHeight="1">
      <c r="A6" s="7" t="inlineStr">
        <is>
          <t xml:space="preserve">  Leverage Factor:</t>
        </is>
      </c>
      <c r="B6" s="8">
        <f>BDP("SMCX US Equity","FUND_LEVERAGE_FACTOR")</f>
        <v/>
      </c>
    </row>
    <row r="7" ht="18" customHeight="1">
      <c r="A7" s="7" t="inlineStr">
        <is>
          <t xml:space="preserve">  Inception Date:</t>
        </is>
      </c>
      <c r="B7" s="8">
        <f>BDP("SMCX US Equity","FUND_INCEPT_DT")</f>
        <v/>
      </c>
    </row>
    <row r="8" ht="18" customHeight="1">
      <c r="A8" s="7" t="inlineStr">
        <is>
          <t xml:space="preserve">  Benchmark Index:</t>
        </is>
      </c>
      <c r="B8" s="8">
        <f>BDP("SMCX US Equity","FUND_BENCHMARK_INDEX")</f>
        <v/>
      </c>
    </row>
    <row r="9" ht="18" customHeight="1">
      <c r="A9" s="7" t="inlineStr">
        <is>
          <t xml:space="preserve">  Issuer:</t>
        </is>
      </c>
      <c r="B9" s="8">
        <f>BDP("SMCX US Equity","FUND_ASSET_CLASS_FOCUS")</f>
        <v/>
      </c>
    </row>
    <row r="10" ht="7" customHeight="1"/>
    <row r="11" ht="20" customHeight="1">
      <c r="A11" s="6" t="inlineStr">
        <is>
          <t xml:space="preserve">  Parameters — Historical Data Range</t>
        </is>
      </c>
    </row>
    <row r="12" ht="18" customHeight="1">
      <c r="A12" s="9" t="inlineStr">
        <is>
          <t xml:space="preserve">  Bloomberg Ticker:</t>
        </is>
      </c>
      <c r="B12" s="10" t="inlineStr">
        <is>
          <t>SMCX US Equity</t>
        </is>
      </c>
    </row>
    <row r="13" ht="18" customHeight="1">
      <c r="A13" s="9" t="inlineStr">
        <is>
          <t xml:space="preserve">  Start Date:</t>
        </is>
      </c>
      <c r="B13" s="10" t="inlineStr">
        <is>
          <t>06/01/2020</t>
        </is>
      </c>
      <c r="D13" s="11" t="inlineStr">
        <is>
          <t xml:space="preserve">  Edit to change start date. Bloomberg returns max available history if inception post start-date.</t>
        </is>
      </c>
    </row>
    <row r="14" ht="18" customHeight="1">
      <c r="A14" s="9" t="inlineStr">
        <is>
          <t xml:space="preserve">  End Date:</t>
        </is>
      </c>
      <c r="B14" s="10">
        <f>TEXT(TODAY(),"MM/DD/YYYY")</f>
        <v/>
      </c>
    </row>
    <row r="15" ht="7" customHeight="1"/>
    <row r="16" ht="20" customHeight="1">
      <c r="A16" s="6" t="inlineStr">
        <is>
          <t xml:space="preserve">  Historical Daily Data — BDH (spills downward, ~1,500 rows for full range)</t>
        </is>
      </c>
    </row>
    <row r="17" ht="22" customHeight="1">
      <c r="A17" s="12" t="inlineStr">
        <is>
          <t xml:space="preserve">  Formula auto-populates on Bloomberg Terminal. Fields: Open, High, Low, Close, Total Return Index, Volume, NAV, AUM, Shares Outstanding. Source: Bloomberg Terminal | SMCX US Equity</t>
        </is>
      </c>
    </row>
    <row r="18" ht="30" customHeight="1">
      <c r="A18" s="13" t="inlineStr">
        <is>
          <t>Date</t>
        </is>
      </c>
      <c r="B18" s="13" t="inlineStr">
        <is>
          <t>Open</t>
        </is>
      </c>
      <c r="C18" s="13" t="inlineStr">
        <is>
          <t>High</t>
        </is>
      </c>
      <c r="D18" s="13" t="inlineStr">
        <is>
          <t>Low</t>
        </is>
      </c>
      <c r="E18" s="13" t="inlineStr">
        <is>
          <t>Close</t>
        </is>
      </c>
      <c r="F18" s="13" t="inlineStr">
        <is>
          <t>Total Return Idx</t>
        </is>
      </c>
      <c r="G18" s="13" t="inlineStr">
        <is>
          <t>Volume</t>
        </is>
      </c>
      <c r="H18" s="13" t="inlineStr">
        <is>
          <t>NAV</t>
        </is>
      </c>
      <c r="I18" s="13" t="inlineStr">
        <is>
          <t>AUM ($M)</t>
        </is>
      </c>
      <c r="J18" s="13" t="inlineStr">
        <is>
          <t>Shares Out</t>
        </is>
      </c>
    </row>
    <row r="19" ht="16" customHeight="1">
      <c r="A19" s="14">
        <f>BDH("SMCX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TSLT  |  T-Rex 2X Long TSLA</t>
        </is>
      </c>
    </row>
    <row r="2" ht="16" customHeight="1">
      <c r="A2" s="2" t="inlineStr">
        <is>
          <t xml:space="preserve">  Bloomberg: TSLT US Equity  |  Leverage: 2x  |  Underlying: TSLA  |  Asset Class: Equity</t>
        </is>
      </c>
    </row>
    <row r="3" ht="7" customHeight="1"/>
    <row r="4" ht="20" customHeight="1">
      <c r="A4" s="6" t="inlineStr">
        <is>
          <t xml:space="preserve">  Static Metadata — BDP (Current Values, auto-refreshes on open)</t>
        </is>
      </c>
    </row>
    <row r="5" ht="18" customHeight="1">
      <c r="A5" s="7" t="inlineStr">
        <is>
          <t xml:space="preserve">  Expense Ratio (%):</t>
        </is>
      </c>
      <c r="B5" s="8">
        <f>BDP("TSLT US Equity","FUND_EXPENSE_RATIO")</f>
        <v/>
      </c>
    </row>
    <row r="6" ht="18" customHeight="1">
      <c r="A6" s="7" t="inlineStr">
        <is>
          <t xml:space="preserve">  Leverage Factor:</t>
        </is>
      </c>
      <c r="B6" s="8">
        <f>BDP("TSLT US Equity","FUND_LEVERAGE_FACTOR")</f>
        <v/>
      </c>
    </row>
    <row r="7" ht="18" customHeight="1">
      <c r="A7" s="7" t="inlineStr">
        <is>
          <t xml:space="preserve">  Inception Date:</t>
        </is>
      </c>
      <c r="B7" s="8">
        <f>BDP("TSLT US Equity","FUND_INCEPT_DT")</f>
        <v/>
      </c>
    </row>
    <row r="8" ht="18" customHeight="1">
      <c r="A8" s="7" t="inlineStr">
        <is>
          <t xml:space="preserve">  Benchmark Index:</t>
        </is>
      </c>
      <c r="B8" s="8">
        <f>BDP("TSLT US Equity","FUND_BENCHMARK_INDEX")</f>
        <v/>
      </c>
    </row>
    <row r="9" ht="18" customHeight="1">
      <c r="A9" s="7" t="inlineStr">
        <is>
          <t xml:space="preserve">  Issuer:</t>
        </is>
      </c>
      <c r="B9" s="8">
        <f>BDP("TSLT US Equity","FUND_ASSET_CLASS_FOCUS")</f>
        <v/>
      </c>
    </row>
    <row r="10" ht="7" customHeight="1"/>
    <row r="11" ht="20" customHeight="1">
      <c r="A11" s="6" t="inlineStr">
        <is>
          <t xml:space="preserve">  Parameters — Historical Data Range</t>
        </is>
      </c>
    </row>
    <row r="12" ht="18" customHeight="1">
      <c r="A12" s="9" t="inlineStr">
        <is>
          <t xml:space="preserve">  Bloomberg Ticker:</t>
        </is>
      </c>
      <c r="B12" s="10" t="inlineStr">
        <is>
          <t>TSLT US Equity</t>
        </is>
      </c>
    </row>
    <row r="13" ht="18" customHeight="1">
      <c r="A13" s="9" t="inlineStr">
        <is>
          <t xml:space="preserve">  Start Date:</t>
        </is>
      </c>
      <c r="B13" s="10" t="inlineStr">
        <is>
          <t>06/01/2020</t>
        </is>
      </c>
      <c r="D13" s="11" t="inlineStr">
        <is>
          <t xml:space="preserve">  Edit to change start date. Bloomberg returns max available history if inception post start-date.</t>
        </is>
      </c>
    </row>
    <row r="14" ht="18" customHeight="1">
      <c r="A14" s="9" t="inlineStr">
        <is>
          <t xml:space="preserve">  End Date:</t>
        </is>
      </c>
      <c r="B14" s="10">
        <f>TEXT(TODAY(),"MM/DD/YYYY")</f>
        <v/>
      </c>
    </row>
    <row r="15" ht="7" customHeight="1"/>
    <row r="16" ht="20" customHeight="1">
      <c r="A16" s="6" t="inlineStr">
        <is>
          <t xml:space="preserve">  Historical Daily Data — BDH (spills downward, ~1,500 rows for full range)</t>
        </is>
      </c>
    </row>
    <row r="17" ht="22" customHeight="1">
      <c r="A17" s="12" t="inlineStr">
        <is>
          <t xml:space="preserve">  Formula auto-populates on Bloomberg Terminal. Fields: Open, High, Low, Close, Total Return Index, Volume, NAV, AUM, Shares Outstanding. Source: Bloomberg Terminal | TSLT US Equity</t>
        </is>
      </c>
    </row>
    <row r="18" ht="30" customHeight="1">
      <c r="A18" s="13" t="inlineStr">
        <is>
          <t>Date</t>
        </is>
      </c>
      <c r="B18" s="13" t="inlineStr">
        <is>
          <t>Open</t>
        </is>
      </c>
      <c r="C18" s="13" t="inlineStr">
        <is>
          <t>High</t>
        </is>
      </c>
      <c r="D18" s="13" t="inlineStr">
        <is>
          <t>Low</t>
        </is>
      </c>
      <c r="E18" s="13" t="inlineStr">
        <is>
          <t>Close</t>
        </is>
      </c>
      <c r="F18" s="13" t="inlineStr">
        <is>
          <t>Total Return Idx</t>
        </is>
      </c>
      <c r="G18" s="13" t="inlineStr">
        <is>
          <t>Volume</t>
        </is>
      </c>
      <c r="H18" s="13" t="inlineStr">
        <is>
          <t>NAV</t>
        </is>
      </c>
      <c r="I18" s="13" t="inlineStr">
        <is>
          <t>AUM ($M)</t>
        </is>
      </c>
      <c r="J18" s="13" t="inlineStr">
        <is>
          <t>Shares Out</t>
        </is>
      </c>
    </row>
    <row r="19" ht="16" customHeight="1">
      <c r="A19" s="14">
        <f>BDH("TSLT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CONL  |  GraniteShares 2x Long COIN</t>
        </is>
      </c>
    </row>
    <row r="2" ht="16" customHeight="1">
      <c r="A2" s="2" t="inlineStr">
        <is>
          <t xml:space="preserve">  Bloomberg: CONL US Equity  |  Leverage: 2x  |  Underlying: COIN  |  Asset Class: Equity</t>
        </is>
      </c>
    </row>
    <row r="3" ht="7" customHeight="1"/>
    <row r="4" ht="20" customHeight="1">
      <c r="A4" s="6" t="inlineStr">
        <is>
          <t xml:space="preserve">  Static Metadata — BDP (Current Values, auto-refreshes on open)</t>
        </is>
      </c>
    </row>
    <row r="5" ht="18" customHeight="1">
      <c r="A5" s="7" t="inlineStr">
        <is>
          <t xml:space="preserve">  Expense Ratio (%):</t>
        </is>
      </c>
      <c r="B5" s="8">
        <f>BDP("CONL US Equity","FUND_EXPENSE_RATIO")</f>
        <v/>
      </c>
    </row>
    <row r="6" ht="18" customHeight="1">
      <c r="A6" s="7" t="inlineStr">
        <is>
          <t xml:space="preserve">  Leverage Factor:</t>
        </is>
      </c>
      <c r="B6" s="8">
        <f>BDP("CONL US Equity","FUND_LEVERAGE_FACTOR")</f>
        <v/>
      </c>
    </row>
    <row r="7" ht="18" customHeight="1">
      <c r="A7" s="7" t="inlineStr">
        <is>
          <t xml:space="preserve">  Inception Date:</t>
        </is>
      </c>
      <c r="B7" s="8">
        <f>BDP("CONL US Equity","FUND_INCEPT_DT")</f>
        <v/>
      </c>
    </row>
    <row r="8" ht="18" customHeight="1">
      <c r="A8" s="7" t="inlineStr">
        <is>
          <t xml:space="preserve">  Benchmark Index:</t>
        </is>
      </c>
      <c r="B8" s="8">
        <f>BDP("CONL US Equity","FUND_BENCHMARK_INDEX")</f>
        <v/>
      </c>
    </row>
    <row r="9" ht="18" customHeight="1">
      <c r="A9" s="7" t="inlineStr">
        <is>
          <t xml:space="preserve">  Issuer:</t>
        </is>
      </c>
      <c r="B9" s="8">
        <f>BDP("CONL US Equity","FUND_ASSET_CLASS_FOCUS")</f>
        <v/>
      </c>
    </row>
    <row r="10" ht="7" customHeight="1"/>
    <row r="11" ht="20" customHeight="1">
      <c r="A11" s="6" t="inlineStr">
        <is>
          <t xml:space="preserve">  Parameters — Historical Data Range</t>
        </is>
      </c>
    </row>
    <row r="12" ht="18" customHeight="1">
      <c r="A12" s="9" t="inlineStr">
        <is>
          <t xml:space="preserve">  Bloomberg Ticker:</t>
        </is>
      </c>
      <c r="B12" s="10" t="inlineStr">
        <is>
          <t>CONL US Equity</t>
        </is>
      </c>
    </row>
    <row r="13" ht="18" customHeight="1">
      <c r="A13" s="9" t="inlineStr">
        <is>
          <t xml:space="preserve">  Start Date:</t>
        </is>
      </c>
      <c r="B13" s="10" t="inlineStr">
        <is>
          <t>06/01/2020</t>
        </is>
      </c>
      <c r="D13" s="11" t="inlineStr">
        <is>
          <t xml:space="preserve">  Edit to change start date. Bloomberg returns max available history if inception post start-date.</t>
        </is>
      </c>
    </row>
    <row r="14" ht="18" customHeight="1">
      <c r="A14" s="9" t="inlineStr">
        <is>
          <t xml:space="preserve">  End Date:</t>
        </is>
      </c>
      <c r="B14" s="10">
        <f>TEXT(TODAY(),"MM/DD/YYYY")</f>
        <v/>
      </c>
    </row>
    <row r="15" ht="7" customHeight="1"/>
    <row r="16" ht="20" customHeight="1">
      <c r="A16" s="6" t="inlineStr">
        <is>
          <t xml:space="preserve">  Historical Daily Data — BDH (spills downward, ~1,500 rows for full range)</t>
        </is>
      </c>
    </row>
    <row r="17" ht="22" customHeight="1">
      <c r="A17" s="12" t="inlineStr">
        <is>
          <t xml:space="preserve">  Formula auto-populates on Bloomberg Terminal. Fields: Open, High, Low, Close, Total Return Index, Volume, NAV, AUM, Shares Outstanding. Source: Bloomberg Terminal | CONL US Equity</t>
        </is>
      </c>
    </row>
    <row r="18" ht="30" customHeight="1">
      <c r="A18" s="13" t="inlineStr">
        <is>
          <t>Date</t>
        </is>
      </c>
      <c r="B18" s="13" t="inlineStr">
        <is>
          <t>Open</t>
        </is>
      </c>
      <c r="C18" s="13" t="inlineStr">
        <is>
          <t>High</t>
        </is>
      </c>
      <c r="D18" s="13" t="inlineStr">
        <is>
          <t>Low</t>
        </is>
      </c>
      <c r="E18" s="13" t="inlineStr">
        <is>
          <t>Close</t>
        </is>
      </c>
      <c r="F18" s="13" t="inlineStr">
        <is>
          <t>Total Return Idx</t>
        </is>
      </c>
      <c r="G18" s="13" t="inlineStr">
        <is>
          <t>Volume</t>
        </is>
      </c>
      <c r="H18" s="13" t="inlineStr">
        <is>
          <t>NAV</t>
        </is>
      </c>
      <c r="I18" s="13" t="inlineStr">
        <is>
          <t>AUM ($M)</t>
        </is>
      </c>
      <c r="J18" s="13" t="inlineStr">
        <is>
          <t>Shares Out</t>
        </is>
      </c>
    </row>
    <row r="19" ht="16" customHeight="1">
      <c r="A19" s="14">
        <f>BDH("CONL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PLTU  |  Direxion Daily PLTR Bull 2X</t>
        </is>
      </c>
    </row>
    <row r="2" ht="16" customHeight="1">
      <c r="A2" s="2" t="inlineStr">
        <is>
          <t xml:space="preserve">  Bloomberg: PLTU US Equity  |  Leverage: 2x  |  Underlying: PLTR  |  Asset Class: Equity</t>
        </is>
      </c>
    </row>
    <row r="3" ht="7" customHeight="1"/>
    <row r="4" ht="20" customHeight="1">
      <c r="A4" s="6" t="inlineStr">
        <is>
          <t xml:space="preserve">  Static Metadata — BDP (Current Values, auto-refreshes on open)</t>
        </is>
      </c>
    </row>
    <row r="5" ht="18" customHeight="1">
      <c r="A5" s="7" t="inlineStr">
        <is>
          <t xml:space="preserve">  Expense Ratio (%):</t>
        </is>
      </c>
      <c r="B5" s="8">
        <f>BDP("PLTU US Equity","FUND_EXPENSE_RATIO")</f>
        <v/>
      </c>
    </row>
    <row r="6" ht="18" customHeight="1">
      <c r="A6" s="7" t="inlineStr">
        <is>
          <t xml:space="preserve">  Leverage Factor:</t>
        </is>
      </c>
      <c r="B6" s="8">
        <f>BDP("PLTU US Equity","FUND_LEVERAGE_FACTOR")</f>
        <v/>
      </c>
    </row>
    <row r="7" ht="18" customHeight="1">
      <c r="A7" s="7" t="inlineStr">
        <is>
          <t xml:space="preserve">  Inception Date:</t>
        </is>
      </c>
      <c r="B7" s="8">
        <f>BDP("PLTU US Equity","FUND_INCEPT_DT")</f>
        <v/>
      </c>
    </row>
    <row r="8" ht="18" customHeight="1">
      <c r="A8" s="7" t="inlineStr">
        <is>
          <t xml:space="preserve">  Benchmark Index:</t>
        </is>
      </c>
      <c r="B8" s="8">
        <f>BDP("PLTU US Equity","FUND_BENCHMARK_INDEX")</f>
        <v/>
      </c>
    </row>
    <row r="9" ht="18" customHeight="1">
      <c r="A9" s="7" t="inlineStr">
        <is>
          <t xml:space="preserve">  Issuer:</t>
        </is>
      </c>
      <c r="B9" s="8">
        <f>BDP("PLTU US Equity","FUND_ASSET_CLASS_FOCUS")</f>
        <v/>
      </c>
    </row>
    <row r="10" ht="7" customHeight="1"/>
    <row r="11" ht="20" customHeight="1">
      <c r="A11" s="6" t="inlineStr">
        <is>
          <t xml:space="preserve">  Parameters — Historical Data Range</t>
        </is>
      </c>
    </row>
    <row r="12" ht="18" customHeight="1">
      <c r="A12" s="9" t="inlineStr">
        <is>
          <t xml:space="preserve">  Bloomberg Ticker:</t>
        </is>
      </c>
      <c r="B12" s="10" t="inlineStr">
        <is>
          <t>PLTU US Equity</t>
        </is>
      </c>
    </row>
    <row r="13" ht="18" customHeight="1">
      <c r="A13" s="9" t="inlineStr">
        <is>
          <t xml:space="preserve">  Start Date:</t>
        </is>
      </c>
      <c r="B13" s="10" t="inlineStr">
        <is>
          <t>06/01/2020</t>
        </is>
      </c>
      <c r="D13" s="11" t="inlineStr">
        <is>
          <t xml:space="preserve">  Edit to change start date. Bloomberg returns max available history if inception post start-date.</t>
        </is>
      </c>
    </row>
    <row r="14" ht="18" customHeight="1">
      <c r="A14" s="9" t="inlineStr">
        <is>
          <t xml:space="preserve">  End Date:</t>
        </is>
      </c>
      <c r="B14" s="10">
        <f>TEXT(TODAY(),"MM/DD/YYYY")</f>
        <v/>
      </c>
    </row>
    <row r="15" ht="7" customHeight="1"/>
    <row r="16" ht="20" customHeight="1">
      <c r="A16" s="6" t="inlineStr">
        <is>
          <t xml:space="preserve">  Historical Daily Data — BDH (spills downward, ~1,500 rows for full range)</t>
        </is>
      </c>
    </row>
    <row r="17" ht="22" customHeight="1">
      <c r="A17" s="12" t="inlineStr">
        <is>
          <t xml:space="preserve">  Formula auto-populates on Bloomberg Terminal. Fields: Open, High, Low, Close, Total Return Index, Volume, NAV, AUM, Shares Outstanding. Source: Bloomberg Terminal | PLTU US Equity</t>
        </is>
      </c>
    </row>
    <row r="18" ht="30" customHeight="1">
      <c r="A18" s="13" t="inlineStr">
        <is>
          <t>Date</t>
        </is>
      </c>
      <c r="B18" s="13" t="inlineStr">
        <is>
          <t>Open</t>
        </is>
      </c>
      <c r="C18" s="13" t="inlineStr">
        <is>
          <t>High</t>
        </is>
      </c>
      <c r="D18" s="13" t="inlineStr">
        <is>
          <t>Low</t>
        </is>
      </c>
      <c r="E18" s="13" t="inlineStr">
        <is>
          <t>Close</t>
        </is>
      </c>
      <c r="F18" s="13" t="inlineStr">
        <is>
          <t>Total Return Idx</t>
        </is>
      </c>
      <c r="G18" s="13" t="inlineStr">
        <is>
          <t>Volume</t>
        </is>
      </c>
      <c r="H18" s="13" t="inlineStr">
        <is>
          <t>NAV</t>
        </is>
      </c>
      <c r="I18" s="13" t="inlineStr">
        <is>
          <t>AUM ($M)</t>
        </is>
      </c>
      <c r="J18" s="13" t="inlineStr">
        <is>
          <t>Shares Out</t>
        </is>
      </c>
    </row>
    <row r="19" ht="16" customHeight="1">
      <c r="A19" s="14">
        <f>BDH("PLTU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MUU  |  Direxion Daily MU Bull 2X</t>
        </is>
      </c>
    </row>
    <row r="2" ht="16" customHeight="1">
      <c r="A2" s="2" t="inlineStr">
        <is>
          <t xml:space="preserve">  Bloomberg: MUU US Equity  |  Leverage: 2x  |  Underlying: MU  |  Asset Class: Equity</t>
        </is>
      </c>
    </row>
    <row r="3" ht="7" customHeight="1"/>
    <row r="4" ht="20" customHeight="1">
      <c r="A4" s="6" t="inlineStr">
        <is>
          <t xml:space="preserve">  Static Metadata — BDP (Current Values, auto-refreshes on open)</t>
        </is>
      </c>
    </row>
    <row r="5" ht="18" customHeight="1">
      <c r="A5" s="7" t="inlineStr">
        <is>
          <t xml:space="preserve">  Expense Ratio (%):</t>
        </is>
      </c>
      <c r="B5" s="8">
        <f>BDP("MUU US Equity","FUND_EXPENSE_RATIO")</f>
        <v/>
      </c>
    </row>
    <row r="6" ht="18" customHeight="1">
      <c r="A6" s="7" t="inlineStr">
        <is>
          <t xml:space="preserve">  Leverage Factor:</t>
        </is>
      </c>
      <c r="B6" s="8">
        <f>BDP("MUU US Equity","FUND_LEVERAGE_FACTOR")</f>
        <v/>
      </c>
    </row>
    <row r="7" ht="18" customHeight="1">
      <c r="A7" s="7" t="inlineStr">
        <is>
          <t xml:space="preserve">  Inception Date:</t>
        </is>
      </c>
      <c r="B7" s="8">
        <f>BDP("MUU US Equity","FUND_INCEPT_DT")</f>
        <v/>
      </c>
    </row>
    <row r="8" ht="18" customHeight="1">
      <c r="A8" s="7" t="inlineStr">
        <is>
          <t xml:space="preserve">  Benchmark Index:</t>
        </is>
      </c>
      <c r="B8" s="8">
        <f>BDP("MUU US Equity","FUND_BENCHMARK_INDEX")</f>
        <v/>
      </c>
    </row>
    <row r="9" ht="18" customHeight="1">
      <c r="A9" s="7" t="inlineStr">
        <is>
          <t xml:space="preserve">  Issuer:</t>
        </is>
      </c>
      <c r="B9" s="8">
        <f>BDP("MUU US Equity","FUND_ASSET_CLASS_FOCUS")</f>
        <v/>
      </c>
    </row>
    <row r="10" ht="7" customHeight="1"/>
    <row r="11" ht="20" customHeight="1">
      <c r="A11" s="6" t="inlineStr">
        <is>
          <t xml:space="preserve">  Parameters — Historical Data Range</t>
        </is>
      </c>
    </row>
    <row r="12" ht="18" customHeight="1">
      <c r="A12" s="9" t="inlineStr">
        <is>
          <t xml:space="preserve">  Bloomberg Ticker:</t>
        </is>
      </c>
      <c r="B12" s="10" t="inlineStr">
        <is>
          <t>MUU US Equity</t>
        </is>
      </c>
    </row>
    <row r="13" ht="18" customHeight="1">
      <c r="A13" s="9" t="inlineStr">
        <is>
          <t xml:space="preserve">  Start Date:</t>
        </is>
      </c>
      <c r="B13" s="10" t="inlineStr">
        <is>
          <t>06/01/2020</t>
        </is>
      </c>
      <c r="D13" s="11" t="inlineStr">
        <is>
          <t xml:space="preserve">  Edit to change start date. Bloomberg returns max available history if inception post start-date.</t>
        </is>
      </c>
    </row>
    <row r="14" ht="18" customHeight="1">
      <c r="A14" s="9" t="inlineStr">
        <is>
          <t xml:space="preserve">  End Date:</t>
        </is>
      </c>
      <c r="B14" s="10">
        <f>TEXT(TODAY(),"MM/DD/YYYY")</f>
        <v/>
      </c>
    </row>
    <row r="15" ht="7" customHeight="1"/>
    <row r="16" ht="20" customHeight="1">
      <c r="A16" s="6" t="inlineStr">
        <is>
          <t xml:space="preserve">  Historical Daily Data — BDH (spills downward, ~1,500 rows for full range)</t>
        </is>
      </c>
    </row>
    <row r="17" ht="22" customHeight="1">
      <c r="A17" s="12" t="inlineStr">
        <is>
          <t xml:space="preserve">  Formula auto-populates on Bloomberg Terminal. Fields: Open, High, Low, Close, Total Return Index, Volume, NAV, AUM, Shares Outstanding. Source: Bloomberg Terminal | MUU US Equity</t>
        </is>
      </c>
    </row>
    <row r="18" ht="30" customHeight="1">
      <c r="A18" s="13" t="inlineStr">
        <is>
          <t>Date</t>
        </is>
      </c>
      <c r="B18" s="13" t="inlineStr">
        <is>
          <t>Open</t>
        </is>
      </c>
      <c r="C18" s="13" t="inlineStr">
        <is>
          <t>High</t>
        </is>
      </c>
      <c r="D18" s="13" t="inlineStr">
        <is>
          <t>Low</t>
        </is>
      </c>
      <c r="E18" s="13" t="inlineStr">
        <is>
          <t>Close</t>
        </is>
      </c>
      <c r="F18" s="13" t="inlineStr">
        <is>
          <t>Total Return Idx</t>
        </is>
      </c>
      <c r="G18" s="13" t="inlineStr">
        <is>
          <t>Volume</t>
        </is>
      </c>
      <c r="H18" s="13" t="inlineStr">
        <is>
          <t>NAV</t>
        </is>
      </c>
      <c r="I18" s="13" t="inlineStr">
        <is>
          <t>AUM ($M)</t>
        </is>
      </c>
      <c r="J18" s="13" t="inlineStr">
        <is>
          <t>Shares Out</t>
        </is>
      </c>
    </row>
    <row r="19" ht="16" customHeight="1">
      <c r="A19" s="14">
        <f>BDH("MUU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ETHT  |  ProShares Ultra Ether ETF</t>
        </is>
      </c>
    </row>
    <row r="2" ht="16" customHeight="1">
      <c r="A2" s="2" t="inlineStr">
        <is>
          <t xml:space="preserve">  Bloomberg: ETHT US Equity  |  Leverage: 2x  |  Underlying: ETH  |  Asset Class: Crypto</t>
        </is>
      </c>
    </row>
    <row r="3" ht="7" customHeight="1"/>
    <row r="4" ht="32" customHeight="1">
      <c r="A4" s="15" t="inlineStr">
        <is>
          <t xml:space="preserve">  ⚠  FLAG: Crypto underlying. Options only via CME ETH futures — limited historical data depth.</t>
        </is>
      </c>
    </row>
    <row r="5" ht="7" customHeight="1"/>
    <row r="6" ht="20" customHeight="1">
      <c r="A6" s="6" t="inlineStr">
        <is>
          <t xml:space="preserve">  Static Metadata — BDP (Current Values, auto-refreshes on open)</t>
        </is>
      </c>
    </row>
    <row r="7" ht="18" customHeight="1">
      <c r="A7" s="7" t="inlineStr">
        <is>
          <t xml:space="preserve">  Expense Ratio (%):</t>
        </is>
      </c>
      <c r="B7" s="8">
        <f>BDP("ETHT US Equity","FUND_EXPENSE_RATIO")</f>
        <v/>
      </c>
    </row>
    <row r="8" ht="18" customHeight="1">
      <c r="A8" s="7" t="inlineStr">
        <is>
          <t xml:space="preserve">  Leverage Factor:</t>
        </is>
      </c>
      <c r="B8" s="8">
        <f>BDP("ETHT US Equity","FUND_LEVERAGE_FACTOR")</f>
        <v/>
      </c>
    </row>
    <row r="9" ht="18" customHeight="1">
      <c r="A9" s="7" t="inlineStr">
        <is>
          <t xml:space="preserve">  Inception Date:</t>
        </is>
      </c>
      <c r="B9" s="8">
        <f>BDP("ETHT US Equity","FUND_INCEPT_DT")</f>
        <v/>
      </c>
    </row>
    <row r="10" ht="18" customHeight="1">
      <c r="A10" s="7" t="inlineStr">
        <is>
          <t xml:space="preserve">  Benchmark Index:</t>
        </is>
      </c>
      <c r="B10" s="8">
        <f>BDP("ETHT US Equity","FUND_BENCHMARK_INDEX")</f>
        <v/>
      </c>
    </row>
    <row r="11" ht="18" customHeight="1">
      <c r="A11" s="7" t="inlineStr">
        <is>
          <t xml:space="preserve">  Issuer:</t>
        </is>
      </c>
      <c r="B11" s="8">
        <f>BDP("ETHT US Equity","FUND_ASSET_CLASS_FOCUS")</f>
        <v/>
      </c>
    </row>
    <row r="12" ht="7" customHeight="1"/>
    <row r="13" ht="20" customHeight="1">
      <c r="A13" s="6" t="inlineStr">
        <is>
          <t xml:space="preserve">  Parameters — Historical Data Range</t>
        </is>
      </c>
    </row>
    <row r="14" ht="18" customHeight="1">
      <c r="A14" s="9" t="inlineStr">
        <is>
          <t xml:space="preserve">  Bloomberg Ticker:</t>
        </is>
      </c>
      <c r="B14" s="10" t="inlineStr">
        <is>
          <t>ETHT US Equity</t>
        </is>
      </c>
    </row>
    <row r="15" ht="18" customHeight="1">
      <c r="A15" s="9" t="inlineStr">
        <is>
          <t xml:space="preserve">  Start Date:</t>
        </is>
      </c>
      <c r="B15" s="10" t="inlineStr">
        <is>
          <t>06/01/2020</t>
        </is>
      </c>
      <c r="D15" s="11" t="inlineStr">
        <is>
          <t xml:space="preserve">  Edit to change start date. Bloomberg returns max available history if inception post start-date.</t>
        </is>
      </c>
    </row>
    <row r="16" ht="18" customHeight="1">
      <c r="A16" s="9" t="inlineStr">
        <is>
          <t xml:space="preserve">  End Date:</t>
        </is>
      </c>
      <c r="B16" s="10">
        <f>TEXT(TODAY(),"MM/DD/YYYY")</f>
        <v/>
      </c>
    </row>
    <row r="17" ht="7" customHeight="1"/>
    <row r="18" ht="20" customHeight="1">
      <c r="A18" s="6" t="inlineStr">
        <is>
          <t xml:space="preserve">  Historical Daily Data — BDH (spills downward, ~1,500 rows for full range)</t>
        </is>
      </c>
    </row>
    <row r="19" ht="22" customHeight="1">
      <c r="A19" s="12" t="inlineStr">
        <is>
          <t xml:space="preserve">  Formula auto-populates on Bloomberg Terminal. Fields: Open, High, Low, Close, Total Return Index, Volume, NAV, AUM, Shares Outstanding. Source: Bloomberg Terminal | ETHT US Equity</t>
        </is>
      </c>
    </row>
    <row r="20" ht="30" customHeight="1">
      <c r="A20" s="13" t="inlineStr">
        <is>
          <t>Date</t>
        </is>
      </c>
      <c r="B20" s="13" t="inlineStr">
        <is>
          <t>Open</t>
        </is>
      </c>
      <c r="C20" s="13" t="inlineStr">
        <is>
          <t>High</t>
        </is>
      </c>
      <c r="D20" s="13" t="inlineStr">
        <is>
          <t>Low</t>
        </is>
      </c>
      <c r="E20" s="13" t="inlineStr">
        <is>
          <t>Close</t>
        </is>
      </c>
      <c r="F20" s="13" t="inlineStr">
        <is>
          <t>Total Return Idx</t>
        </is>
      </c>
      <c r="G20" s="13" t="inlineStr">
        <is>
          <t>Volume</t>
        </is>
      </c>
      <c r="H20" s="13" t="inlineStr">
        <is>
          <t>NAV</t>
        </is>
      </c>
      <c r="I20" s="13" t="inlineStr">
        <is>
          <t>AUM ($M)</t>
        </is>
      </c>
      <c r="J20" s="13" t="inlineStr">
        <is>
          <t>Shares Out</t>
        </is>
      </c>
    </row>
    <row r="21" ht="16" customHeight="1">
      <c r="A21" s="14">
        <f>BDH("ETHT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8">
    <mergeCell ref="A1:J1"/>
    <mergeCell ref="A6:J6"/>
    <mergeCell ref="A18:J18"/>
    <mergeCell ref="A4:J4"/>
    <mergeCell ref="A19:J19"/>
    <mergeCell ref="A2:J2"/>
    <mergeCell ref="D15:J15"/>
    <mergeCell ref="A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BOIL  |  ProShares Ultra Natural Gas</t>
        </is>
      </c>
    </row>
    <row r="2" ht="16" customHeight="1">
      <c r="A2" s="2" t="inlineStr">
        <is>
          <t xml:space="preserve">  Bloomberg: BOIL US Equity  |  Leverage: 2x  |  Underlying: NG1  |  Asset Class: Commodity</t>
        </is>
      </c>
    </row>
    <row r="3" ht="7" customHeight="1"/>
    <row r="4" ht="32" customHeight="1">
      <c r="A4" s="15" t="inlineStr">
        <is>
          <t xml:space="preserve">  ⚠  FLAG: Commodity underlying. Use UNG US Equity or NG Comdty options — structure differs from equity options.</t>
        </is>
      </c>
    </row>
    <row r="5" ht="7" customHeight="1"/>
    <row r="6" ht="20" customHeight="1">
      <c r="A6" s="6" t="inlineStr">
        <is>
          <t xml:space="preserve">  Static Metadata — BDP (Current Values, auto-refreshes on open)</t>
        </is>
      </c>
    </row>
    <row r="7" ht="18" customHeight="1">
      <c r="A7" s="7" t="inlineStr">
        <is>
          <t xml:space="preserve">  Expense Ratio (%):</t>
        </is>
      </c>
      <c r="B7" s="8">
        <f>BDP("BOIL US Equity","FUND_EXPENSE_RATIO")</f>
        <v/>
      </c>
    </row>
    <row r="8" ht="18" customHeight="1">
      <c r="A8" s="7" t="inlineStr">
        <is>
          <t xml:space="preserve">  Leverage Factor:</t>
        </is>
      </c>
      <c r="B8" s="8">
        <f>BDP("BOIL US Equity","FUND_LEVERAGE_FACTOR")</f>
        <v/>
      </c>
    </row>
    <row r="9" ht="18" customHeight="1">
      <c r="A9" s="7" t="inlineStr">
        <is>
          <t xml:space="preserve">  Inception Date:</t>
        </is>
      </c>
      <c r="B9" s="8">
        <f>BDP("BOIL US Equity","FUND_INCEPT_DT")</f>
        <v/>
      </c>
    </row>
    <row r="10" ht="18" customHeight="1">
      <c r="A10" s="7" t="inlineStr">
        <is>
          <t xml:space="preserve">  Benchmark Index:</t>
        </is>
      </c>
      <c r="B10" s="8">
        <f>BDP("BOIL US Equity","FUND_BENCHMARK_INDEX")</f>
        <v/>
      </c>
    </row>
    <row r="11" ht="18" customHeight="1">
      <c r="A11" s="7" t="inlineStr">
        <is>
          <t xml:space="preserve">  Issuer:</t>
        </is>
      </c>
      <c r="B11" s="8">
        <f>BDP("BOIL US Equity","FUND_ASSET_CLASS_FOCUS")</f>
        <v/>
      </c>
    </row>
    <row r="12" ht="7" customHeight="1"/>
    <row r="13" ht="20" customHeight="1">
      <c r="A13" s="6" t="inlineStr">
        <is>
          <t xml:space="preserve">  Parameters — Historical Data Range</t>
        </is>
      </c>
    </row>
    <row r="14" ht="18" customHeight="1">
      <c r="A14" s="9" t="inlineStr">
        <is>
          <t xml:space="preserve">  Bloomberg Ticker:</t>
        </is>
      </c>
      <c r="B14" s="10" t="inlineStr">
        <is>
          <t>BOIL US Equity</t>
        </is>
      </c>
    </row>
    <row r="15" ht="18" customHeight="1">
      <c r="A15" s="9" t="inlineStr">
        <is>
          <t xml:space="preserve">  Start Date:</t>
        </is>
      </c>
      <c r="B15" s="10" t="inlineStr">
        <is>
          <t>06/01/2020</t>
        </is>
      </c>
      <c r="D15" s="11" t="inlineStr">
        <is>
          <t xml:space="preserve">  Edit to change start date. Bloomberg returns max available history if inception post start-date.</t>
        </is>
      </c>
    </row>
    <row r="16" ht="18" customHeight="1">
      <c r="A16" s="9" t="inlineStr">
        <is>
          <t xml:space="preserve">  End Date:</t>
        </is>
      </c>
      <c r="B16" s="10">
        <f>TEXT(TODAY(),"MM/DD/YYYY")</f>
        <v/>
      </c>
    </row>
    <row r="17" ht="7" customHeight="1"/>
    <row r="18" ht="20" customHeight="1">
      <c r="A18" s="6" t="inlineStr">
        <is>
          <t xml:space="preserve">  Historical Daily Data — BDH (spills downward, ~1,500 rows for full range)</t>
        </is>
      </c>
    </row>
    <row r="19" ht="22" customHeight="1">
      <c r="A19" s="12" t="inlineStr">
        <is>
          <t xml:space="preserve">  Formula auto-populates on Bloomberg Terminal. Fields: Open, High, Low, Close, Total Return Index, Volume, NAV, AUM, Shares Outstanding. Source: Bloomberg Terminal | BOIL US Equity</t>
        </is>
      </c>
    </row>
    <row r="20" ht="30" customHeight="1">
      <c r="A20" s="13" t="inlineStr">
        <is>
          <t>Date</t>
        </is>
      </c>
      <c r="B20" s="13" t="inlineStr">
        <is>
          <t>Open</t>
        </is>
      </c>
      <c r="C20" s="13" t="inlineStr">
        <is>
          <t>High</t>
        </is>
      </c>
      <c r="D20" s="13" t="inlineStr">
        <is>
          <t>Low</t>
        </is>
      </c>
      <c r="E20" s="13" t="inlineStr">
        <is>
          <t>Close</t>
        </is>
      </c>
      <c r="F20" s="13" t="inlineStr">
        <is>
          <t>Total Return Idx</t>
        </is>
      </c>
      <c r="G20" s="13" t="inlineStr">
        <is>
          <t>Volume</t>
        </is>
      </c>
      <c r="H20" s="13" t="inlineStr">
        <is>
          <t>NAV</t>
        </is>
      </c>
      <c r="I20" s="13" t="inlineStr">
        <is>
          <t>AUM ($M)</t>
        </is>
      </c>
      <c r="J20" s="13" t="inlineStr">
        <is>
          <t>Shares Out</t>
        </is>
      </c>
    </row>
    <row r="21" ht="16" customHeight="1">
      <c r="A21" s="14">
        <f>BDH("BOIL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8">
    <mergeCell ref="A1:J1"/>
    <mergeCell ref="A6:J6"/>
    <mergeCell ref="A18:J18"/>
    <mergeCell ref="A4:J4"/>
    <mergeCell ref="A19:J19"/>
    <mergeCell ref="A2:J2"/>
    <mergeCell ref="D15:J15"/>
    <mergeCell ref="A13:J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SOXL  |  Direxion Daily Semi Bull 3X</t>
        </is>
      </c>
    </row>
    <row r="2" ht="16" customHeight="1">
      <c r="A2" s="2" t="inlineStr">
        <is>
          <t xml:space="preserve">  Bloomberg: SOXL US Equity  |  Leverage: 3x  |  Underlying: SOXX  |  Asset Class: Equity</t>
        </is>
      </c>
    </row>
    <row r="3" ht="7" customHeight="1"/>
    <row r="4" ht="20" customHeight="1">
      <c r="A4" s="6" t="inlineStr">
        <is>
          <t xml:space="preserve">  Static Metadata — BDP (Current Values, auto-refreshes on open)</t>
        </is>
      </c>
    </row>
    <row r="5" ht="18" customHeight="1">
      <c r="A5" s="7" t="inlineStr">
        <is>
          <t xml:space="preserve">  Expense Ratio (%):</t>
        </is>
      </c>
      <c r="B5" s="8">
        <f>BDP("SOXL US Equity","FUND_EXPENSE_RATIO")</f>
        <v/>
      </c>
    </row>
    <row r="6" ht="18" customHeight="1">
      <c r="A6" s="7" t="inlineStr">
        <is>
          <t xml:space="preserve">  Leverage Factor:</t>
        </is>
      </c>
      <c r="B6" s="8">
        <f>BDP("SOXL US Equity","FUND_LEVERAGE_FACTOR")</f>
        <v/>
      </c>
    </row>
    <row r="7" ht="18" customHeight="1">
      <c r="A7" s="7" t="inlineStr">
        <is>
          <t xml:space="preserve">  Inception Date:</t>
        </is>
      </c>
      <c r="B7" s="8">
        <f>BDP("SOXL US Equity","FUND_INCEPT_DT")</f>
        <v/>
      </c>
    </row>
    <row r="8" ht="18" customHeight="1">
      <c r="A8" s="7" t="inlineStr">
        <is>
          <t xml:space="preserve">  Benchmark Index:</t>
        </is>
      </c>
      <c r="B8" s="8">
        <f>BDP("SOXL US Equity","FUND_BENCHMARK_INDEX")</f>
        <v/>
      </c>
    </row>
    <row r="9" ht="18" customHeight="1">
      <c r="A9" s="7" t="inlineStr">
        <is>
          <t xml:space="preserve">  Issuer:</t>
        </is>
      </c>
      <c r="B9" s="8">
        <f>BDP("SOXL US Equity","FUND_ASSET_CLASS_FOCUS")</f>
        <v/>
      </c>
    </row>
    <row r="10" ht="7" customHeight="1"/>
    <row r="11" ht="20" customHeight="1">
      <c r="A11" s="6" t="inlineStr">
        <is>
          <t xml:space="preserve">  Parameters — Historical Data Range</t>
        </is>
      </c>
    </row>
    <row r="12" ht="18" customHeight="1">
      <c r="A12" s="9" t="inlineStr">
        <is>
          <t xml:space="preserve">  Bloomberg Ticker:</t>
        </is>
      </c>
      <c r="B12" s="10" t="inlineStr">
        <is>
          <t>SOXL US Equity</t>
        </is>
      </c>
    </row>
    <row r="13" ht="18" customHeight="1">
      <c r="A13" s="9" t="inlineStr">
        <is>
          <t xml:space="preserve">  Start Date:</t>
        </is>
      </c>
      <c r="B13" s="10" t="inlineStr">
        <is>
          <t>06/01/2020</t>
        </is>
      </c>
      <c r="D13" s="11" t="inlineStr">
        <is>
          <t xml:space="preserve">  Edit to change start date. Bloomberg returns max available history if inception post start-date.</t>
        </is>
      </c>
    </row>
    <row r="14" ht="18" customHeight="1">
      <c r="A14" s="9" t="inlineStr">
        <is>
          <t xml:space="preserve">  End Date:</t>
        </is>
      </c>
      <c r="B14" s="10">
        <f>TEXT(TODAY(),"MM/DD/YYYY")</f>
        <v/>
      </c>
    </row>
    <row r="15" ht="7" customHeight="1"/>
    <row r="16" ht="20" customHeight="1">
      <c r="A16" s="6" t="inlineStr">
        <is>
          <t xml:space="preserve">  Historical Daily Data — BDH (spills downward, ~1,500 rows for full range)</t>
        </is>
      </c>
    </row>
    <row r="17" ht="22" customHeight="1">
      <c r="A17" s="12" t="inlineStr">
        <is>
          <t xml:space="preserve">  Formula auto-populates on Bloomberg Terminal. Fields: Open, High, Low, Close, Total Return Index, Volume, NAV, AUM, Shares Outstanding. Source: Bloomberg Terminal | SOXL US Equity</t>
        </is>
      </c>
    </row>
    <row r="18" ht="30" customHeight="1">
      <c r="A18" s="13" t="inlineStr">
        <is>
          <t>Date</t>
        </is>
      </c>
      <c r="B18" s="13" t="inlineStr">
        <is>
          <t>Open</t>
        </is>
      </c>
      <c r="C18" s="13" t="inlineStr">
        <is>
          <t>High</t>
        </is>
      </c>
      <c r="D18" s="13" t="inlineStr">
        <is>
          <t>Low</t>
        </is>
      </c>
      <c r="E18" s="13" t="inlineStr">
        <is>
          <t>Close</t>
        </is>
      </c>
      <c r="F18" s="13" t="inlineStr">
        <is>
          <t>Total Return Idx</t>
        </is>
      </c>
      <c r="G18" s="13" t="inlineStr">
        <is>
          <t>Volume</t>
        </is>
      </c>
      <c r="H18" s="13" t="inlineStr">
        <is>
          <t>NAV</t>
        </is>
      </c>
      <c r="I18" s="13" t="inlineStr">
        <is>
          <t>AUM ($M)</t>
        </is>
      </c>
      <c r="J18" s="13" t="inlineStr">
        <is>
          <t>Shares Out</t>
        </is>
      </c>
    </row>
    <row r="19" ht="16" customHeight="1">
      <c r="A19" s="14">
        <f>BDH("SOXL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AVL  |  Direxion Daily AVGO Bull 2X</t>
        </is>
      </c>
    </row>
    <row r="2" ht="16" customHeight="1">
      <c r="A2" s="2" t="inlineStr">
        <is>
          <t xml:space="preserve">  Bloomberg: AVL US Equity  |  Leverage: 2x  |  Underlying: AVGO  |  Asset Class: Equity</t>
        </is>
      </c>
    </row>
    <row r="3" ht="7" customHeight="1"/>
    <row r="4" ht="20" customHeight="1">
      <c r="A4" s="6" t="inlineStr">
        <is>
          <t xml:space="preserve">  Static Metadata — BDP (Current Values, auto-refreshes on open)</t>
        </is>
      </c>
    </row>
    <row r="5" ht="18" customHeight="1">
      <c r="A5" s="7" t="inlineStr">
        <is>
          <t xml:space="preserve">  Expense Ratio (%):</t>
        </is>
      </c>
      <c r="B5" s="8">
        <f>BDP("AVL US Equity","FUND_EXPENSE_RATIO")</f>
        <v/>
      </c>
    </row>
    <row r="6" ht="18" customHeight="1">
      <c r="A6" s="7" t="inlineStr">
        <is>
          <t xml:space="preserve">  Leverage Factor:</t>
        </is>
      </c>
      <c r="B6" s="8">
        <f>BDP("AVL US Equity","FUND_LEVERAGE_FACTOR")</f>
        <v/>
      </c>
    </row>
    <row r="7" ht="18" customHeight="1">
      <c r="A7" s="7" t="inlineStr">
        <is>
          <t xml:space="preserve">  Inception Date:</t>
        </is>
      </c>
      <c r="B7" s="8">
        <f>BDP("AVL US Equity","FUND_INCEPT_DT")</f>
        <v/>
      </c>
    </row>
    <row r="8" ht="18" customHeight="1">
      <c r="A8" s="7" t="inlineStr">
        <is>
          <t xml:space="preserve">  Benchmark Index:</t>
        </is>
      </c>
      <c r="B8" s="8">
        <f>BDP("AVL US Equity","FUND_BENCHMARK_INDEX")</f>
        <v/>
      </c>
    </row>
    <row r="9" ht="18" customHeight="1">
      <c r="A9" s="7" t="inlineStr">
        <is>
          <t xml:space="preserve">  Issuer:</t>
        </is>
      </c>
      <c r="B9" s="8">
        <f>BDP("AVL US Equity","FUND_ASSET_CLASS_FOCUS")</f>
        <v/>
      </c>
    </row>
    <row r="10" ht="7" customHeight="1"/>
    <row r="11" ht="20" customHeight="1">
      <c r="A11" s="6" t="inlineStr">
        <is>
          <t xml:space="preserve">  Parameters — Historical Data Range</t>
        </is>
      </c>
    </row>
    <row r="12" ht="18" customHeight="1">
      <c r="A12" s="9" t="inlineStr">
        <is>
          <t xml:space="preserve">  Bloomberg Ticker:</t>
        </is>
      </c>
      <c r="B12" s="10" t="inlineStr">
        <is>
          <t>AVL US Equity</t>
        </is>
      </c>
    </row>
    <row r="13" ht="18" customHeight="1">
      <c r="A13" s="9" t="inlineStr">
        <is>
          <t xml:space="preserve">  Start Date:</t>
        </is>
      </c>
      <c r="B13" s="10" t="inlineStr">
        <is>
          <t>06/01/2020</t>
        </is>
      </c>
      <c r="D13" s="11" t="inlineStr">
        <is>
          <t xml:space="preserve">  Edit to change start date. Bloomberg returns max available history if inception post start-date.</t>
        </is>
      </c>
    </row>
    <row r="14" ht="18" customHeight="1">
      <c r="A14" s="9" t="inlineStr">
        <is>
          <t xml:space="preserve">  End Date:</t>
        </is>
      </c>
      <c r="B14" s="10">
        <f>TEXT(TODAY(),"MM/DD/YYYY")</f>
        <v/>
      </c>
    </row>
    <row r="15" ht="7" customHeight="1"/>
    <row r="16" ht="20" customHeight="1">
      <c r="A16" s="6" t="inlineStr">
        <is>
          <t xml:space="preserve">  Historical Daily Data — BDH (spills downward, ~1,500 rows for full range)</t>
        </is>
      </c>
    </row>
    <row r="17" ht="22" customHeight="1">
      <c r="A17" s="12" t="inlineStr">
        <is>
          <t xml:space="preserve">  Formula auto-populates on Bloomberg Terminal. Fields: Open, High, Low, Close, Total Return Index, Volume, NAV, AUM, Shares Outstanding. Source: Bloomberg Terminal | AVL US Equity</t>
        </is>
      </c>
    </row>
    <row r="18" ht="30" customHeight="1">
      <c r="A18" s="13" t="inlineStr">
        <is>
          <t>Date</t>
        </is>
      </c>
      <c r="B18" s="13" t="inlineStr">
        <is>
          <t>Open</t>
        </is>
      </c>
      <c r="C18" s="13" t="inlineStr">
        <is>
          <t>High</t>
        </is>
      </c>
      <c r="D18" s="13" t="inlineStr">
        <is>
          <t>Low</t>
        </is>
      </c>
      <c r="E18" s="13" t="inlineStr">
        <is>
          <t>Close</t>
        </is>
      </c>
      <c r="F18" s="13" t="inlineStr">
        <is>
          <t>Total Return Idx</t>
        </is>
      </c>
      <c r="G18" s="13" t="inlineStr">
        <is>
          <t>Volume</t>
        </is>
      </c>
      <c r="H18" s="13" t="inlineStr">
        <is>
          <t>NAV</t>
        </is>
      </c>
      <c r="I18" s="13" t="inlineStr">
        <is>
          <t>AUM ($M)</t>
        </is>
      </c>
      <c r="J18" s="13" t="inlineStr">
        <is>
          <t>Shares Out</t>
        </is>
      </c>
    </row>
    <row r="19" ht="16" customHeight="1">
      <c r="A19" s="14">
        <f>BDH("AVL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NVOX  |  Defiance 2X Long NVO</t>
        </is>
      </c>
    </row>
    <row r="2" ht="16" customHeight="1">
      <c r="A2" s="2" t="inlineStr">
        <is>
          <t xml:space="preserve">  Bloomberg: NVOX US Equity  |  Leverage: 2x  |  Underlying: NVO  |  Asset Class: Equity</t>
        </is>
      </c>
    </row>
    <row r="3" ht="7" customHeight="1"/>
    <row r="4" ht="20" customHeight="1">
      <c r="A4" s="6" t="inlineStr">
        <is>
          <t xml:space="preserve">  Static Metadata — BDP (Current Values, auto-refreshes on open)</t>
        </is>
      </c>
    </row>
    <row r="5" ht="18" customHeight="1">
      <c r="A5" s="7" t="inlineStr">
        <is>
          <t xml:space="preserve">  Expense Ratio (%):</t>
        </is>
      </c>
      <c r="B5" s="8">
        <f>BDP("NVOX US Equity","FUND_EXPENSE_RATIO")</f>
        <v/>
      </c>
    </row>
    <row r="6" ht="18" customHeight="1">
      <c r="A6" s="7" t="inlineStr">
        <is>
          <t xml:space="preserve">  Leverage Factor:</t>
        </is>
      </c>
      <c r="B6" s="8">
        <f>BDP("NVOX US Equity","FUND_LEVERAGE_FACTOR")</f>
        <v/>
      </c>
    </row>
    <row r="7" ht="18" customHeight="1">
      <c r="A7" s="7" t="inlineStr">
        <is>
          <t xml:space="preserve">  Inception Date:</t>
        </is>
      </c>
      <c r="B7" s="8">
        <f>BDP("NVOX US Equity","FUND_INCEPT_DT")</f>
        <v/>
      </c>
    </row>
    <row r="8" ht="18" customHeight="1">
      <c r="A8" s="7" t="inlineStr">
        <is>
          <t xml:space="preserve">  Benchmark Index:</t>
        </is>
      </c>
      <c r="B8" s="8">
        <f>BDP("NVOX US Equity","FUND_BENCHMARK_INDEX")</f>
        <v/>
      </c>
    </row>
    <row r="9" ht="18" customHeight="1">
      <c r="A9" s="7" t="inlineStr">
        <is>
          <t xml:space="preserve">  Issuer:</t>
        </is>
      </c>
      <c r="B9" s="8">
        <f>BDP("NVOX US Equity","FUND_ASSET_CLASS_FOCUS")</f>
        <v/>
      </c>
    </row>
    <row r="10" ht="7" customHeight="1"/>
    <row r="11" ht="20" customHeight="1">
      <c r="A11" s="6" t="inlineStr">
        <is>
          <t xml:space="preserve">  Parameters — Historical Data Range</t>
        </is>
      </c>
    </row>
    <row r="12" ht="18" customHeight="1">
      <c r="A12" s="9" t="inlineStr">
        <is>
          <t xml:space="preserve">  Bloomberg Ticker:</t>
        </is>
      </c>
      <c r="B12" s="10" t="inlineStr">
        <is>
          <t>NVOX US Equity</t>
        </is>
      </c>
    </row>
    <row r="13" ht="18" customHeight="1">
      <c r="A13" s="9" t="inlineStr">
        <is>
          <t xml:space="preserve">  Start Date:</t>
        </is>
      </c>
      <c r="B13" s="10" t="inlineStr">
        <is>
          <t>06/01/2020</t>
        </is>
      </c>
      <c r="D13" s="11" t="inlineStr">
        <is>
          <t xml:space="preserve">  Edit to change start date. Bloomberg returns max available history if inception post start-date.</t>
        </is>
      </c>
    </row>
    <row r="14" ht="18" customHeight="1">
      <c r="A14" s="9" t="inlineStr">
        <is>
          <t xml:space="preserve">  End Date:</t>
        </is>
      </c>
      <c r="B14" s="10">
        <f>TEXT(TODAY(),"MM/DD/YYYY")</f>
        <v/>
      </c>
    </row>
    <row r="15" ht="7" customHeight="1"/>
    <row r="16" ht="20" customHeight="1">
      <c r="A16" s="6" t="inlineStr">
        <is>
          <t xml:space="preserve">  Historical Daily Data — BDH (spills downward, ~1,500 rows for full range)</t>
        </is>
      </c>
    </row>
    <row r="17" ht="22" customHeight="1">
      <c r="A17" s="12" t="inlineStr">
        <is>
          <t xml:space="preserve">  Formula auto-populates on Bloomberg Terminal. Fields: Open, High, Low, Close, Total Return Index, Volume, NAV, AUM, Shares Outstanding. Source: Bloomberg Terminal | NVOX US Equity</t>
        </is>
      </c>
    </row>
    <row r="18" ht="30" customHeight="1">
      <c r="A18" s="13" t="inlineStr">
        <is>
          <t>Date</t>
        </is>
      </c>
      <c r="B18" s="13" t="inlineStr">
        <is>
          <t>Open</t>
        </is>
      </c>
      <c r="C18" s="13" t="inlineStr">
        <is>
          <t>High</t>
        </is>
      </c>
      <c r="D18" s="13" t="inlineStr">
        <is>
          <t>Low</t>
        </is>
      </c>
      <c r="E18" s="13" t="inlineStr">
        <is>
          <t>Close</t>
        </is>
      </c>
      <c r="F18" s="13" t="inlineStr">
        <is>
          <t>Total Return Idx</t>
        </is>
      </c>
      <c r="G18" s="13" t="inlineStr">
        <is>
          <t>Volume</t>
        </is>
      </c>
      <c r="H18" s="13" t="inlineStr">
        <is>
          <t>NAV</t>
        </is>
      </c>
      <c r="I18" s="13" t="inlineStr">
        <is>
          <t>AUM ($M)</t>
        </is>
      </c>
      <c r="J18" s="13" t="inlineStr">
        <is>
          <t>Shares Out</t>
        </is>
      </c>
    </row>
    <row r="19" ht="16" customHeight="1">
      <c r="A19" s="14">
        <f>BDH("NVOX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NVDL  |  GraniteShares 2x Long NVDA</t>
        </is>
      </c>
    </row>
    <row r="2" ht="16" customHeight="1">
      <c r="A2" s="2" t="inlineStr">
        <is>
          <t xml:space="preserve">  Bloomberg: NVDL US Equity  |  Leverage: 2x  |  Underlying: NVDA  |  Asset Class: Equity</t>
        </is>
      </c>
    </row>
    <row r="3" ht="7" customHeight="1"/>
    <row r="4" ht="20" customHeight="1">
      <c r="A4" s="6" t="inlineStr">
        <is>
          <t xml:space="preserve">  Static Metadata — BDP (Current Values, auto-refreshes on open)</t>
        </is>
      </c>
    </row>
    <row r="5" ht="18" customHeight="1">
      <c r="A5" s="7" t="inlineStr">
        <is>
          <t xml:space="preserve">  Expense Ratio (%):</t>
        </is>
      </c>
      <c r="B5" s="8">
        <f>BDP("NVDL US Equity","FUND_EXPENSE_RATIO")</f>
        <v/>
      </c>
    </row>
    <row r="6" ht="18" customHeight="1">
      <c r="A6" s="7" t="inlineStr">
        <is>
          <t xml:space="preserve">  Leverage Factor:</t>
        </is>
      </c>
      <c r="B6" s="8">
        <f>BDP("NVDL US Equity","FUND_LEVERAGE_FACTOR")</f>
        <v/>
      </c>
    </row>
    <row r="7" ht="18" customHeight="1">
      <c r="A7" s="7" t="inlineStr">
        <is>
          <t xml:space="preserve">  Inception Date:</t>
        </is>
      </c>
      <c r="B7" s="8">
        <f>BDP("NVDL US Equity","FUND_INCEPT_DT")</f>
        <v/>
      </c>
    </row>
    <row r="8" ht="18" customHeight="1">
      <c r="A8" s="7" t="inlineStr">
        <is>
          <t xml:space="preserve">  Benchmark Index:</t>
        </is>
      </c>
      <c r="B8" s="8">
        <f>BDP("NVDL US Equity","FUND_BENCHMARK_INDEX")</f>
        <v/>
      </c>
    </row>
    <row r="9" ht="18" customHeight="1">
      <c r="A9" s="7" t="inlineStr">
        <is>
          <t xml:space="preserve">  Issuer:</t>
        </is>
      </c>
      <c r="B9" s="8">
        <f>BDP("NVDL US Equity","FUND_ASSET_CLASS_FOCUS")</f>
        <v/>
      </c>
    </row>
    <row r="10" ht="7" customHeight="1"/>
    <row r="11" ht="20" customHeight="1">
      <c r="A11" s="6" t="inlineStr">
        <is>
          <t xml:space="preserve">  Parameters — Historical Data Range</t>
        </is>
      </c>
    </row>
    <row r="12" ht="18" customHeight="1">
      <c r="A12" s="9" t="inlineStr">
        <is>
          <t xml:space="preserve">  Bloomberg Ticker:</t>
        </is>
      </c>
      <c r="B12" s="10" t="inlineStr">
        <is>
          <t>NVDL US Equity</t>
        </is>
      </c>
    </row>
    <row r="13" ht="18" customHeight="1">
      <c r="A13" s="9" t="inlineStr">
        <is>
          <t xml:space="preserve">  Start Date:</t>
        </is>
      </c>
      <c r="B13" s="10" t="inlineStr">
        <is>
          <t>06/01/2020</t>
        </is>
      </c>
      <c r="D13" s="11" t="inlineStr">
        <is>
          <t xml:space="preserve">  Edit to change start date. Bloomberg returns max available history if inception post start-date.</t>
        </is>
      </c>
    </row>
    <row r="14" ht="18" customHeight="1">
      <c r="A14" s="9" t="inlineStr">
        <is>
          <t xml:space="preserve">  End Date:</t>
        </is>
      </c>
      <c r="B14" s="10">
        <f>TEXT(TODAY(),"MM/DD/YYYY")</f>
        <v/>
      </c>
    </row>
    <row r="15" ht="7" customHeight="1"/>
    <row r="16" ht="20" customHeight="1">
      <c r="A16" s="6" t="inlineStr">
        <is>
          <t xml:space="preserve">  Historical Daily Data — BDH (spills downward, ~1,500 rows for full range)</t>
        </is>
      </c>
    </row>
    <row r="17" ht="22" customHeight="1">
      <c r="A17" s="12" t="inlineStr">
        <is>
          <t xml:space="preserve">  Formula auto-populates on Bloomberg Terminal. Fields: Open, High, Low, Close, Total Return Index, Volume, NAV, AUM, Shares Outstanding. Source: Bloomberg Terminal | NVDL US Equity</t>
        </is>
      </c>
    </row>
    <row r="18" ht="30" customHeight="1">
      <c r="A18" s="13" t="inlineStr">
        <is>
          <t>Date</t>
        </is>
      </c>
      <c r="B18" s="13" t="inlineStr">
        <is>
          <t>Open</t>
        </is>
      </c>
      <c r="C18" s="13" t="inlineStr">
        <is>
          <t>High</t>
        </is>
      </c>
      <c r="D18" s="13" t="inlineStr">
        <is>
          <t>Low</t>
        </is>
      </c>
      <c r="E18" s="13" t="inlineStr">
        <is>
          <t>Close</t>
        </is>
      </c>
      <c r="F18" s="13" t="inlineStr">
        <is>
          <t>Total Return Idx</t>
        </is>
      </c>
      <c r="G18" s="13" t="inlineStr">
        <is>
          <t>Volume</t>
        </is>
      </c>
      <c r="H18" s="13" t="inlineStr">
        <is>
          <t>NAV</t>
        </is>
      </c>
      <c r="I18" s="13" t="inlineStr">
        <is>
          <t>AUM ($M)</t>
        </is>
      </c>
      <c r="J18" s="13" t="inlineStr">
        <is>
          <t>Shares Out</t>
        </is>
      </c>
    </row>
    <row r="19" ht="16" customHeight="1">
      <c r="A19" s="14">
        <f>BDH("NVDL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7">
    <mergeCell ref="A1:J1"/>
    <mergeCell ref="A16:J16"/>
    <mergeCell ref="A17:J17"/>
    <mergeCell ref="A4:J4"/>
    <mergeCell ref="A2:J2"/>
    <mergeCell ref="D13:J13"/>
    <mergeCell ref="A11:J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LETF Data — MSOX  |  AdvisorShares MSOS Daily Leveraged</t>
        </is>
      </c>
    </row>
    <row r="2" ht="16" customHeight="1">
      <c r="A2" s="2" t="inlineStr">
        <is>
          <t xml:space="preserve">  Bloomberg: MSOX US Equity  |  Leverage: 2x  |  Underlying: MSOS  |  Asset Class: Equity</t>
        </is>
      </c>
    </row>
    <row r="3" ht="7" customHeight="1"/>
    <row r="4" ht="32" customHeight="1">
      <c r="A4" s="15" t="inlineStr">
        <is>
          <t xml:space="preserve">  ⚠  FLAG: Cannabis ETF. Thin options market — expect wide bid-ask spreads. Treat option data with caution.</t>
        </is>
      </c>
    </row>
    <row r="5" ht="7" customHeight="1"/>
    <row r="6" ht="20" customHeight="1">
      <c r="A6" s="6" t="inlineStr">
        <is>
          <t xml:space="preserve">  Static Metadata — BDP (Current Values, auto-refreshes on open)</t>
        </is>
      </c>
    </row>
    <row r="7" ht="18" customHeight="1">
      <c r="A7" s="7" t="inlineStr">
        <is>
          <t xml:space="preserve">  Expense Ratio (%):</t>
        </is>
      </c>
      <c r="B7" s="8">
        <f>BDP("MSOX US Equity","FUND_EXPENSE_RATIO")</f>
        <v/>
      </c>
    </row>
    <row r="8" ht="18" customHeight="1">
      <c r="A8" s="7" t="inlineStr">
        <is>
          <t xml:space="preserve">  Leverage Factor:</t>
        </is>
      </c>
      <c r="B8" s="8">
        <f>BDP("MSOX US Equity","FUND_LEVERAGE_FACTOR")</f>
        <v/>
      </c>
    </row>
    <row r="9" ht="18" customHeight="1">
      <c r="A9" s="7" t="inlineStr">
        <is>
          <t xml:space="preserve">  Inception Date:</t>
        </is>
      </c>
      <c r="B9" s="8">
        <f>BDP("MSOX US Equity","FUND_INCEPT_DT")</f>
        <v/>
      </c>
    </row>
    <row r="10" ht="18" customHeight="1">
      <c r="A10" s="7" t="inlineStr">
        <is>
          <t xml:space="preserve">  Benchmark Index:</t>
        </is>
      </c>
      <c r="B10" s="8">
        <f>BDP("MSOX US Equity","FUND_BENCHMARK_INDEX")</f>
        <v/>
      </c>
    </row>
    <row r="11" ht="18" customHeight="1">
      <c r="A11" s="7" t="inlineStr">
        <is>
          <t xml:space="preserve">  Issuer:</t>
        </is>
      </c>
      <c r="B11" s="8">
        <f>BDP("MSOX US Equity","FUND_ASSET_CLASS_FOCUS")</f>
        <v/>
      </c>
    </row>
    <row r="12" ht="7" customHeight="1"/>
    <row r="13" ht="20" customHeight="1">
      <c r="A13" s="6" t="inlineStr">
        <is>
          <t xml:space="preserve">  Parameters — Historical Data Range</t>
        </is>
      </c>
    </row>
    <row r="14" ht="18" customHeight="1">
      <c r="A14" s="9" t="inlineStr">
        <is>
          <t xml:space="preserve">  Bloomberg Ticker:</t>
        </is>
      </c>
      <c r="B14" s="10" t="inlineStr">
        <is>
          <t>MSOX US Equity</t>
        </is>
      </c>
    </row>
    <row r="15" ht="18" customHeight="1">
      <c r="A15" s="9" t="inlineStr">
        <is>
          <t xml:space="preserve">  Start Date:</t>
        </is>
      </c>
      <c r="B15" s="10" t="inlineStr">
        <is>
          <t>06/01/2020</t>
        </is>
      </c>
      <c r="D15" s="11" t="inlineStr">
        <is>
          <t xml:space="preserve">  Edit to change start date. Bloomberg returns max available history if inception post start-date.</t>
        </is>
      </c>
    </row>
    <row r="16" ht="18" customHeight="1">
      <c r="A16" s="9" t="inlineStr">
        <is>
          <t xml:space="preserve">  End Date:</t>
        </is>
      </c>
      <c r="B16" s="10">
        <f>TEXT(TODAY(),"MM/DD/YYYY")</f>
        <v/>
      </c>
    </row>
    <row r="17" ht="7" customHeight="1"/>
    <row r="18" ht="20" customHeight="1">
      <c r="A18" s="6" t="inlineStr">
        <is>
          <t xml:space="preserve">  Historical Daily Data — BDH (spills downward, ~1,500 rows for full range)</t>
        </is>
      </c>
    </row>
    <row r="19" ht="22" customHeight="1">
      <c r="A19" s="12" t="inlineStr">
        <is>
          <t xml:space="preserve">  Formula auto-populates on Bloomberg Terminal. Fields: Open, High, Low, Close, Total Return Index, Volume, NAV, AUM, Shares Outstanding. Source: Bloomberg Terminal | MSOX US Equity</t>
        </is>
      </c>
    </row>
    <row r="20" ht="30" customHeight="1">
      <c r="A20" s="13" t="inlineStr">
        <is>
          <t>Date</t>
        </is>
      </c>
      <c r="B20" s="13" t="inlineStr">
        <is>
          <t>Open</t>
        </is>
      </c>
      <c r="C20" s="13" t="inlineStr">
        <is>
          <t>High</t>
        </is>
      </c>
      <c r="D20" s="13" t="inlineStr">
        <is>
          <t>Low</t>
        </is>
      </c>
      <c r="E20" s="13" t="inlineStr">
        <is>
          <t>Close</t>
        </is>
      </c>
      <c r="F20" s="13" t="inlineStr">
        <is>
          <t>Total Return Idx</t>
        </is>
      </c>
      <c r="G20" s="13" t="inlineStr">
        <is>
          <t>Volume</t>
        </is>
      </c>
      <c r="H20" s="13" t="inlineStr">
        <is>
          <t>NAV</t>
        </is>
      </c>
      <c r="I20" s="13" t="inlineStr">
        <is>
          <t>AUM ($M)</t>
        </is>
      </c>
      <c r="J20" s="13" t="inlineStr">
        <is>
          <t>Shares Out</t>
        </is>
      </c>
    </row>
    <row r="21" ht="16" customHeight="1">
      <c r="A21" s="14">
        <f>BDH("MSOX US Equity",{"PX_OPEN","PX_HIGH","PX_LOW","PX_LAST","TOT_RETURN_INDEX_GROSS_DVDS","PX_VOLUME","FUND_NET_ASSET_VAL","FUND_TOTAL_ASSETS","EQY_SH_OUT"},"06/01/2020",TEXT(TODAY(),"MM/DD/YYYY"),"Dts=S","Dir=V","Per=CD","Days=W","CDR=5D")</f>
        <v/>
      </c>
    </row>
  </sheetData>
  <mergeCells count="8">
    <mergeCell ref="A1:J1"/>
    <mergeCell ref="A6:J6"/>
    <mergeCell ref="A18:J18"/>
    <mergeCell ref="A4:J4"/>
    <mergeCell ref="A19:J19"/>
    <mergeCell ref="A2:J2"/>
    <mergeCell ref="D15:J15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2026-06-06T00:46:05Z</dcterms:created>
  <dcterms:modified xmlns:dcterms="http://purl.org/dc/terms/" xmlns:xsi="http://www.w3.org/2001/XMLSchema-instance" xsi:type="dcterms:W3CDTF">2026-06-06T00:46:05Z</dcterms:modified>
</cp:coreProperties>
</file>