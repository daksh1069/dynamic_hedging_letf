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STR" sheetId="2" state="visible" r:id="rId2"/>
    <sheet name="SMCI" sheetId="3" state="visible" r:id="rId3"/>
    <sheet name="TSLA" sheetId="4" state="visible" r:id="rId4"/>
    <sheet name="COIN" sheetId="5" state="visible" r:id="rId5"/>
    <sheet name="PLTR" sheetId="6" state="visible" r:id="rId6"/>
    <sheet name="MU" sheetId="7" state="visible" r:id="rId7"/>
    <sheet name="ETH" sheetId="8" state="visible" r:id="rId8"/>
    <sheet name="NG1" sheetId="9" state="visible" r:id="rId9"/>
    <sheet name="SOXX" sheetId="10" state="visible" r:id="rId10"/>
    <sheet name="AVGO" sheetId="11" state="visible" r:id="rId11"/>
    <sheet name="NVO" sheetId="12" state="visible" r:id="rId12"/>
    <sheet name="NVDA" sheetId="13" state="visible" r:id="rId13"/>
    <sheet name="MS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00000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404040"/>
      <sz val="9"/>
    </font>
    <font>
      <name val="Arial"/>
      <color rgb="00404040"/>
      <sz val="9"/>
    </font>
    <font>
      <name val="Arial"/>
      <b val="1"/>
      <color rgb="00C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6" fillId="6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top"/>
    </xf>
    <xf numFmtId="0" fontId="10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8" customWidth="1" min="3" max="3"/>
    <col width="12" customWidth="1" min="4" max="4"/>
    <col width="10" customWidth="1" min="5" max="5"/>
    <col width="26" customWidth="1" min="6" max="6"/>
    <col width="8" customWidth="1" min="7" max="7"/>
  </cols>
  <sheetData>
    <row r="1" ht="26" customHeight="1">
      <c r="A1" s="1" t="inlineStr">
        <is>
          <t xml:space="preserve">  Excel 3 — Underlying Asset Data  |  Sheet Index</t>
        </is>
      </c>
    </row>
    <row r="2" ht="16" customHeight="1">
      <c r="A2" s="2" t="inlineStr">
        <is>
          <t xml:space="preserve">  One sheet per underlying. Equity: OHLCV + Total Return + Market Cap. Crypto/Commodity: OHLCV only.</t>
        </is>
      </c>
    </row>
    <row r="3" ht="30" customHeight="1">
      <c r="A3" s="3" t="inlineStr">
        <is>
          <t>#</t>
        </is>
      </c>
      <c r="B3" s="3" t="inlineStr">
        <is>
          <t>Underlying</t>
        </is>
      </c>
      <c r="C3" s="3" t="inlineStr">
        <is>
          <t>Bloomberg Ticker</t>
        </is>
      </c>
      <c r="D3" s="3" t="inlineStr">
        <is>
          <t>Asset Class</t>
        </is>
      </c>
      <c r="E3" s="3" t="inlineStr">
        <is>
          <t>LETF Pair</t>
        </is>
      </c>
      <c r="F3" s="3" t="inlineStr">
        <is>
          <t>Options Available</t>
        </is>
      </c>
      <c r="G3" s="3" t="inlineStr">
        <is>
          <t>Flag</t>
        </is>
      </c>
    </row>
    <row r="4" ht="18" customHeight="1">
      <c r="A4" s="4" t="n">
        <v>1</v>
      </c>
      <c r="B4" s="4" t="inlineStr">
        <is>
          <t>MSTR</t>
        </is>
      </c>
      <c r="C4" s="4" t="inlineStr">
        <is>
          <t>MSTR US Equity</t>
        </is>
      </c>
      <c r="D4" s="4" t="inlineStr">
        <is>
          <t>Equity</t>
        </is>
      </c>
      <c r="E4" s="4" t="inlineStr">
        <is>
          <t>MSTU</t>
        </is>
      </c>
      <c r="F4" s="4" t="inlineStr">
        <is>
          <t>Standard listed options</t>
        </is>
      </c>
      <c r="G4" s="4" t="inlineStr"/>
    </row>
    <row r="5" ht="18" customHeight="1">
      <c r="A5" s="4" t="n">
        <v>2</v>
      </c>
      <c r="B5" s="4" t="inlineStr">
        <is>
          <t>SMCI</t>
        </is>
      </c>
      <c r="C5" s="4" t="inlineStr">
        <is>
          <t>SMCI US Equity</t>
        </is>
      </c>
      <c r="D5" s="4" t="inlineStr">
        <is>
          <t>Equity</t>
        </is>
      </c>
      <c r="E5" s="4" t="inlineStr">
        <is>
          <t>SMCX</t>
        </is>
      </c>
      <c r="F5" s="4" t="inlineStr">
        <is>
          <t>Standard listed options</t>
        </is>
      </c>
      <c r="G5" s="4" t="inlineStr"/>
    </row>
    <row r="6" ht="18" customHeight="1">
      <c r="A6" s="4" t="n">
        <v>3</v>
      </c>
      <c r="B6" s="4" t="inlineStr">
        <is>
          <t>TSLA</t>
        </is>
      </c>
      <c r="C6" s="4" t="inlineStr">
        <is>
          <t>TSLA US Equity</t>
        </is>
      </c>
      <c r="D6" s="4" t="inlineStr">
        <is>
          <t>Equity</t>
        </is>
      </c>
      <c r="E6" s="4" t="inlineStr">
        <is>
          <t>TSLT</t>
        </is>
      </c>
      <c r="F6" s="4" t="inlineStr">
        <is>
          <t>Standard listed options</t>
        </is>
      </c>
      <c r="G6" s="4" t="inlineStr"/>
    </row>
    <row r="7" ht="18" customHeight="1">
      <c r="A7" s="4" t="n">
        <v>4</v>
      </c>
      <c r="B7" s="4" t="inlineStr">
        <is>
          <t>COIN</t>
        </is>
      </c>
      <c r="C7" s="4" t="inlineStr">
        <is>
          <t>COIN US Equity</t>
        </is>
      </c>
      <c r="D7" s="4" t="inlineStr">
        <is>
          <t>Equity</t>
        </is>
      </c>
      <c r="E7" s="4" t="inlineStr">
        <is>
          <t>CONL</t>
        </is>
      </c>
      <c r="F7" s="4" t="inlineStr">
        <is>
          <t>Standard listed options</t>
        </is>
      </c>
      <c r="G7" s="4" t="inlineStr"/>
    </row>
    <row r="8" ht="18" customHeight="1">
      <c r="A8" s="4" t="n">
        <v>5</v>
      </c>
      <c r="B8" s="4" t="inlineStr">
        <is>
          <t>PLTR</t>
        </is>
      </c>
      <c r="C8" s="4" t="inlineStr">
        <is>
          <t>PLTR US Equity</t>
        </is>
      </c>
      <c r="D8" s="4" t="inlineStr">
        <is>
          <t>Equity</t>
        </is>
      </c>
      <c r="E8" s="4" t="inlineStr">
        <is>
          <t>PLTU</t>
        </is>
      </c>
      <c r="F8" s="4" t="inlineStr">
        <is>
          <t>Standard listed options</t>
        </is>
      </c>
      <c r="G8" s="4" t="inlineStr"/>
    </row>
    <row r="9" ht="18" customHeight="1">
      <c r="A9" s="4" t="n">
        <v>6</v>
      </c>
      <c r="B9" s="4" t="inlineStr">
        <is>
          <t>MU</t>
        </is>
      </c>
      <c r="C9" s="4" t="inlineStr">
        <is>
          <t>MU US Equity</t>
        </is>
      </c>
      <c r="D9" s="4" t="inlineStr">
        <is>
          <t>Equity</t>
        </is>
      </c>
      <c r="E9" s="4" t="inlineStr">
        <is>
          <t>MUU</t>
        </is>
      </c>
      <c r="F9" s="4" t="inlineStr">
        <is>
          <t>Standard listed options</t>
        </is>
      </c>
      <c r="G9" s="4" t="inlineStr"/>
    </row>
    <row r="10" ht="18" customHeight="1">
      <c r="A10" s="4" t="n">
        <v>7</v>
      </c>
      <c r="B10" s="4" t="inlineStr">
        <is>
          <t>ETH</t>
        </is>
      </c>
      <c r="C10" s="4" t="inlineStr">
        <is>
          <t>XETH Curncy</t>
        </is>
      </c>
      <c r="D10" s="4" t="inlineStr">
        <is>
          <t>Crypto</t>
        </is>
      </c>
      <c r="E10" s="4" t="inlineStr">
        <is>
          <t>ETHT</t>
        </is>
      </c>
      <c r="F10" s="4" t="inlineStr">
        <is>
          <t>CME ETH Futures options</t>
        </is>
      </c>
      <c r="G10" s="5" t="inlineStr">
        <is>
          <t>⚑</t>
        </is>
      </c>
    </row>
    <row r="11" ht="18" customHeight="1">
      <c r="A11" s="4" t="n">
        <v>8</v>
      </c>
      <c r="B11" s="4" t="inlineStr">
        <is>
          <t>NG1</t>
        </is>
      </c>
      <c r="C11" s="4" t="inlineStr">
        <is>
          <t>NG1 Comdty</t>
        </is>
      </c>
      <c r="D11" s="4" t="inlineStr">
        <is>
          <t>Commodity</t>
        </is>
      </c>
      <c r="E11" s="4" t="inlineStr">
        <is>
          <t>BOIL</t>
        </is>
      </c>
      <c r="F11" s="4" t="inlineStr">
        <is>
          <t>UNG / NG Futures options</t>
        </is>
      </c>
      <c r="G11" s="5" t="inlineStr">
        <is>
          <t>⚑</t>
        </is>
      </c>
    </row>
    <row r="12" ht="18" customHeight="1">
      <c r="A12" s="4" t="n">
        <v>9</v>
      </c>
      <c r="B12" s="4" t="inlineStr">
        <is>
          <t>SOXX</t>
        </is>
      </c>
      <c r="C12" s="4" t="inlineStr">
        <is>
          <t>SOXX US Equity</t>
        </is>
      </c>
      <c r="D12" s="4" t="inlineStr">
        <is>
          <t>Equity</t>
        </is>
      </c>
      <c r="E12" s="4" t="inlineStr">
        <is>
          <t>SOXL</t>
        </is>
      </c>
      <c r="F12" s="4" t="inlineStr">
        <is>
          <t>Standard listed options</t>
        </is>
      </c>
      <c r="G12" s="4" t="inlineStr"/>
    </row>
    <row r="13" ht="18" customHeight="1">
      <c r="A13" s="4" t="n">
        <v>10</v>
      </c>
      <c r="B13" s="4" t="inlineStr">
        <is>
          <t>AVGO</t>
        </is>
      </c>
      <c r="C13" s="4" t="inlineStr">
        <is>
          <t>AVGO US Equity</t>
        </is>
      </c>
      <c r="D13" s="4" t="inlineStr">
        <is>
          <t>Equity</t>
        </is>
      </c>
      <c r="E13" s="4" t="inlineStr">
        <is>
          <t>AVL</t>
        </is>
      </c>
      <c r="F13" s="4" t="inlineStr">
        <is>
          <t>Standard listed options</t>
        </is>
      </c>
      <c r="G13" s="4" t="inlineStr"/>
    </row>
    <row r="14" ht="18" customHeight="1">
      <c r="A14" s="4" t="n">
        <v>11</v>
      </c>
      <c r="B14" s="4" t="inlineStr">
        <is>
          <t>NVO</t>
        </is>
      </c>
      <c r="C14" s="4" t="inlineStr">
        <is>
          <t>NVO US Equity</t>
        </is>
      </c>
      <c r="D14" s="4" t="inlineStr">
        <is>
          <t>Equity</t>
        </is>
      </c>
      <c r="E14" s="4" t="inlineStr">
        <is>
          <t>NVOX</t>
        </is>
      </c>
      <c r="F14" s="4" t="inlineStr">
        <is>
          <t>Standard listed options</t>
        </is>
      </c>
      <c r="G14" s="4" t="inlineStr"/>
    </row>
    <row r="15" ht="18" customHeight="1">
      <c r="A15" s="4" t="n">
        <v>12</v>
      </c>
      <c r="B15" s="4" t="inlineStr">
        <is>
          <t>NVDA</t>
        </is>
      </c>
      <c r="C15" s="4" t="inlineStr">
        <is>
          <t>NVDA US Equity</t>
        </is>
      </c>
      <c r="D15" s="4" t="inlineStr">
        <is>
          <t>Equity</t>
        </is>
      </c>
      <c r="E15" s="4" t="inlineStr">
        <is>
          <t>NVDL</t>
        </is>
      </c>
      <c r="F15" s="4" t="inlineStr">
        <is>
          <t>Standard listed options</t>
        </is>
      </c>
      <c r="G15" s="4" t="inlineStr"/>
    </row>
    <row r="16" ht="18" customHeight="1">
      <c r="A16" s="4" t="n">
        <v>13</v>
      </c>
      <c r="B16" s="4" t="inlineStr">
        <is>
          <t>MSOS</t>
        </is>
      </c>
      <c r="C16" s="4" t="inlineStr">
        <is>
          <t>MSOS US Equity</t>
        </is>
      </c>
      <c r="D16" s="4" t="inlineStr">
        <is>
          <t>Equity</t>
        </is>
      </c>
      <c r="E16" s="4" t="inlineStr">
        <is>
          <t>MSOX</t>
        </is>
      </c>
      <c r="F16" s="4" t="inlineStr">
        <is>
          <t>Standard listed options</t>
        </is>
      </c>
      <c r="G16" s="5" t="inlineStr">
        <is>
          <t>⚑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MSTR  |  (LETF Pair: MSTU)</t>
        </is>
      </c>
    </row>
    <row r="2" ht="16" customHeight="1">
      <c r="A2" s="2" t="inlineStr">
        <is>
          <t xml:space="preserve">  Bloomberg: MSTR US Equity  |  Asset Class: Equity  |  LETF: MSTU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MSTR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MSTR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BDH("MSTR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SMCI  |  (LETF Pair: SMCX)</t>
        </is>
      </c>
    </row>
    <row r="2" ht="16" customHeight="1">
      <c r="A2" s="2" t="inlineStr">
        <is>
          <t xml:space="preserve">  Bloomberg: SMCI US Equity  |  Asset Class: Equity  |  LETF: SMCX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SMCI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SMCI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BDH("SMCI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TSLA  |  (LETF Pair: TSLT)</t>
        </is>
      </c>
    </row>
    <row r="2" ht="16" customHeight="1">
      <c r="A2" s="2" t="inlineStr">
        <is>
          <t xml:space="preserve">  Bloomberg: TSLA US Equity  |  Asset Class: Equity  |  LETF: TSLT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TSLA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TSLA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BDH("TSLA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COIN  |  (LETF Pair: CONL)</t>
        </is>
      </c>
    </row>
    <row r="2" ht="16" customHeight="1">
      <c r="A2" s="2" t="inlineStr">
        <is>
          <t xml:space="preserve">  Bloomberg: COIN US Equity  |  Asset Class: Equity  |  LETF: CONL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COIN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COIN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BDH("COIN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PLTR  |  (LETF Pair: PLTU)</t>
        </is>
      </c>
    </row>
    <row r="2" ht="16" customHeight="1">
      <c r="A2" s="2" t="inlineStr">
        <is>
          <t xml:space="preserve">  Bloomberg: PLTR US Equity  |  Asset Class: Equity  |  LETF: PLTU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PLTR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PLTR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BDH("PLTR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MU  |  (LETF Pair: MUU)</t>
        </is>
      </c>
    </row>
    <row r="2" ht="16" customHeight="1">
      <c r="A2" s="2" t="inlineStr">
        <is>
          <t xml:space="preserve">  Bloomberg: MU US Equity  |  Asset Class: Equity  |  LETF: MUU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MU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MU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BDH("MU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 xml:space="preserve">  Underlying Data — ETH  |  (LETF Pair: ETHT)</t>
        </is>
      </c>
    </row>
    <row r="2" ht="16" customHeight="1">
      <c r="A2" s="2" t="inlineStr">
        <is>
          <t xml:space="preserve">  Bloomberg: XETH Curncy  |  Asset Class: Crypto  |  LETF: ETHT US Equity</t>
        </is>
      </c>
    </row>
    <row r="3" ht="7" customHeight="1"/>
    <row r="4" ht="32" customHeight="1">
      <c r="A4" s="12" t="inlineStr">
        <is>
          <t xml:space="preserve">  ⚠  FLAG: Crypto underlying. Options only via CME ETH futures — limited historical data depth.</t>
        </is>
      </c>
    </row>
    <row r="5" ht="7" customHeight="1"/>
    <row r="6" ht="20" customHeight="1">
      <c r="A6" s="6" t="inlineStr">
        <is>
          <t xml:space="preserve">  Parameters</t>
        </is>
      </c>
    </row>
    <row r="7" ht="18" customHeight="1">
      <c r="A7" s="7" t="inlineStr">
        <is>
          <t xml:space="preserve">  Bloomberg Ticker:</t>
        </is>
      </c>
      <c r="B7" s="8" t="inlineStr">
        <is>
          <t>XETH Curncy</t>
        </is>
      </c>
    </row>
    <row r="8" ht="18" customHeight="1">
      <c r="A8" s="7" t="inlineStr">
        <is>
          <t xml:space="preserve">  Start Date:</t>
        </is>
      </c>
      <c r="B8" s="8" t="inlineStr">
        <is>
          <t>06/01/2020</t>
        </is>
      </c>
      <c r="D8" s="9" t="inlineStr">
        <is>
          <t xml:space="preserve">  Bloomberg returns max available history if asset inception is after start date.</t>
        </is>
      </c>
    </row>
    <row r="9" ht="18" customHeight="1">
      <c r="A9" s="7" t="inlineStr">
        <is>
          <t xml:space="preserve">  End Date:</t>
        </is>
      </c>
      <c r="B9" s="8">
        <f>TEXT(TODAY(),"MM/DD/YYYY")</f>
        <v/>
      </c>
    </row>
    <row r="10" ht="7" customHeight="1"/>
    <row r="11" ht="20" customHeight="1">
      <c r="A11" s="6" t="inlineStr">
        <is>
          <t xml:space="preserve">  Historical Daily Data — BDH</t>
        </is>
      </c>
    </row>
    <row r="12" ht="22" customHeight="1">
      <c r="A12" s="10" t="inlineStr">
        <is>
          <t xml:space="preserve">  Source: Bloomberg Terminal | XETH Curncy  |  OHLCV only (no market cap for Crypto)</t>
        </is>
      </c>
    </row>
    <row r="13" ht="30" customHeight="1">
      <c r="A13" s="3" t="inlineStr">
        <is>
          <t>Date</t>
        </is>
      </c>
      <c r="B13" s="3" t="inlineStr">
        <is>
          <t>Open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Close</t>
        </is>
      </c>
      <c r="F13" s="3" t="inlineStr">
        <is>
          <t>Volume</t>
        </is>
      </c>
    </row>
    <row r="14" ht="16" customHeight="1">
      <c r="A14" s="11">
        <f>BDH("XETH Curncy",{"PX_OPEN","PX_HIGH","PX_LOW","PX_LAST","PX_VOLUME"},"06/01/2020",TEXT(TODAY(),"MM/DD/YYYY"),"Dts=S","Dir=V","Per=CD","Days=W","CDR=5D")</f>
        <v/>
      </c>
    </row>
  </sheetData>
  <mergeCells count="7">
    <mergeCell ref="A2:F2"/>
    <mergeCell ref="A11:F11"/>
    <mergeCell ref="A1:F1"/>
    <mergeCell ref="A6:F6"/>
    <mergeCell ref="A12:F12"/>
    <mergeCell ref="A4:F4"/>
    <mergeCell ref="D8:F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 xml:space="preserve">  Underlying Data — NG1  |  (LETF Pair: BOIL)</t>
        </is>
      </c>
    </row>
    <row r="2" ht="16" customHeight="1">
      <c r="A2" s="2" t="inlineStr">
        <is>
          <t xml:space="preserve">  Bloomberg: NG1 Comdty  |  Asset Class: Commodity  |  LETF: BOIL US Equity</t>
        </is>
      </c>
    </row>
    <row r="3" ht="7" customHeight="1"/>
    <row r="4" ht="32" customHeight="1">
      <c r="A4" s="12" t="inlineStr">
        <is>
          <t xml:space="preserve">  ⚠  FLAG: Commodity underlying. Use UNG US Equity or NG Comdty options — structure differs from equity options.</t>
        </is>
      </c>
    </row>
    <row r="5" ht="7" customHeight="1"/>
    <row r="6" ht="20" customHeight="1">
      <c r="A6" s="6" t="inlineStr">
        <is>
          <t xml:space="preserve">  Parameters</t>
        </is>
      </c>
    </row>
    <row r="7" ht="18" customHeight="1">
      <c r="A7" s="7" t="inlineStr">
        <is>
          <t xml:space="preserve">  Bloomberg Ticker:</t>
        </is>
      </c>
      <c r="B7" s="8" t="inlineStr">
        <is>
          <t>NG1 Comdty</t>
        </is>
      </c>
    </row>
    <row r="8" ht="18" customHeight="1">
      <c r="A8" s="7" t="inlineStr">
        <is>
          <t xml:space="preserve">  Start Date:</t>
        </is>
      </c>
      <c r="B8" s="8" t="inlineStr">
        <is>
          <t>06/01/2020</t>
        </is>
      </c>
      <c r="D8" s="9" t="inlineStr">
        <is>
          <t xml:space="preserve">  Bloomberg returns max available history if asset inception is after start date.</t>
        </is>
      </c>
    </row>
    <row r="9" ht="18" customHeight="1">
      <c r="A9" s="7" t="inlineStr">
        <is>
          <t xml:space="preserve">  End Date:</t>
        </is>
      </c>
      <c r="B9" s="8">
        <f>TEXT(TODAY(),"MM/DD/YYYY")</f>
        <v/>
      </c>
    </row>
    <row r="10" ht="7" customHeight="1"/>
    <row r="11" ht="20" customHeight="1">
      <c r="A11" s="6" t="inlineStr">
        <is>
          <t xml:space="preserve">  Historical Daily Data — BDH</t>
        </is>
      </c>
    </row>
    <row r="12" ht="22" customHeight="1">
      <c r="A12" s="10" t="inlineStr">
        <is>
          <t xml:space="preserve">  Source: Bloomberg Terminal | NG1 Comdty  |  OHLCV only (no market cap for Commodity)</t>
        </is>
      </c>
    </row>
    <row r="13" ht="30" customHeight="1">
      <c r="A13" s="3" t="inlineStr">
        <is>
          <t>Date</t>
        </is>
      </c>
      <c r="B13" s="3" t="inlineStr">
        <is>
          <t>Open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Close</t>
        </is>
      </c>
      <c r="F13" s="3" t="inlineStr">
        <is>
          <t>Volume</t>
        </is>
      </c>
    </row>
    <row r="14" ht="16" customHeight="1">
      <c r="A14" s="11">
        <f>BDH("NG1 Comdty",{"PX_OPEN","PX_HIGH","PX_LOW","PX_LAST","PX_VOLUME"},"06/01/2020",TEXT(TODAY(),"MM/DD/YYYY"),"Dts=S","Dir=V","Per=CD","Days=W","CDR=5D")</f>
        <v/>
      </c>
    </row>
  </sheetData>
  <mergeCells count="7">
    <mergeCell ref="A2:F2"/>
    <mergeCell ref="A11:F11"/>
    <mergeCell ref="A1:F1"/>
    <mergeCell ref="A6:F6"/>
    <mergeCell ref="A12:F12"/>
    <mergeCell ref="A4:F4"/>
    <mergeCell ref="D8:F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SOXX  |  (LETF Pair: SOXL)</t>
        </is>
      </c>
    </row>
    <row r="2" ht="16" customHeight="1">
      <c r="A2" s="2" t="inlineStr">
        <is>
          <t xml:space="preserve">  Bloomberg: SOXX US Equity  |  Asset Class: Equity  |  LETF: SOXL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SOXX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SOXX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BDH("SOXX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AVGO  |  (LETF Pair: AVL)</t>
        </is>
      </c>
    </row>
    <row r="2" ht="16" customHeight="1">
      <c r="A2" s="2" t="inlineStr">
        <is>
          <t xml:space="preserve">  Bloomberg: AVGO US Equity  |  Asset Class: Equity  |  LETF: AVL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AVGO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AVGO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BDH("AVGO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NVO  |  (LETF Pair: NVOX)</t>
        </is>
      </c>
    </row>
    <row r="2" ht="16" customHeight="1">
      <c r="A2" s="2" t="inlineStr">
        <is>
          <t xml:space="preserve">  Bloomberg: NVO US Equity  |  Asset Class: Equity  |  LETF: NVOX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NVO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NVO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BDH("NVO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NVDA  |  (LETF Pair: NVDL)</t>
        </is>
      </c>
    </row>
    <row r="2" ht="16" customHeight="1">
      <c r="A2" s="2" t="inlineStr">
        <is>
          <t xml:space="preserve">  Bloomberg: NVDA US Equity  |  Asset Class: Equity  |  LETF: NVDL US Equity</t>
        </is>
      </c>
    </row>
    <row r="3" ht="7" customHeight="1"/>
    <row r="4" ht="20" customHeight="1">
      <c r="A4" s="6" t="inlineStr">
        <is>
          <t xml:space="preserve">  Parameters</t>
        </is>
      </c>
    </row>
    <row r="5" ht="18" customHeight="1">
      <c r="A5" s="7" t="inlineStr">
        <is>
          <t xml:space="preserve">  Bloomberg Ticker:</t>
        </is>
      </c>
      <c r="B5" s="8" t="inlineStr">
        <is>
          <t>NVDA US Equity</t>
        </is>
      </c>
    </row>
    <row r="6" ht="18" customHeight="1">
      <c r="A6" s="7" t="inlineStr">
        <is>
          <t xml:space="preserve">  Start Date:</t>
        </is>
      </c>
      <c r="B6" s="8" t="inlineStr">
        <is>
          <t>06/01/2020</t>
        </is>
      </c>
      <c r="D6" s="9" t="inlineStr">
        <is>
          <t xml:space="preserve">  Bloomberg returns max available history if asset inception is after start date.</t>
        </is>
      </c>
    </row>
    <row r="7" ht="18" customHeight="1">
      <c r="A7" s="7" t="inlineStr">
        <is>
          <t xml:space="preserve">  End Date:</t>
        </is>
      </c>
      <c r="B7" s="8">
        <f>TEXT(TODAY(),"MM/DD/YYYY")</f>
        <v/>
      </c>
    </row>
    <row r="8" ht="7" customHeight="1"/>
    <row r="9" ht="20" customHeight="1">
      <c r="A9" s="6" t="inlineStr">
        <is>
          <t xml:space="preserve">  Historical Daily Data — BDH</t>
        </is>
      </c>
    </row>
    <row r="10" ht="22" customHeight="1">
      <c r="A10" s="10" t="inlineStr">
        <is>
          <t xml:space="preserve">  Source: Bloomberg Terminal | NVDA US Equity  |  OHLCV + Total Return Index + Market Cap</t>
        </is>
      </c>
    </row>
    <row r="11" ht="30" customHeight="1">
      <c r="A11" s="3" t="inlineStr">
        <is>
          <t>Date</t>
        </is>
      </c>
      <c r="B11" s="3" t="inlineStr">
        <is>
          <t>Open</t>
        </is>
      </c>
      <c r="C11" s="3" t="inlineStr">
        <is>
          <t>High</t>
        </is>
      </c>
      <c r="D11" s="3" t="inlineStr">
        <is>
          <t>Low</t>
        </is>
      </c>
      <c r="E11" s="3" t="inlineStr">
        <is>
          <t>Close</t>
        </is>
      </c>
      <c r="F11" s="3" t="inlineStr">
        <is>
          <t>Total Return Idx</t>
        </is>
      </c>
      <c r="G11" s="3" t="inlineStr">
        <is>
          <t>Volume</t>
        </is>
      </c>
      <c r="H11" s="3" t="inlineStr">
        <is>
          <t>Mkt Cap ($M)</t>
        </is>
      </c>
    </row>
    <row r="12" ht="16" customHeight="1">
      <c r="A12" s="11">
        <f>BDH("NVDA US Equity",{"PX_OPEN","PX_HIGH","PX_LOW","PX_LAST","TOT_RETURN_INDEX_GROSS_DVDS","PX_VOLUME","CUR_MKT_CAP"},"06/01/2020",TEXT(TODAY(),"MM/DD/YYYY"),"Dts=S","Dir=V","Per=CD","Days=W","CDR=5D")</f>
        <v/>
      </c>
    </row>
  </sheetData>
  <mergeCells count="6">
    <mergeCell ref="A9:H9"/>
    <mergeCell ref="A4:H4"/>
    <mergeCell ref="D6:H6"/>
    <mergeCell ref="A2:H2"/>
    <mergeCell ref="A10:H10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 xml:space="preserve">  Underlying Data — MSOS  |  (LETF Pair: MSOX)</t>
        </is>
      </c>
    </row>
    <row r="2" ht="16" customHeight="1">
      <c r="A2" s="2" t="inlineStr">
        <is>
          <t xml:space="preserve">  Bloomberg: MSOS US Equity  |  Asset Class: Equity  |  LETF: MSOX US Equity</t>
        </is>
      </c>
    </row>
    <row r="3" ht="7" customHeight="1"/>
    <row r="4" ht="32" customHeight="1">
      <c r="A4" s="12" t="inlineStr">
        <is>
          <t xml:space="preserve">  ⚠  FLAG: Cannabis ETF. Thin options market — expect wide bid-ask spreads. Treat option data with caution.</t>
        </is>
      </c>
    </row>
    <row r="5" ht="7" customHeight="1"/>
    <row r="6" ht="20" customHeight="1">
      <c r="A6" s="6" t="inlineStr">
        <is>
          <t xml:space="preserve">  Parameters</t>
        </is>
      </c>
    </row>
    <row r="7" ht="18" customHeight="1">
      <c r="A7" s="7" t="inlineStr">
        <is>
          <t xml:space="preserve">  Bloomberg Ticker:</t>
        </is>
      </c>
      <c r="B7" s="8" t="inlineStr">
        <is>
          <t>MSOS US Equity</t>
        </is>
      </c>
    </row>
    <row r="8" ht="18" customHeight="1">
      <c r="A8" s="7" t="inlineStr">
        <is>
          <t xml:space="preserve">  Start Date:</t>
        </is>
      </c>
      <c r="B8" s="8" t="inlineStr">
        <is>
          <t>06/01/2020</t>
        </is>
      </c>
      <c r="D8" s="9" t="inlineStr">
        <is>
          <t xml:space="preserve">  Bloomberg returns max available history if asset inception is after start date.</t>
        </is>
      </c>
    </row>
    <row r="9" ht="18" customHeight="1">
      <c r="A9" s="7" t="inlineStr">
        <is>
          <t xml:space="preserve">  End Date:</t>
        </is>
      </c>
      <c r="B9" s="8">
        <f>TEXT(TODAY(),"MM/DD/YYYY")</f>
        <v/>
      </c>
    </row>
    <row r="10" ht="7" customHeight="1"/>
    <row r="11" ht="20" customHeight="1">
      <c r="A11" s="6" t="inlineStr">
        <is>
          <t xml:space="preserve">  Historical Daily Data — BDH</t>
        </is>
      </c>
    </row>
    <row r="12" ht="22" customHeight="1">
      <c r="A12" s="10" t="inlineStr">
        <is>
          <t xml:space="preserve">  Source: Bloomberg Terminal | MSOS US Equity  |  OHLCV + Total Return Index + Market Cap</t>
        </is>
      </c>
    </row>
    <row r="13" ht="30" customHeight="1">
      <c r="A13" s="3" t="inlineStr">
        <is>
          <t>Date</t>
        </is>
      </c>
      <c r="B13" s="3" t="inlineStr">
        <is>
          <t>Open</t>
        </is>
      </c>
      <c r="C13" s="3" t="inlineStr">
        <is>
          <t>High</t>
        </is>
      </c>
      <c r="D13" s="3" t="inlineStr">
        <is>
          <t>Low</t>
        </is>
      </c>
      <c r="E13" s="3" t="inlineStr">
        <is>
          <t>Close</t>
        </is>
      </c>
      <c r="F13" s="3" t="inlineStr">
        <is>
          <t>Total Return Idx</t>
        </is>
      </c>
      <c r="G13" s="3" t="inlineStr">
        <is>
          <t>Volume</t>
        </is>
      </c>
      <c r="H13" s="3" t="inlineStr">
        <is>
          <t>Mkt Cap ($M)</t>
        </is>
      </c>
    </row>
    <row r="14" ht="16" customHeight="1">
      <c r="A14" s="11">
        <f>BDH("MSOS US Equity",{"PX_OPEN","PX_HIGH","PX_LOW","PX_LAST","TOT_RETURN_INDEX_GROSS_DVDS","PX_VOLUME","CUR_MKT_CAP"},"06/01/2020",TEXT(TODAY(),"MM/DD/YYYY"),"Dts=S","Dir=V","Per=CD","Days=W","CDR=5D")</f>
        <v/>
      </c>
    </row>
  </sheetData>
  <mergeCells count="7">
    <mergeCell ref="A12:H12"/>
    <mergeCell ref="A4:H4"/>
    <mergeCell ref="D8:H8"/>
    <mergeCell ref="A2:H2"/>
    <mergeCell ref="A11:H11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2026-06-11T23:38:40Z</dcterms:created>
  <dcterms:modified xsi:type="dcterms:W3CDTF">2026-06-11T23:38:40Z</dcterms:modified>
</cp:coreProperties>
</file>