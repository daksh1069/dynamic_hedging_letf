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ies" sheetId="1" state="visible" r:id="rId1"/>
    <sheet name="Instructions" sheetId="2" state="visible" r:id="rId2"/>
    <sheet name="Batch_01" sheetId="3" state="visible" r:id="rId3"/>
    <sheet name="Batch_02" sheetId="4" state="visible" r:id="rId4"/>
    <sheet name="Batch_03" sheetId="5" state="visible" r:id="rId5"/>
    <sheet name="Batch_04" sheetId="6" state="visible" r:id="rId6"/>
    <sheet name="Batch_05" sheetId="7" state="visible" r:id="rId7"/>
    <sheet name="Batch_06" sheetId="8" state="visible" r:id="rId8"/>
    <sheet name="Batch_07" sheetId="9" state="visible" r:id="rId9"/>
    <sheet name="Batch_08" sheetId="10" state="visible" r:id="rId10"/>
    <sheet name="Batch_09" sheetId="11" state="visible" r:id="rId11"/>
    <sheet name="Batch_10" sheetId="12" state="visible" r:id="rId12"/>
    <sheet name="Batch_11" sheetId="13" state="visible" r:id="rId13"/>
    <sheet name="Batch_12" sheetId="14" state="visible" r:id="rId14"/>
    <sheet name="Batch_13" sheetId="15" state="visible" r:id="rId15"/>
    <sheet name="Batch_14" sheetId="16" state="visible" r:id="rId16"/>
    <sheet name="Batch_15" sheetId="17" state="visible" r:id="rId17"/>
    <sheet name="Batch_16" sheetId="18" state="visible" r:id="rId18"/>
    <sheet name="Batch_17" sheetId="19" state="visible" r:id="rId19"/>
    <sheet name="Batch_18" sheetId="20" state="visible" r:id="rId20"/>
    <sheet name="Batch_1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0" customWidth="1" min="4" max="4"/>
    <col width="14" customWidth="1" min="5" max="5"/>
  </cols>
  <sheetData>
    <row r="1">
      <c r="A1" s="1" t="inlineStr">
        <is>
          <t>RAW_ID</t>
        </is>
      </c>
      <c r="B1" s="1" t="inlineStr">
        <is>
          <t>DESCRIPTION</t>
        </is>
      </c>
      <c r="C1" s="1" t="inlineStr">
        <is>
          <t>EXPIRY</t>
        </is>
      </c>
      <c r="D1" s="1" t="inlineStr">
        <is>
          <t>STRIKE</t>
        </is>
      </c>
      <c r="E1" s="1" t="inlineStr">
        <is>
          <t>FIGI</t>
        </is>
      </c>
    </row>
    <row r="2">
      <c r="A2" t="inlineStr">
        <is>
          <t>BBG00J7GWR91 Equity</t>
        </is>
      </c>
      <c r="B2" t="inlineStr">
        <is>
          <t>TSLA US 01/17/20 P50</t>
        </is>
      </c>
      <c r="C2" t="inlineStr">
        <is>
          <t>2020-01-17</t>
        </is>
      </c>
      <c r="D2" t="n">
        <v>50</v>
      </c>
      <c r="E2" t="inlineStr">
        <is>
          <t>BBG00J7GWR91</t>
        </is>
      </c>
    </row>
    <row r="3">
      <c r="A3" t="inlineStr">
        <is>
          <t>BBG00J7GWSB6 Equity</t>
        </is>
      </c>
      <c r="B3" t="inlineStr">
        <is>
          <t>TSLA US 01/17/20 P55</t>
        </is>
      </c>
      <c r="C3" t="inlineStr">
        <is>
          <t>2020-01-17</t>
        </is>
      </c>
      <c r="D3" t="n">
        <v>55</v>
      </c>
      <c r="E3" t="inlineStr">
        <is>
          <t>BBG00J7GWSB6</t>
        </is>
      </c>
    </row>
    <row r="4">
      <c r="A4" t="inlineStr">
        <is>
          <t>BBG00J7GWTC3 Equity</t>
        </is>
      </c>
      <c r="B4" t="inlineStr">
        <is>
          <t>TSLA US 01/17/20 P60</t>
        </is>
      </c>
      <c r="C4" t="inlineStr">
        <is>
          <t>2020-01-17</t>
        </is>
      </c>
      <c r="D4" t="n">
        <v>60</v>
      </c>
      <c r="E4" t="inlineStr">
        <is>
          <t>BBG00J7GWTC3</t>
        </is>
      </c>
    </row>
    <row r="5">
      <c r="A5" t="inlineStr">
        <is>
          <t>BBG00J7GWVF5 Equity</t>
        </is>
      </c>
      <c r="B5" t="inlineStr">
        <is>
          <t>TSLA US 01/17/20 P65</t>
        </is>
      </c>
      <c r="C5" t="inlineStr">
        <is>
          <t>2020-01-17</t>
        </is>
      </c>
      <c r="D5" t="n">
        <v>65</v>
      </c>
      <c r="E5" t="inlineStr">
        <is>
          <t>BBG00J7GWVF5</t>
        </is>
      </c>
    </row>
    <row r="6">
      <c r="A6" t="inlineStr">
        <is>
          <t>BBG00J7GWWG2 Equity</t>
        </is>
      </c>
      <c r="B6" t="inlineStr">
        <is>
          <t>TSLA US 01/17/20 P70</t>
        </is>
      </c>
      <c r="C6" t="inlineStr">
        <is>
          <t>2020-01-17</t>
        </is>
      </c>
      <c r="D6" t="n">
        <v>70</v>
      </c>
      <c r="E6" t="inlineStr">
        <is>
          <t>BBG00J7GWWG2</t>
        </is>
      </c>
    </row>
    <row r="7">
      <c r="A7" t="inlineStr">
        <is>
          <t>BBG00J7GWXH9 Equity</t>
        </is>
      </c>
      <c r="B7" t="inlineStr">
        <is>
          <t>TSLA US 01/17/20 P75</t>
        </is>
      </c>
      <c r="C7" t="inlineStr">
        <is>
          <t>2020-01-17</t>
        </is>
      </c>
      <c r="D7" t="n">
        <v>75</v>
      </c>
      <c r="E7" t="inlineStr">
        <is>
          <t>BBG00J7GWXH9</t>
        </is>
      </c>
    </row>
    <row r="8">
      <c r="A8" t="inlineStr">
        <is>
          <t>BBG00R26NL20 Equity</t>
        </is>
      </c>
      <c r="B8" t="inlineStr">
        <is>
          <t>TSLA US 02/21/20 P50</t>
        </is>
      </c>
      <c r="C8" t="inlineStr">
        <is>
          <t>2020-02-21</t>
        </is>
      </c>
      <c r="D8" t="n">
        <v>50</v>
      </c>
      <c r="E8" t="inlineStr">
        <is>
          <t>BBG00R26NL20</t>
        </is>
      </c>
    </row>
    <row r="9">
      <c r="A9" t="inlineStr">
        <is>
          <t>BBG00R26NM64 Equity</t>
        </is>
      </c>
      <c r="B9" t="inlineStr">
        <is>
          <t>TSLA US 02/21/20 P55</t>
        </is>
      </c>
      <c r="C9" t="inlineStr">
        <is>
          <t>2020-02-21</t>
        </is>
      </c>
      <c r="D9" t="n">
        <v>55</v>
      </c>
      <c r="E9" t="inlineStr">
        <is>
          <t>BBG00R26NM64</t>
        </is>
      </c>
    </row>
    <row r="10">
      <c r="A10" t="inlineStr">
        <is>
          <t>BBG00R26NN99 Equity</t>
        </is>
      </c>
      <c r="B10" t="inlineStr">
        <is>
          <t>TSLA US 02/21/20 P60</t>
        </is>
      </c>
      <c r="C10" t="inlineStr">
        <is>
          <t>2020-02-21</t>
        </is>
      </c>
      <c r="D10" t="n">
        <v>60</v>
      </c>
      <c r="E10" t="inlineStr">
        <is>
          <t>BBG00R26NN99</t>
        </is>
      </c>
    </row>
    <row r="11">
      <c r="A11" t="inlineStr">
        <is>
          <t>BBG00R26NPD9 Equity</t>
        </is>
      </c>
      <c r="B11" t="inlineStr">
        <is>
          <t>TSLA US 02/21/20 P65</t>
        </is>
      </c>
      <c r="C11" t="inlineStr">
        <is>
          <t>2020-02-21</t>
        </is>
      </c>
      <c r="D11" t="n">
        <v>65</v>
      </c>
      <c r="E11" t="inlineStr">
        <is>
          <t>BBG00R26NPD9</t>
        </is>
      </c>
    </row>
    <row r="12">
      <c r="A12" t="inlineStr">
        <is>
          <t>BBG00R26NQJ1 Equity</t>
        </is>
      </c>
      <c r="B12" t="inlineStr">
        <is>
          <t>TSLA US 02/21/20 P70</t>
        </is>
      </c>
      <c r="C12" t="inlineStr">
        <is>
          <t>2020-02-21</t>
        </is>
      </c>
      <c r="D12" t="n">
        <v>70</v>
      </c>
      <c r="E12" t="inlineStr">
        <is>
          <t>BBG00R26NQJ1</t>
        </is>
      </c>
    </row>
    <row r="13">
      <c r="A13" t="inlineStr">
        <is>
          <t>BBG00R26NRM5 Equity</t>
        </is>
      </c>
      <c r="B13" t="inlineStr">
        <is>
          <t>TSLA US 02/21/20 P75</t>
        </is>
      </c>
      <c r="C13" t="inlineStr">
        <is>
          <t>2020-02-21</t>
        </is>
      </c>
      <c r="D13" t="n">
        <v>75</v>
      </c>
      <c r="E13" t="inlineStr">
        <is>
          <t>BBG00R26NRM5</t>
        </is>
      </c>
    </row>
    <row r="14">
      <c r="A14" t="inlineStr">
        <is>
          <t>BBG00P7TNV27 Equity</t>
        </is>
      </c>
      <c r="B14" t="inlineStr">
        <is>
          <t>TSLA US 03/20/20 P50</t>
        </is>
      </c>
      <c r="C14" t="inlineStr">
        <is>
          <t>2020-03-20</t>
        </is>
      </c>
      <c r="D14" t="n">
        <v>50</v>
      </c>
      <c r="E14" t="inlineStr">
        <is>
          <t>BBG00P7TNV27</t>
        </is>
      </c>
    </row>
    <row r="15">
      <c r="A15" t="inlineStr">
        <is>
          <t>BBG00P7TNW70 Equity</t>
        </is>
      </c>
      <c r="B15" t="inlineStr">
        <is>
          <t>TSLA US 03/20/20 P55</t>
        </is>
      </c>
      <c r="C15" t="inlineStr">
        <is>
          <t>2020-03-20</t>
        </is>
      </c>
      <c r="D15" t="n">
        <v>55</v>
      </c>
      <c r="E15" t="inlineStr">
        <is>
          <t>BBG00P7TNW70</t>
        </is>
      </c>
    </row>
    <row r="16">
      <c r="A16" t="inlineStr">
        <is>
          <t>BBG00P7TNXB3 Equity</t>
        </is>
      </c>
      <c r="B16" t="inlineStr">
        <is>
          <t>TSLA US 03/20/20 P60</t>
        </is>
      </c>
      <c r="C16" t="inlineStr">
        <is>
          <t>2020-03-20</t>
        </is>
      </c>
      <c r="D16" t="n">
        <v>60</v>
      </c>
      <c r="E16" t="inlineStr">
        <is>
          <t>BBG00P7TNXB3</t>
        </is>
      </c>
    </row>
    <row r="17">
      <c r="A17" t="inlineStr">
        <is>
          <t>BBG00P7TNYF7 Equity</t>
        </is>
      </c>
      <c r="B17" t="inlineStr">
        <is>
          <t>TSLA US 03/20/20 P65</t>
        </is>
      </c>
      <c r="C17" t="inlineStr">
        <is>
          <t>2020-03-20</t>
        </is>
      </c>
      <c r="D17" t="n">
        <v>65</v>
      </c>
      <c r="E17" t="inlineStr">
        <is>
          <t>BBG00P7TNYF7</t>
        </is>
      </c>
    </row>
    <row r="18">
      <c r="A18" t="inlineStr">
        <is>
          <t>BBG00P7TNZK8 Equity</t>
        </is>
      </c>
      <c r="B18" t="inlineStr">
        <is>
          <t>TSLA US 03/20/20 P70</t>
        </is>
      </c>
      <c r="C18" t="inlineStr">
        <is>
          <t>2020-03-20</t>
        </is>
      </c>
      <c r="D18" t="n">
        <v>70</v>
      </c>
      <c r="E18" t="inlineStr">
        <is>
          <t>BBG00P7TNZK8</t>
        </is>
      </c>
    </row>
    <row r="19">
      <c r="A19" t="inlineStr">
        <is>
          <t>BBG00P7TP0N0 Equity</t>
        </is>
      </c>
      <c r="B19" t="inlineStr">
        <is>
          <t>TSLA US 03/20/20 P75</t>
        </is>
      </c>
      <c r="C19" t="inlineStr">
        <is>
          <t>2020-03-20</t>
        </is>
      </c>
      <c r="D19" t="n">
        <v>75</v>
      </c>
      <c r="E19" t="inlineStr">
        <is>
          <t>BBG00P7TP0N0</t>
        </is>
      </c>
    </row>
    <row r="20">
      <c r="A20" t="inlineStr">
        <is>
          <t>BBG00LY3GP24 Equity</t>
        </is>
      </c>
      <c r="B20" t="inlineStr">
        <is>
          <t>TSLA US 06/19/20 P50</t>
        </is>
      </c>
      <c r="C20" t="inlineStr">
        <is>
          <t>2020-06-19</t>
        </is>
      </c>
      <c r="D20" t="n">
        <v>50</v>
      </c>
      <c r="E20" t="inlineStr">
        <is>
          <t>BBG00LY3GP24</t>
        </is>
      </c>
    </row>
    <row r="21">
      <c r="A21" t="inlineStr">
        <is>
          <t>BBG00LY3GQ40 Equity</t>
        </is>
      </c>
      <c r="B21" t="inlineStr">
        <is>
          <t>TSLA US 06/19/20 P55</t>
        </is>
      </c>
      <c r="C21" t="inlineStr">
        <is>
          <t>2020-06-19</t>
        </is>
      </c>
      <c r="D21" t="n">
        <v>55</v>
      </c>
      <c r="E21" t="inlineStr">
        <is>
          <t>BBG00LY3GQ40</t>
        </is>
      </c>
    </row>
    <row r="22">
      <c r="A22" t="inlineStr">
        <is>
          <t>BBG00LY3GR57 Equity</t>
        </is>
      </c>
      <c r="B22" t="inlineStr">
        <is>
          <t>TSLA US 06/19/20 P60</t>
        </is>
      </c>
      <c r="C22" t="inlineStr">
        <is>
          <t>2020-06-19</t>
        </is>
      </c>
      <c r="D22" t="n">
        <v>60</v>
      </c>
      <c r="E22" t="inlineStr">
        <is>
          <t>BBG00LY3GR57</t>
        </is>
      </c>
    </row>
    <row r="23">
      <c r="A23" t="inlineStr">
        <is>
          <t>BBG00LY3GS64 Equity</t>
        </is>
      </c>
      <c r="B23" t="inlineStr">
        <is>
          <t>TSLA US 06/19/20 P65</t>
        </is>
      </c>
      <c r="C23" t="inlineStr">
        <is>
          <t>2020-06-19</t>
        </is>
      </c>
      <c r="D23" t="n">
        <v>65</v>
      </c>
      <c r="E23" t="inlineStr">
        <is>
          <t>BBG00LY3GS64</t>
        </is>
      </c>
    </row>
    <row r="24">
      <c r="A24" t="inlineStr">
        <is>
          <t>BBG00LY3GT80 Equity</t>
        </is>
      </c>
      <c r="B24" t="inlineStr">
        <is>
          <t>TSLA US 06/19/20 P70</t>
        </is>
      </c>
      <c r="C24" t="inlineStr">
        <is>
          <t>2020-06-19</t>
        </is>
      </c>
      <c r="D24" t="n">
        <v>70</v>
      </c>
      <c r="E24" t="inlineStr">
        <is>
          <t>BBG00LY3GT80</t>
        </is>
      </c>
    </row>
    <row r="25">
      <c r="A25" t="inlineStr">
        <is>
          <t>BBG00LY3GV94 Equity</t>
        </is>
      </c>
      <c r="B25" t="inlineStr">
        <is>
          <t>TSLA US 06/19/20 P75</t>
        </is>
      </c>
      <c r="C25" t="inlineStr">
        <is>
          <t>2020-06-19</t>
        </is>
      </c>
      <c r="D25" t="n">
        <v>75</v>
      </c>
      <c r="E25" t="inlineStr">
        <is>
          <t>BBG00LY3GV94</t>
        </is>
      </c>
    </row>
    <row r="26">
      <c r="A26" t="inlineStr">
        <is>
          <t>BBG00R9JRRF4 Equity</t>
        </is>
      </c>
      <c r="B26" t="inlineStr">
        <is>
          <t>TSLA US 07/17/20 P50</t>
        </is>
      </c>
      <c r="C26" t="inlineStr">
        <is>
          <t>2020-07-17</t>
        </is>
      </c>
      <c r="D26" t="n">
        <v>50</v>
      </c>
      <c r="E26" t="inlineStr">
        <is>
          <t>BBG00R9JRRF4</t>
        </is>
      </c>
    </row>
    <row r="27">
      <c r="A27" t="inlineStr">
        <is>
          <t>BBG00R9JRSJ8 Equity</t>
        </is>
      </c>
      <c r="B27" t="inlineStr">
        <is>
          <t>TSLA US 07/17/20 P60</t>
        </is>
      </c>
      <c r="C27" t="inlineStr">
        <is>
          <t>2020-07-17</t>
        </is>
      </c>
      <c r="D27" t="n">
        <v>60</v>
      </c>
      <c r="E27" t="inlineStr">
        <is>
          <t>BBG00R9JRSJ8</t>
        </is>
      </c>
    </row>
    <row r="28">
      <c r="A28" t="inlineStr">
        <is>
          <t>BBG00R9JRTN1 Equity</t>
        </is>
      </c>
      <c r="B28" t="inlineStr">
        <is>
          <t>TSLA US 07/17/20 P70</t>
        </is>
      </c>
      <c r="C28" t="inlineStr">
        <is>
          <t>2020-07-17</t>
        </is>
      </c>
      <c r="D28" t="n">
        <v>70</v>
      </c>
      <c r="E28" t="inlineStr">
        <is>
          <t>BBG00R9JRTN1</t>
        </is>
      </c>
    </row>
    <row r="29">
      <c r="A29" t="inlineStr">
        <is>
          <t>BBG00R9JRVR2 Equity</t>
        </is>
      </c>
      <c r="B29" t="inlineStr">
        <is>
          <t>TSLA US 07/17/20 P80</t>
        </is>
      </c>
      <c r="C29" t="inlineStr">
        <is>
          <t>2020-07-17</t>
        </is>
      </c>
      <c r="D29" t="n">
        <v>80</v>
      </c>
      <c r="E29" t="inlineStr">
        <is>
          <t>BBG00R9JRVR2</t>
        </is>
      </c>
    </row>
    <row r="30">
      <c r="A30" t="inlineStr">
        <is>
          <t>BBG00R9JRWV5 Equity</t>
        </is>
      </c>
      <c r="B30" t="inlineStr">
        <is>
          <t>TSLA US 07/17/20 P90</t>
        </is>
      </c>
      <c r="C30" t="inlineStr">
        <is>
          <t>2020-07-17</t>
        </is>
      </c>
      <c r="D30" t="n">
        <v>90</v>
      </c>
      <c r="E30" t="inlineStr">
        <is>
          <t>BBG00R9JRWV5</t>
        </is>
      </c>
    </row>
    <row r="31">
      <c r="A31" t="inlineStr">
        <is>
          <t>BBG00QLBKJ19 Equity</t>
        </is>
      </c>
      <c r="B31" t="inlineStr">
        <is>
          <t>TSLA US 09/18/20 P48</t>
        </is>
      </c>
      <c r="C31" t="inlineStr">
        <is>
          <t>2020-09-18</t>
        </is>
      </c>
      <c r="D31" t="n">
        <v>48</v>
      </c>
      <c r="E31" t="inlineStr">
        <is>
          <t>BBG00QLBKJ19</t>
        </is>
      </c>
    </row>
    <row r="32">
      <c r="A32" t="inlineStr">
        <is>
          <t>BBG00QLBKK43 Equity</t>
        </is>
      </c>
      <c r="B32" t="inlineStr">
        <is>
          <t>TSLA US 09/18/20 P49</t>
        </is>
      </c>
      <c r="C32" t="inlineStr">
        <is>
          <t>2020-09-18</t>
        </is>
      </c>
      <c r="D32" t="n">
        <v>49</v>
      </c>
      <c r="E32" t="inlineStr">
        <is>
          <t>BBG00QLBKK43</t>
        </is>
      </c>
    </row>
    <row r="33">
      <c r="A33" t="inlineStr">
        <is>
          <t>BBG00QLBKL87 Equity</t>
        </is>
      </c>
      <c r="B33" t="inlineStr">
        <is>
          <t>TSLA US 09/18/20 P50</t>
        </is>
      </c>
      <c r="C33" t="inlineStr">
        <is>
          <t>2020-09-18</t>
        </is>
      </c>
      <c r="D33" t="n">
        <v>50</v>
      </c>
      <c r="E33" t="inlineStr">
        <is>
          <t>BBG00QLBKL87</t>
        </is>
      </c>
    </row>
    <row r="34">
      <c r="A34" t="inlineStr">
        <is>
          <t>BBG00QLBKMC0 Equity</t>
        </is>
      </c>
      <c r="B34" t="inlineStr">
        <is>
          <t>TSLA US 09/18/20 P51</t>
        </is>
      </c>
      <c r="C34" t="inlineStr">
        <is>
          <t>2020-09-18</t>
        </is>
      </c>
      <c r="D34" t="n">
        <v>51</v>
      </c>
      <c r="E34" t="inlineStr">
        <is>
          <t>BBG00QLBKMC0</t>
        </is>
      </c>
    </row>
    <row r="35">
      <c r="A35" t="inlineStr">
        <is>
          <t>BBG00QLBKNH3 Equity</t>
        </is>
      </c>
      <c r="B35" t="inlineStr">
        <is>
          <t>TSLA US 09/18/20 P52</t>
        </is>
      </c>
      <c r="C35" t="inlineStr">
        <is>
          <t>2020-09-18</t>
        </is>
      </c>
      <c r="D35" t="n">
        <v>52</v>
      </c>
      <c r="E35" t="inlineStr">
        <is>
          <t>BBG00QLBKNH3</t>
        </is>
      </c>
    </row>
    <row r="36">
      <c r="A36" t="inlineStr">
        <is>
          <t>BBG00QLBKPL3 Equity</t>
        </is>
      </c>
      <c r="B36" t="inlineStr">
        <is>
          <t>TSLA US 09/18/20 P53</t>
        </is>
      </c>
      <c r="C36" t="inlineStr">
        <is>
          <t>2020-09-18</t>
        </is>
      </c>
      <c r="D36" t="n">
        <v>53</v>
      </c>
      <c r="E36" t="inlineStr">
        <is>
          <t>BBG00QLBKPL3</t>
        </is>
      </c>
    </row>
    <row r="37">
      <c r="A37" t="inlineStr">
        <is>
          <t>BBG00QLBKQP7 Equity</t>
        </is>
      </c>
      <c r="B37" t="inlineStr">
        <is>
          <t>TSLA US 09/18/20 P54</t>
        </is>
      </c>
      <c r="C37" t="inlineStr">
        <is>
          <t>2020-09-18</t>
        </is>
      </c>
      <c r="D37" t="n">
        <v>54</v>
      </c>
      <c r="E37" t="inlineStr">
        <is>
          <t>BBG00QLBKQP7</t>
        </is>
      </c>
    </row>
    <row r="38">
      <c r="A38" t="inlineStr">
        <is>
          <t>BBG00QLBKRT1 Equity</t>
        </is>
      </c>
      <c r="B38" t="inlineStr">
        <is>
          <t>TSLA US 09/18/20 P55</t>
        </is>
      </c>
      <c r="C38" t="inlineStr">
        <is>
          <t>2020-09-18</t>
        </is>
      </c>
      <c r="D38" t="n">
        <v>55</v>
      </c>
      <c r="E38" t="inlineStr">
        <is>
          <t>BBG00QLBKRT1</t>
        </is>
      </c>
    </row>
    <row r="39">
      <c r="A39" t="inlineStr">
        <is>
          <t>BBG00QLBKSX4 Equity</t>
        </is>
      </c>
      <c r="B39" t="inlineStr">
        <is>
          <t>TSLA US 09/18/20 P56</t>
        </is>
      </c>
      <c r="C39" t="inlineStr">
        <is>
          <t>2020-09-18</t>
        </is>
      </c>
      <c r="D39" t="n">
        <v>56</v>
      </c>
      <c r="E39" t="inlineStr">
        <is>
          <t>BBG00QLBKSX4</t>
        </is>
      </c>
    </row>
    <row r="40">
      <c r="A40" t="inlineStr">
        <is>
          <t>BBG00QLBKV03 Equity</t>
        </is>
      </c>
      <c r="B40" t="inlineStr">
        <is>
          <t>TSLA US 09/18/20 P57</t>
        </is>
      </c>
      <c r="C40" t="inlineStr">
        <is>
          <t>2020-09-18</t>
        </is>
      </c>
      <c r="D40" t="n">
        <v>57</v>
      </c>
      <c r="E40" t="inlineStr">
        <is>
          <t>BBG00QLBKV03</t>
        </is>
      </c>
    </row>
    <row r="41">
      <c r="A41" t="inlineStr">
        <is>
          <t>BBG00QLBKW47 Equity</t>
        </is>
      </c>
      <c r="B41" t="inlineStr">
        <is>
          <t>TSLA US 09/18/20 P58</t>
        </is>
      </c>
      <c r="C41" t="inlineStr">
        <is>
          <t>2020-09-18</t>
        </is>
      </c>
      <c r="D41" t="n">
        <v>58</v>
      </c>
      <c r="E41" t="inlineStr">
        <is>
          <t>BBG00QLBKW47</t>
        </is>
      </c>
    </row>
    <row r="42">
      <c r="A42" t="inlineStr">
        <is>
          <t>BBG00QLBKX72 Equity</t>
        </is>
      </c>
      <c r="B42" t="inlineStr">
        <is>
          <t>TSLA US 09/18/20 P59</t>
        </is>
      </c>
      <c r="C42" t="inlineStr">
        <is>
          <t>2020-09-18</t>
        </is>
      </c>
      <c r="D42" t="n">
        <v>59</v>
      </c>
      <c r="E42" t="inlineStr">
        <is>
          <t>BBG00QLBKX72</t>
        </is>
      </c>
    </row>
    <row r="43">
      <c r="A43" t="inlineStr">
        <is>
          <t>BBG00QLBKYB5 Equity</t>
        </is>
      </c>
      <c r="B43" t="inlineStr">
        <is>
          <t>TSLA US 09/18/20 P60</t>
        </is>
      </c>
      <c r="C43" t="inlineStr">
        <is>
          <t>2020-09-18</t>
        </is>
      </c>
      <c r="D43" t="n">
        <v>60</v>
      </c>
      <c r="E43" t="inlineStr">
        <is>
          <t>BBG00QLBKYB5</t>
        </is>
      </c>
    </row>
    <row r="44">
      <c r="A44" t="inlineStr">
        <is>
          <t>BBG00QNG54W2 Equity</t>
        </is>
      </c>
      <c r="B44" t="inlineStr">
        <is>
          <t>TSLA US 09/18/20 P62</t>
        </is>
      </c>
      <c r="C44" t="inlineStr">
        <is>
          <t>2020-09-18</t>
        </is>
      </c>
      <c r="D44" t="n">
        <v>62</v>
      </c>
      <c r="E44" t="inlineStr">
        <is>
          <t>BBG00QNG54W2</t>
        </is>
      </c>
    </row>
    <row r="45">
      <c r="A45" t="inlineStr">
        <is>
          <t>BBG00QNG55Z6 Equity</t>
        </is>
      </c>
      <c r="B45" t="inlineStr">
        <is>
          <t>TSLA US 09/18/20 P64</t>
        </is>
      </c>
      <c r="C45" t="inlineStr">
        <is>
          <t>2020-09-18</t>
        </is>
      </c>
      <c r="D45" t="n">
        <v>64</v>
      </c>
      <c r="E45" t="inlineStr">
        <is>
          <t>BBG00QNG55Z6</t>
        </is>
      </c>
    </row>
    <row r="46">
      <c r="A46" t="inlineStr">
        <is>
          <t>BBG00QNG5728 Equity</t>
        </is>
      </c>
      <c r="B46" t="inlineStr">
        <is>
          <t>TSLA US 09/18/20 P66</t>
        </is>
      </c>
      <c r="C46" t="inlineStr">
        <is>
          <t>2020-09-18</t>
        </is>
      </c>
      <c r="D46" t="n">
        <v>66</v>
      </c>
      <c r="E46" t="inlineStr">
        <is>
          <t>BBG00QNG5728</t>
        </is>
      </c>
    </row>
    <row r="47">
      <c r="A47" t="inlineStr">
        <is>
          <t>BBG00QNG5862 Equity</t>
        </is>
      </c>
      <c r="B47" t="inlineStr">
        <is>
          <t>TSLA US 09/18/20 P68</t>
        </is>
      </c>
      <c r="C47" t="inlineStr">
        <is>
          <t>2020-09-18</t>
        </is>
      </c>
      <c r="D47" t="n">
        <v>68</v>
      </c>
      <c r="E47" t="inlineStr">
        <is>
          <t>BBG00QNG5862</t>
        </is>
      </c>
    </row>
    <row r="48">
      <c r="A48" t="inlineStr">
        <is>
          <t>BBG00QNG5997 Equity</t>
        </is>
      </c>
      <c r="B48" t="inlineStr">
        <is>
          <t>TSLA US 09/18/20 P70</t>
        </is>
      </c>
      <c r="C48" t="inlineStr">
        <is>
          <t>2020-09-18</t>
        </is>
      </c>
      <c r="D48" t="n">
        <v>70</v>
      </c>
      <c r="E48" t="inlineStr">
        <is>
          <t>BBG00QNG5997</t>
        </is>
      </c>
    </row>
    <row r="49">
      <c r="A49" t="inlineStr">
        <is>
          <t>BBG00QNG5BD7 Equity</t>
        </is>
      </c>
      <c r="B49" t="inlineStr">
        <is>
          <t>TSLA US 09/18/20 P72</t>
        </is>
      </c>
      <c r="C49" t="inlineStr">
        <is>
          <t>2020-09-18</t>
        </is>
      </c>
      <c r="D49" t="n">
        <v>72</v>
      </c>
      <c r="E49" t="inlineStr">
        <is>
          <t>BBG00QNG5BD7</t>
        </is>
      </c>
    </row>
    <row r="50">
      <c r="A50" t="inlineStr">
        <is>
          <t>BBG00QNG5CJ9 Equity</t>
        </is>
      </c>
      <c r="B50" t="inlineStr">
        <is>
          <t>TSLA US 09/18/20 P74</t>
        </is>
      </c>
      <c r="C50" t="inlineStr">
        <is>
          <t>2020-09-18</t>
        </is>
      </c>
      <c r="D50" t="n">
        <v>74</v>
      </c>
      <c r="E50" t="inlineStr">
        <is>
          <t>BBG00QNG5CJ9</t>
        </is>
      </c>
    </row>
    <row r="51">
      <c r="A51" t="inlineStr">
        <is>
          <t>BBG00QNG5DM3 Equity</t>
        </is>
      </c>
      <c r="B51" t="inlineStr">
        <is>
          <t>TSLA US 09/18/20 P76</t>
        </is>
      </c>
      <c r="C51" t="inlineStr">
        <is>
          <t>2020-09-18</t>
        </is>
      </c>
      <c r="D51" t="n">
        <v>76</v>
      </c>
      <c r="E51" t="inlineStr">
        <is>
          <t>BBG00QNG5DM3</t>
        </is>
      </c>
    </row>
    <row r="52">
      <c r="A52" t="inlineStr">
        <is>
          <t>BBG00QPQQQX5 Equity</t>
        </is>
      </c>
      <c r="B52" t="inlineStr">
        <is>
          <t>TSLA US 09/18/20 P78</t>
        </is>
      </c>
      <c r="C52" t="inlineStr">
        <is>
          <t>2020-09-18</t>
        </is>
      </c>
      <c r="D52" t="n">
        <v>78</v>
      </c>
      <c r="E52" t="inlineStr">
        <is>
          <t>BBG00QPQQQX5</t>
        </is>
      </c>
    </row>
    <row r="53">
      <c r="A53" t="inlineStr">
        <is>
          <t>BBG00QPQQS07 Equity</t>
        </is>
      </c>
      <c r="B53" t="inlineStr">
        <is>
          <t>TSLA US 09/18/20 P79</t>
        </is>
      </c>
      <c r="C53" t="inlineStr">
        <is>
          <t>2020-09-18</t>
        </is>
      </c>
      <c r="D53" t="n">
        <v>79</v>
      </c>
      <c r="E53" t="inlineStr">
        <is>
          <t>BBG00QPQQS07</t>
        </is>
      </c>
    </row>
    <row r="54">
      <c r="A54" t="inlineStr">
        <is>
          <t>BBG00QPQQT32 Equity</t>
        </is>
      </c>
      <c r="B54" t="inlineStr">
        <is>
          <t>TSLA US 09/18/20 P80</t>
        </is>
      </c>
      <c r="C54" t="inlineStr">
        <is>
          <t>2020-09-18</t>
        </is>
      </c>
      <c r="D54" t="n">
        <v>80</v>
      </c>
      <c r="E54" t="inlineStr">
        <is>
          <t>BBG00QPQQT32</t>
        </is>
      </c>
    </row>
    <row r="55">
      <c r="A55" t="inlineStr">
        <is>
          <t>BBG00QPQQV73 Equity</t>
        </is>
      </c>
      <c r="B55" t="inlineStr">
        <is>
          <t>TSLA US 09/18/20 P81</t>
        </is>
      </c>
      <c r="C55" t="inlineStr">
        <is>
          <t>2020-09-18</t>
        </is>
      </c>
      <c r="D55" t="n">
        <v>81</v>
      </c>
      <c r="E55" t="inlineStr">
        <is>
          <t>BBG00QPQQV73</t>
        </is>
      </c>
    </row>
    <row r="56">
      <c r="A56" t="inlineStr">
        <is>
          <t>BBG00QPQQWB6 Equity</t>
        </is>
      </c>
      <c r="B56" t="inlineStr">
        <is>
          <t>TSLA US 09/18/20 P82</t>
        </is>
      </c>
      <c r="C56" t="inlineStr">
        <is>
          <t>2020-09-18</t>
        </is>
      </c>
      <c r="D56" t="n">
        <v>82</v>
      </c>
      <c r="E56" t="inlineStr">
        <is>
          <t>BBG00QPQQWB6</t>
        </is>
      </c>
    </row>
    <row r="57">
      <c r="A57" t="inlineStr">
        <is>
          <t>BBG00QPQQXF0 Equity</t>
        </is>
      </c>
      <c r="B57" t="inlineStr">
        <is>
          <t>TSLA US 09/18/20 P83</t>
        </is>
      </c>
      <c r="C57" t="inlineStr">
        <is>
          <t>2020-09-18</t>
        </is>
      </c>
      <c r="D57" t="n">
        <v>83</v>
      </c>
      <c r="E57" t="inlineStr">
        <is>
          <t>BBG00QPQQXF0</t>
        </is>
      </c>
    </row>
    <row r="58">
      <c r="A58" t="inlineStr">
        <is>
          <t>BBG00QPQQYK2 Equity</t>
        </is>
      </c>
      <c r="B58" t="inlineStr">
        <is>
          <t>TSLA US 09/18/20 P84</t>
        </is>
      </c>
      <c r="C58" t="inlineStr">
        <is>
          <t>2020-09-18</t>
        </is>
      </c>
      <c r="D58" t="n">
        <v>84</v>
      </c>
      <c r="E58" t="inlineStr">
        <is>
          <t>BBG00QPQQYK2</t>
        </is>
      </c>
    </row>
    <row r="59">
      <c r="A59" t="inlineStr">
        <is>
          <t>BBG00QPQQZN6 Equity</t>
        </is>
      </c>
      <c r="B59" t="inlineStr">
        <is>
          <t>TSLA US 09/18/20 P85</t>
        </is>
      </c>
      <c r="C59" t="inlineStr">
        <is>
          <t>2020-09-18</t>
        </is>
      </c>
      <c r="D59" t="n">
        <v>85</v>
      </c>
      <c r="E59" t="inlineStr">
        <is>
          <t>BBG00QPQQZN6</t>
        </is>
      </c>
    </row>
    <row r="60">
      <c r="A60" t="inlineStr">
        <is>
          <t>BBG00QPQR0R8 Equity</t>
        </is>
      </c>
      <c r="B60" t="inlineStr">
        <is>
          <t>TSLA US 09/18/20 P86</t>
        </is>
      </c>
      <c r="C60" t="inlineStr">
        <is>
          <t>2020-09-18</t>
        </is>
      </c>
      <c r="D60" t="n">
        <v>86</v>
      </c>
      <c r="E60" t="inlineStr">
        <is>
          <t>BBG00QPQR0R8</t>
        </is>
      </c>
    </row>
    <row r="61">
      <c r="A61" t="inlineStr">
        <is>
          <t>BBG00QPQR1X9 Equity</t>
        </is>
      </c>
      <c r="B61" t="inlineStr">
        <is>
          <t>TSLA US 09/18/20 P87</t>
        </is>
      </c>
      <c r="C61" t="inlineStr">
        <is>
          <t>2020-09-18</t>
        </is>
      </c>
      <c r="D61" t="n">
        <v>87</v>
      </c>
      <c r="E61" t="inlineStr">
        <is>
          <t>BBG00QPQR1X9</t>
        </is>
      </c>
    </row>
    <row r="62">
      <c r="A62" t="inlineStr">
        <is>
          <t>BBG00QPQR301 Equity</t>
        </is>
      </c>
      <c r="B62" t="inlineStr">
        <is>
          <t>TSLA US 09/18/20 P88</t>
        </is>
      </c>
      <c r="C62" t="inlineStr">
        <is>
          <t>2020-09-18</t>
        </is>
      </c>
      <c r="D62" t="n">
        <v>88</v>
      </c>
      <c r="E62" t="inlineStr">
        <is>
          <t>BBG00QPQR301</t>
        </is>
      </c>
    </row>
    <row r="63">
      <c r="A63" t="inlineStr">
        <is>
          <t>BBG00QPQR436 Equity</t>
        </is>
      </c>
      <c r="B63" t="inlineStr">
        <is>
          <t>TSLA US 09/18/20 P89</t>
        </is>
      </c>
      <c r="C63" t="inlineStr">
        <is>
          <t>2020-09-18</t>
        </is>
      </c>
      <c r="D63" t="n">
        <v>89</v>
      </c>
      <c r="E63" t="inlineStr">
        <is>
          <t>BBG00QPQR436</t>
        </is>
      </c>
    </row>
    <row r="64">
      <c r="A64" t="inlineStr">
        <is>
          <t>BBG00QPQR579 Equity</t>
        </is>
      </c>
      <c r="B64" t="inlineStr">
        <is>
          <t>TSLA US 09/18/20 P90</t>
        </is>
      </c>
      <c r="C64" t="inlineStr">
        <is>
          <t>2020-09-18</t>
        </is>
      </c>
      <c r="D64" t="n">
        <v>90</v>
      </c>
      <c r="E64" t="inlineStr">
        <is>
          <t>BBG00QPQR579</t>
        </is>
      </c>
    </row>
    <row r="65">
      <c r="A65" t="inlineStr">
        <is>
          <t>BBG00RGZ5J71 Equity</t>
        </is>
      </c>
      <c r="B65" t="inlineStr">
        <is>
          <t>TSLA US 09/18/20 P91</t>
        </is>
      </c>
      <c r="C65" t="inlineStr">
        <is>
          <t>2020-09-18</t>
        </is>
      </c>
      <c r="D65" t="n">
        <v>91</v>
      </c>
      <c r="E65" t="inlineStr">
        <is>
          <t>BBG00RGZ5J71</t>
        </is>
      </c>
    </row>
    <row r="66">
      <c r="A66" t="inlineStr">
        <is>
          <t>BBG00QQ44705 Equity</t>
        </is>
      </c>
      <c r="B66" t="inlineStr">
        <is>
          <t>TSLA US 09/18/20 P92</t>
        </is>
      </c>
      <c r="C66" t="inlineStr">
        <is>
          <t>2020-09-18</t>
        </is>
      </c>
      <c r="D66" t="n">
        <v>92</v>
      </c>
      <c r="E66" t="inlineStr">
        <is>
          <t>BBG00QQ44705</t>
        </is>
      </c>
    </row>
    <row r="67">
      <c r="A67" t="inlineStr">
        <is>
          <t>BBG00RGZ5KC2 Equity</t>
        </is>
      </c>
      <c r="B67" t="inlineStr">
        <is>
          <t>TSLA US 09/18/20 P93</t>
        </is>
      </c>
      <c r="C67" t="inlineStr">
        <is>
          <t>2020-09-18</t>
        </is>
      </c>
      <c r="D67" t="n">
        <v>93</v>
      </c>
      <c r="E67" t="inlineStr">
        <is>
          <t>BBG00RGZ5KC2</t>
        </is>
      </c>
    </row>
    <row r="68">
      <c r="A68" t="inlineStr">
        <is>
          <t>BBG00QQ44849 Equity</t>
        </is>
      </c>
      <c r="B68" t="inlineStr">
        <is>
          <t>TSLA US 09/18/20 P94</t>
        </is>
      </c>
      <c r="C68" t="inlineStr">
        <is>
          <t>2020-09-18</t>
        </is>
      </c>
      <c r="D68" t="n">
        <v>94</v>
      </c>
      <c r="E68" t="inlineStr">
        <is>
          <t>BBG00QQ44849</t>
        </is>
      </c>
    </row>
    <row r="69">
      <c r="A69" t="inlineStr">
        <is>
          <t>BBG00RGZ5LG6 Equity</t>
        </is>
      </c>
      <c r="B69" t="inlineStr">
        <is>
          <t>TSLA US 09/18/20 P95</t>
        </is>
      </c>
      <c r="C69" t="inlineStr">
        <is>
          <t>2020-09-18</t>
        </is>
      </c>
      <c r="D69" t="n">
        <v>95</v>
      </c>
      <c r="E69" t="inlineStr">
        <is>
          <t>BBG00RGZ5LG6</t>
        </is>
      </c>
    </row>
    <row r="70">
      <c r="A70" t="inlineStr">
        <is>
          <t>BBG00QQ44974 Equity</t>
        </is>
      </c>
      <c r="B70" t="inlineStr">
        <is>
          <t>TSLA US 09/18/20 P96</t>
        </is>
      </c>
      <c r="C70" t="inlineStr">
        <is>
          <t>2020-09-18</t>
        </is>
      </c>
      <c r="D70" t="n">
        <v>96</v>
      </c>
      <c r="E70" t="inlineStr">
        <is>
          <t>BBG00QQ44974</t>
        </is>
      </c>
    </row>
    <row r="71">
      <c r="A71" t="inlineStr">
        <is>
          <t>BBG00RGZ5MK9 Equity</t>
        </is>
      </c>
      <c r="B71" t="inlineStr">
        <is>
          <t>TSLA US 09/18/20 P97</t>
        </is>
      </c>
      <c r="C71" t="inlineStr">
        <is>
          <t>2020-09-18</t>
        </is>
      </c>
      <c r="D71" t="n">
        <v>97</v>
      </c>
      <c r="E71" t="inlineStr">
        <is>
          <t>BBG00RGZ5MK9</t>
        </is>
      </c>
    </row>
    <row r="72">
      <c r="A72" t="inlineStr">
        <is>
          <t>BBG00RC1W3K0 Equity</t>
        </is>
      </c>
      <c r="B72" t="inlineStr">
        <is>
          <t>TSLA US 10/16/20 P60</t>
        </is>
      </c>
      <c r="C72" t="inlineStr">
        <is>
          <t>2020-10-16</t>
        </is>
      </c>
      <c r="D72" t="n">
        <v>60</v>
      </c>
      <c r="E72" t="inlineStr">
        <is>
          <t>BBG00RC1W3K0</t>
        </is>
      </c>
    </row>
    <row r="73">
      <c r="A73" t="inlineStr">
        <is>
          <t>BBG00RC1W4N5 Equity</t>
        </is>
      </c>
      <c r="B73" t="inlineStr">
        <is>
          <t>TSLA US 10/16/20 P61</t>
        </is>
      </c>
      <c r="C73" t="inlineStr">
        <is>
          <t>2020-10-16</t>
        </is>
      </c>
      <c r="D73" t="n">
        <v>61</v>
      </c>
      <c r="E73" t="inlineStr">
        <is>
          <t>BBG00RC1W4N5</t>
        </is>
      </c>
    </row>
    <row r="74">
      <c r="A74" t="inlineStr">
        <is>
          <t>BBG00RC1W5S7 Equity</t>
        </is>
      </c>
      <c r="B74" t="inlineStr">
        <is>
          <t>TSLA US 10/16/20 P62</t>
        </is>
      </c>
      <c r="C74" t="inlineStr">
        <is>
          <t>2020-10-16</t>
        </is>
      </c>
      <c r="D74" t="n">
        <v>62</v>
      </c>
      <c r="E74" t="inlineStr">
        <is>
          <t>BBG00RC1W5S7</t>
        </is>
      </c>
    </row>
    <row r="75">
      <c r="A75" t="inlineStr">
        <is>
          <t>BBG00RC1W6W0 Equity</t>
        </is>
      </c>
      <c r="B75" t="inlineStr">
        <is>
          <t>TSLA US 10/16/20 P63</t>
        </is>
      </c>
      <c r="C75" t="inlineStr">
        <is>
          <t>2020-10-16</t>
        </is>
      </c>
      <c r="D75" t="n">
        <v>63</v>
      </c>
      <c r="E75" t="inlineStr">
        <is>
          <t>BBG00RC1W6W0</t>
        </is>
      </c>
    </row>
    <row r="76">
      <c r="A76" t="inlineStr">
        <is>
          <t>BBG00RC1W7Z5 Equity</t>
        </is>
      </c>
      <c r="B76" t="inlineStr">
        <is>
          <t>TSLA US 10/16/20 P64</t>
        </is>
      </c>
      <c r="C76" t="inlineStr">
        <is>
          <t>2020-10-16</t>
        </is>
      </c>
      <c r="D76" t="n">
        <v>64</v>
      </c>
      <c r="E76" t="inlineStr">
        <is>
          <t>BBG00RC1W7Z5</t>
        </is>
      </c>
    </row>
    <row r="77">
      <c r="A77" t="inlineStr">
        <is>
          <t>BBG00RC1W936 Equity</t>
        </is>
      </c>
      <c r="B77" t="inlineStr">
        <is>
          <t>TSLA US 10/16/20 P65</t>
        </is>
      </c>
      <c r="C77" t="inlineStr">
        <is>
          <t>2020-10-16</t>
        </is>
      </c>
      <c r="D77" t="n">
        <v>65</v>
      </c>
      <c r="E77" t="inlineStr">
        <is>
          <t>BBG00RC1W936</t>
        </is>
      </c>
    </row>
    <row r="78">
      <c r="A78" t="inlineStr">
        <is>
          <t>BBG00RC1WB68 Equity</t>
        </is>
      </c>
      <c r="B78" t="inlineStr">
        <is>
          <t>TSLA US 10/16/20 P66</t>
        </is>
      </c>
      <c r="C78" t="inlineStr">
        <is>
          <t>2020-10-16</t>
        </is>
      </c>
      <c r="D78" t="n">
        <v>66</v>
      </c>
      <c r="E78" t="inlineStr">
        <is>
          <t>BBG00RC1WB68</t>
        </is>
      </c>
    </row>
    <row r="79">
      <c r="A79" t="inlineStr">
        <is>
          <t>BBG00RC1WC93 Equity</t>
        </is>
      </c>
      <c r="B79" t="inlineStr">
        <is>
          <t>TSLA US 10/16/20 P67</t>
        </is>
      </c>
      <c r="C79" t="inlineStr">
        <is>
          <t>2020-10-16</t>
        </is>
      </c>
      <c r="D79" t="n">
        <v>67</v>
      </c>
      <c r="E79" t="inlineStr">
        <is>
          <t>BBG00RC1WC93</t>
        </is>
      </c>
    </row>
    <row r="80">
      <c r="A80" t="inlineStr">
        <is>
          <t>BBG00RC1WDF4 Equity</t>
        </is>
      </c>
      <c r="B80" t="inlineStr">
        <is>
          <t>TSLA US 10/16/20 P68</t>
        </is>
      </c>
      <c r="C80" t="inlineStr">
        <is>
          <t>2020-10-16</t>
        </is>
      </c>
      <c r="D80" t="n">
        <v>68</v>
      </c>
      <c r="E80" t="inlineStr">
        <is>
          <t>BBG00RC1WDF4</t>
        </is>
      </c>
    </row>
    <row r="81">
      <c r="A81" t="inlineStr">
        <is>
          <t>BBG00RC1WFJ5 Equity</t>
        </is>
      </c>
      <c r="B81" t="inlineStr">
        <is>
          <t>TSLA US 10/16/20 P69</t>
        </is>
      </c>
      <c r="C81" t="inlineStr">
        <is>
          <t>2020-10-16</t>
        </is>
      </c>
      <c r="D81" t="n">
        <v>69</v>
      </c>
      <c r="E81" t="inlineStr">
        <is>
          <t>BBG00RC1WFJ5</t>
        </is>
      </c>
    </row>
    <row r="82">
      <c r="A82" t="inlineStr">
        <is>
          <t>BBG00RC1WGM9 Equity</t>
        </is>
      </c>
      <c r="B82" t="inlineStr">
        <is>
          <t>TSLA US 10/16/20 P70</t>
        </is>
      </c>
      <c r="C82" t="inlineStr">
        <is>
          <t>2020-10-16</t>
        </is>
      </c>
      <c r="D82" t="n">
        <v>70</v>
      </c>
      <c r="E82" t="inlineStr">
        <is>
          <t>BBG00RC1WGM9</t>
        </is>
      </c>
    </row>
    <row r="83">
      <c r="A83" t="inlineStr">
        <is>
          <t>BBG00RC1WHR2 Equity</t>
        </is>
      </c>
      <c r="B83" t="inlineStr">
        <is>
          <t>TSLA US 10/16/20 P71</t>
        </is>
      </c>
      <c r="C83" t="inlineStr">
        <is>
          <t>2020-10-16</t>
        </is>
      </c>
      <c r="D83" t="n">
        <v>71</v>
      </c>
      <c r="E83" t="inlineStr">
        <is>
          <t>BBG00RC1WHR2</t>
        </is>
      </c>
    </row>
    <row r="84">
      <c r="A84" t="inlineStr">
        <is>
          <t>BBG00RC1WJV3 Equity</t>
        </is>
      </c>
      <c r="B84" t="inlineStr">
        <is>
          <t>TSLA US 10/16/20 P72</t>
        </is>
      </c>
      <c r="C84" t="inlineStr">
        <is>
          <t>2020-10-16</t>
        </is>
      </c>
      <c r="D84" t="n">
        <v>72</v>
      </c>
      <c r="E84" t="inlineStr">
        <is>
          <t>BBG00RC1WJV3</t>
        </is>
      </c>
    </row>
    <row r="85">
      <c r="A85" t="inlineStr">
        <is>
          <t>BBG00RC1WKY7 Equity</t>
        </is>
      </c>
      <c r="B85" t="inlineStr">
        <is>
          <t>TSLA US 10/16/20 P73</t>
        </is>
      </c>
      <c r="C85" t="inlineStr">
        <is>
          <t>2020-10-16</t>
        </is>
      </c>
      <c r="D85" t="n">
        <v>73</v>
      </c>
      <c r="E85" t="inlineStr">
        <is>
          <t>BBG00RC1WKY7</t>
        </is>
      </c>
    </row>
    <row r="86">
      <c r="A86" t="inlineStr">
        <is>
          <t>BBG00RC1WM28 Equity</t>
        </is>
      </c>
      <c r="B86" t="inlineStr">
        <is>
          <t>TSLA US 10/16/20 P74</t>
        </is>
      </c>
      <c r="C86" t="inlineStr">
        <is>
          <t>2020-10-16</t>
        </is>
      </c>
      <c r="D86" t="n">
        <v>74</v>
      </c>
      <c r="E86" t="inlineStr">
        <is>
          <t>BBG00RC1WM28</t>
        </is>
      </c>
    </row>
    <row r="87">
      <c r="A87" t="inlineStr">
        <is>
          <t>BBG00RC1WN53 Equity</t>
        </is>
      </c>
      <c r="B87" t="inlineStr">
        <is>
          <t>TSLA US 10/16/20 P75</t>
        </is>
      </c>
      <c r="C87" t="inlineStr">
        <is>
          <t>2020-10-16</t>
        </is>
      </c>
      <c r="D87" t="n">
        <v>75</v>
      </c>
      <c r="E87" t="inlineStr">
        <is>
          <t>BBG00RC1WN53</t>
        </is>
      </c>
    </row>
    <row r="88">
      <c r="A88" t="inlineStr">
        <is>
          <t>BBG00RC1WP85 Equity</t>
        </is>
      </c>
      <c r="B88" t="inlineStr">
        <is>
          <t>TSLA US 10/16/20 P76</t>
        </is>
      </c>
      <c r="C88" t="inlineStr">
        <is>
          <t>2020-10-16</t>
        </is>
      </c>
      <c r="D88" t="n">
        <v>76</v>
      </c>
      <c r="E88" t="inlineStr">
        <is>
          <t>BBG00RC1WP85</t>
        </is>
      </c>
    </row>
    <row r="89">
      <c r="A89" t="inlineStr">
        <is>
          <t>BBG00RC1WQD7 Equity</t>
        </is>
      </c>
      <c r="B89" t="inlineStr">
        <is>
          <t>TSLA US 10/16/20 P77</t>
        </is>
      </c>
      <c r="C89" t="inlineStr">
        <is>
          <t>2020-10-16</t>
        </is>
      </c>
      <c r="D89" t="n">
        <v>77</v>
      </c>
      <c r="E89" t="inlineStr">
        <is>
          <t>BBG00RC1WQD7</t>
        </is>
      </c>
    </row>
    <row r="90">
      <c r="A90" t="inlineStr">
        <is>
          <t>BBG00RC1WRH1 Equity</t>
        </is>
      </c>
      <c r="B90" t="inlineStr">
        <is>
          <t>TSLA US 10/16/20 P78</t>
        </is>
      </c>
      <c r="C90" t="inlineStr">
        <is>
          <t>2020-10-16</t>
        </is>
      </c>
      <c r="D90" t="n">
        <v>78</v>
      </c>
      <c r="E90" t="inlineStr">
        <is>
          <t>BBG00RC1WRH1</t>
        </is>
      </c>
    </row>
    <row r="91">
      <c r="A91" t="inlineStr">
        <is>
          <t>BBG00RC1WSL4 Equity</t>
        </is>
      </c>
      <c r="B91" t="inlineStr">
        <is>
          <t>TSLA US 10/16/20 P79</t>
        </is>
      </c>
      <c r="C91" t="inlineStr">
        <is>
          <t>2020-10-16</t>
        </is>
      </c>
      <c r="D91" t="n">
        <v>79</v>
      </c>
      <c r="E91" t="inlineStr">
        <is>
          <t>BBG00RC1WSL4</t>
        </is>
      </c>
    </row>
    <row r="92">
      <c r="A92" t="inlineStr">
        <is>
          <t>BBG00RC1WTQ7 Equity</t>
        </is>
      </c>
      <c r="B92" t="inlineStr">
        <is>
          <t>TSLA US 10/16/20 P80</t>
        </is>
      </c>
      <c r="C92" t="inlineStr">
        <is>
          <t>2020-10-16</t>
        </is>
      </c>
      <c r="D92" t="n">
        <v>80</v>
      </c>
      <c r="E92" t="inlineStr">
        <is>
          <t>BBG00RC1WTQ7</t>
        </is>
      </c>
    </row>
    <row r="93">
      <c r="A93" t="inlineStr">
        <is>
          <t>BBG00RC1WVT9 Equity</t>
        </is>
      </c>
      <c r="B93" t="inlineStr">
        <is>
          <t>TSLA US 10/16/20 P81</t>
        </is>
      </c>
      <c r="C93" t="inlineStr">
        <is>
          <t>2020-10-16</t>
        </is>
      </c>
      <c r="D93" t="n">
        <v>81</v>
      </c>
      <c r="E93" t="inlineStr">
        <is>
          <t>BBG00RC1WVT9</t>
        </is>
      </c>
    </row>
    <row r="94">
      <c r="A94" t="inlineStr">
        <is>
          <t>BBG00RC1WWX2 Equity</t>
        </is>
      </c>
      <c r="B94" t="inlineStr">
        <is>
          <t>TSLA US 10/16/20 P82</t>
        </is>
      </c>
      <c r="C94" t="inlineStr">
        <is>
          <t>2020-10-16</t>
        </is>
      </c>
      <c r="D94" t="n">
        <v>82</v>
      </c>
      <c r="E94" t="inlineStr">
        <is>
          <t>BBG00RC1WWX2</t>
        </is>
      </c>
    </row>
    <row r="95">
      <c r="A95" t="inlineStr">
        <is>
          <t>BBG00RC1WY13 Equity</t>
        </is>
      </c>
      <c r="B95" t="inlineStr">
        <is>
          <t>TSLA US 10/16/20 P83</t>
        </is>
      </c>
      <c r="C95" t="inlineStr">
        <is>
          <t>2020-10-16</t>
        </is>
      </c>
      <c r="D95" t="n">
        <v>83</v>
      </c>
      <c r="E95" t="inlineStr">
        <is>
          <t>BBG00RC1WY13</t>
        </is>
      </c>
    </row>
    <row r="96">
      <c r="A96" t="inlineStr">
        <is>
          <t>BBG00RC1WZ47 Equity</t>
        </is>
      </c>
      <c r="B96" t="inlineStr">
        <is>
          <t>TSLA US 10/16/20 P84</t>
        </is>
      </c>
      <c r="C96" t="inlineStr">
        <is>
          <t>2020-10-16</t>
        </is>
      </c>
      <c r="D96" t="n">
        <v>84</v>
      </c>
      <c r="E96" t="inlineStr">
        <is>
          <t>BBG00RC1WZ47</t>
        </is>
      </c>
    </row>
    <row r="97">
      <c r="A97" t="inlineStr">
        <is>
          <t>BBG00RC1X070 Equity</t>
        </is>
      </c>
      <c r="B97" t="inlineStr">
        <is>
          <t>TSLA US 10/16/20 P85</t>
        </is>
      </c>
      <c r="C97" t="inlineStr">
        <is>
          <t>2020-10-16</t>
        </is>
      </c>
      <c r="D97" t="n">
        <v>85</v>
      </c>
      <c r="E97" t="inlineStr">
        <is>
          <t>BBG00RC1X070</t>
        </is>
      </c>
    </row>
    <row r="98">
      <c r="A98" t="inlineStr">
        <is>
          <t>BBG00RC1X1C2 Equity</t>
        </is>
      </c>
      <c r="B98" t="inlineStr">
        <is>
          <t>TSLA US 10/16/20 P86</t>
        </is>
      </c>
      <c r="C98" t="inlineStr">
        <is>
          <t>2020-10-16</t>
        </is>
      </c>
      <c r="D98" t="n">
        <v>86</v>
      </c>
      <c r="E98" t="inlineStr">
        <is>
          <t>BBG00RC1X1C2</t>
        </is>
      </c>
    </row>
    <row r="99">
      <c r="A99" t="inlineStr">
        <is>
          <t>BBG00RC1X2G6 Equity</t>
        </is>
      </c>
      <c r="B99" t="inlineStr">
        <is>
          <t>TSLA US 10/16/20 P87</t>
        </is>
      </c>
      <c r="C99" t="inlineStr">
        <is>
          <t>2020-10-16</t>
        </is>
      </c>
      <c r="D99" t="n">
        <v>87</v>
      </c>
      <c r="E99" t="inlineStr">
        <is>
          <t>BBG00RC1X2G6</t>
        </is>
      </c>
    </row>
    <row r="100">
      <c r="A100" t="inlineStr">
        <is>
          <t>BBG00RC1X3L8 Equity</t>
        </is>
      </c>
      <c r="B100" t="inlineStr">
        <is>
          <t>TSLA US 10/16/20 P88</t>
        </is>
      </c>
      <c r="C100" t="inlineStr">
        <is>
          <t>2020-10-16</t>
        </is>
      </c>
      <c r="D100" t="n">
        <v>88</v>
      </c>
      <c r="E100" t="inlineStr">
        <is>
          <t>BBG00RC1X3L8</t>
        </is>
      </c>
    </row>
    <row r="101">
      <c r="A101" t="inlineStr">
        <is>
          <t>BBG00RC1X4P2 Equity</t>
        </is>
      </c>
      <c r="B101" t="inlineStr">
        <is>
          <t>TSLA US 10/16/20 P89</t>
        </is>
      </c>
      <c r="C101" t="inlineStr">
        <is>
          <t>2020-10-16</t>
        </is>
      </c>
      <c r="D101" t="n">
        <v>89</v>
      </c>
      <c r="E101" t="inlineStr">
        <is>
          <t>BBG00RC1X4P2</t>
        </is>
      </c>
    </row>
    <row r="102">
      <c r="A102" t="inlineStr">
        <is>
          <t>BBG00RC1X5S6 Equity</t>
        </is>
      </c>
      <c r="B102" t="inlineStr">
        <is>
          <t>TSLA US 10/16/20 P90</t>
        </is>
      </c>
      <c r="C102" t="inlineStr">
        <is>
          <t>2020-10-16</t>
        </is>
      </c>
      <c r="D102" t="n">
        <v>90</v>
      </c>
      <c r="E102" t="inlineStr">
        <is>
          <t>BBG00RC1X5S6</t>
        </is>
      </c>
    </row>
    <row r="103">
      <c r="A103" t="inlineStr">
        <is>
          <t>BBG00RC1X6Y7 Equity</t>
        </is>
      </c>
      <c r="B103" t="inlineStr">
        <is>
          <t>TSLA US 10/16/20 P91</t>
        </is>
      </c>
      <c r="C103" t="inlineStr">
        <is>
          <t>2020-10-16</t>
        </is>
      </c>
      <c r="D103" t="n">
        <v>91</v>
      </c>
      <c r="E103" t="inlineStr">
        <is>
          <t>BBG00RC1X6Y7</t>
        </is>
      </c>
    </row>
    <row r="104">
      <c r="A104" t="inlineStr">
        <is>
          <t>BBG00RC1X819 Equity</t>
        </is>
      </c>
      <c r="B104" t="inlineStr">
        <is>
          <t>TSLA US 10/16/20 P92</t>
        </is>
      </c>
      <c r="C104" t="inlineStr">
        <is>
          <t>2020-10-16</t>
        </is>
      </c>
      <c r="D104" t="n">
        <v>92</v>
      </c>
      <c r="E104" t="inlineStr">
        <is>
          <t>BBG00RC1X819</t>
        </is>
      </c>
    </row>
    <row r="105">
      <c r="A105" t="inlineStr">
        <is>
          <t>BBG00RC1X944 Equity</t>
        </is>
      </c>
      <c r="B105" t="inlineStr">
        <is>
          <t>TSLA US 10/16/20 P93</t>
        </is>
      </c>
      <c r="C105" t="inlineStr">
        <is>
          <t>2020-10-16</t>
        </is>
      </c>
      <c r="D105" t="n">
        <v>93</v>
      </c>
      <c r="E105" t="inlineStr">
        <is>
          <t>BBG00RC1X944</t>
        </is>
      </c>
    </row>
    <row r="106">
      <c r="A106" t="inlineStr">
        <is>
          <t>BBG00RC1XB85 Equity</t>
        </is>
      </c>
      <c r="B106" t="inlineStr">
        <is>
          <t>TSLA US 10/16/20 P94</t>
        </is>
      </c>
      <c r="C106" t="inlineStr">
        <is>
          <t>2020-10-16</t>
        </is>
      </c>
      <c r="D106" t="n">
        <v>94</v>
      </c>
      <c r="E106" t="inlineStr">
        <is>
          <t>BBG00RC1XB85</t>
        </is>
      </c>
    </row>
    <row r="107">
      <c r="A107" t="inlineStr">
        <is>
          <t>BBG00RC1XCC8 Equity</t>
        </is>
      </c>
      <c r="B107" t="inlineStr">
        <is>
          <t>TSLA US 10/16/20 P95</t>
        </is>
      </c>
      <c r="C107" t="inlineStr">
        <is>
          <t>2020-10-16</t>
        </is>
      </c>
      <c r="D107" t="n">
        <v>95</v>
      </c>
      <c r="E107" t="inlineStr">
        <is>
          <t>BBG00RC1XCC8</t>
        </is>
      </c>
    </row>
    <row r="108">
      <c r="A108" t="inlineStr">
        <is>
          <t>BBG00RC1XDG2 Equity</t>
        </is>
      </c>
      <c r="B108" t="inlineStr">
        <is>
          <t>TSLA US 10/16/20 P96</t>
        </is>
      </c>
      <c r="C108" t="inlineStr">
        <is>
          <t>2020-10-16</t>
        </is>
      </c>
      <c r="D108" t="n">
        <v>96</v>
      </c>
      <c r="E108" t="inlineStr">
        <is>
          <t>BBG00RC1XDG2</t>
        </is>
      </c>
    </row>
    <row r="109">
      <c r="A109" t="inlineStr">
        <is>
          <t>BBG00RC1XFL1 Equity</t>
        </is>
      </c>
      <c r="B109" t="inlineStr">
        <is>
          <t>TSLA US 10/16/20 P97</t>
        </is>
      </c>
      <c r="C109" t="inlineStr">
        <is>
          <t>2020-10-16</t>
        </is>
      </c>
      <c r="D109" t="n">
        <v>97</v>
      </c>
      <c r="E109" t="inlineStr">
        <is>
          <t>BBG00RC1XFL1</t>
        </is>
      </c>
    </row>
    <row r="110">
      <c r="A110" t="inlineStr">
        <is>
          <t>BBG00RC1Y836 Equity</t>
        </is>
      </c>
      <c r="B110" t="inlineStr">
        <is>
          <t>TSLA US 10/16/20 P120</t>
        </is>
      </c>
      <c r="C110" t="inlineStr">
        <is>
          <t>2020-10-16</t>
        </is>
      </c>
      <c r="D110" t="n">
        <v>120</v>
      </c>
      <c r="E110" t="inlineStr">
        <is>
          <t>BBG00RC1Y836</t>
        </is>
      </c>
    </row>
    <row r="111">
      <c r="A111" t="inlineStr">
        <is>
          <t>BBG00RC1Y961 Equity</t>
        </is>
      </c>
      <c r="B111" t="inlineStr">
        <is>
          <t>TSLA US 10/16/20 P121</t>
        </is>
      </c>
      <c r="C111" t="inlineStr">
        <is>
          <t>2020-10-16</t>
        </is>
      </c>
      <c r="D111" t="n">
        <v>121</v>
      </c>
      <c r="E111" t="inlineStr">
        <is>
          <t>BBG00RC1Y961</t>
        </is>
      </c>
    </row>
    <row r="112">
      <c r="A112" t="inlineStr">
        <is>
          <t>BBG00RC1YB93 Equity</t>
        </is>
      </c>
      <c r="B112" t="inlineStr">
        <is>
          <t>TSLA US 10/16/20 P122</t>
        </is>
      </c>
      <c r="C112" t="inlineStr">
        <is>
          <t>2020-10-16</t>
        </is>
      </c>
      <c r="D112" t="n">
        <v>122</v>
      </c>
      <c r="E112" t="inlineStr">
        <is>
          <t>BBG00RC1YB93</t>
        </is>
      </c>
    </row>
    <row r="113">
      <c r="A113" t="inlineStr">
        <is>
          <t>BBG00RC1YCF4 Equity</t>
        </is>
      </c>
      <c r="B113" t="inlineStr">
        <is>
          <t>TSLA US 10/16/20 P123</t>
        </is>
      </c>
      <c r="C113" t="inlineStr">
        <is>
          <t>2020-10-16</t>
        </is>
      </c>
      <c r="D113" t="n">
        <v>123</v>
      </c>
      <c r="E113" t="inlineStr">
        <is>
          <t>BBG00RC1YCF4</t>
        </is>
      </c>
    </row>
    <row r="114">
      <c r="A114" t="inlineStr">
        <is>
          <t>BBG00RC1YDJ8 Equity</t>
        </is>
      </c>
      <c r="B114" t="inlineStr">
        <is>
          <t>TSLA US 10/16/20 P124</t>
        </is>
      </c>
      <c r="C114" t="inlineStr">
        <is>
          <t>2020-10-16</t>
        </is>
      </c>
      <c r="D114" t="n">
        <v>124</v>
      </c>
      <c r="E114" t="inlineStr">
        <is>
          <t>BBG00RC1YDJ8</t>
        </is>
      </c>
    </row>
    <row r="115">
      <c r="A115" t="inlineStr">
        <is>
          <t>BBG00RC1YFM9 Equity</t>
        </is>
      </c>
      <c r="B115" t="inlineStr">
        <is>
          <t>TSLA US 10/16/20 P125</t>
        </is>
      </c>
      <c r="C115" t="inlineStr">
        <is>
          <t>2020-10-16</t>
        </is>
      </c>
      <c r="D115" t="n">
        <v>125</v>
      </c>
      <c r="E115" t="inlineStr">
        <is>
          <t>BBG00RC1YFM9</t>
        </is>
      </c>
    </row>
    <row r="116">
      <c r="A116" t="inlineStr">
        <is>
          <t>BBG00RC1YGR2 Equity</t>
        </is>
      </c>
      <c r="B116" t="inlineStr">
        <is>
          <t>TSLA US 10/16/20 P126</t>
        </is>
      </c>
      <c r="C116" t="inlineStr">
        <is>
          <t>2020-10-16</t>
        </is>
      </c>
      <c r="D116" t="n">
        <v>126</v>
      </c>
      <c r="E116" t="inlineStr">
        <is>
          <t>BBG00RC1YGR2</t>
        </is>
      </c>
    </row>
    <row r="117">
      <c r="A117" t="inlineStr">
        <is>
          <t>BBG00RC1YHV5 Equity</t>
        </is>
      </c>
      <c r="B117" t="inlineStr">
        <is>
          <t>TSLA US 10/16/20 P127</t>
        </is>
      </c>
      <c r="C117" t="inlineStr">
        <is>
          <t>2020-10-16</t>
        </is>
      </c>
      <c r="D117" t="n">
        <v>127</v>
      </c>
      <c r="E117" t="inlineStr">
        <is>
          <t>BBG00RC1YHV5</t>
        </is>
      </c>
    </row>
    <row r="118">
      <c r="A118" t="inlineStr">
        <is>
          <t>BBG00RC1YJY8 Equity</t>
        </is>
      </c>
      <c r="B118" t="inlineStr">
        <is>
          <t>TSLA US 10/16/20 P128</t>
        </is>
      </c>
      <c r="C118" t="inlineStr">
        <is>
          <t>2020-10-16</t>
        </is>
      </c>
      <c r="D118" t="n">
        <v>128</v>
      </c>
      <c r="E118" t="inlineStr">
        <is>
          <t>BBG00RC1YJY8</t>
        </is>
      </c>
    </row>
    <row r="119">
      <c r="A119" t="inlineStr">
        <is>
          <t>BBG00RC1YL28 Equity</t>
        </is>
      </c>
      <c r="B119" t="inlineStr">
        <is>
          <t>TSLA US 10/16/20 P129</t>
        </is>
      </c>
      <c r="C119" t="inlineStr">
        <is>
          <t>2020-10-16</t>
        </is>
      </c>
      <c r="D119" t="n">
        <v>129</v>
      </c>
      <c r="E119" t="inlineStr">
        <is>
          <t>BBG00RC1YL28</t>
        </is>
      </c>
    </row>
    <row r="120">
      <c r="A120" t="inlineStr">
        <is>
          <t>BBG00RC1YM53 Equity</t>
        </is>
      </c>
      <c r="B120" t="inlineStr">
        <is>
          <t>TSLA US 10/16/20 P130</t>
        </is>
      </c>
      <c r="C120" t="inlineStr">
        <is>
          <t>2020-10-16</t>
        </is>
      </c>
      <c r="D120" t="n">
        <v>130</v>
      </c>
      <c r="E120" t="inlineStr">
        <is>
          <t>BBG00RC1YM53</t>
        </is>
      </c>
    </row>
    <row r="121">
      <c r="A121" t="inlineStr">
        <is>
          <t>BBG00RC1YN88 Equity</t>
        </is>
      </c>
      <c r="B121" t="inlineStr">
        <is>
          <t>TSLA US 10/16/20 P131</t>
        </is>
      </c>
      <c r="C121" t="inlineStr">
        <is>
          <t>2020-10-16</t>
        </is>
      </c>
      <c r="D121" t="n">
        <v>131</v>
      </c>
      <c r="E121" t="inlineStr">
        <is>
          <t>BBG00RC1YN88</t>
        </is>
      </c>
    </row>
    <row r="122">
      <c r="A122" t="inlineStr">
        <is>
          <t>BBG00RC1YPD7 Equity</t>
        </is>
      </c>
      <c r="B122" t="inlineStr">
        <is>
          <t>TSLA US 10/16/20 P132</t>
        </is>
      </c>
      <c r="C122" t="inlineStr">
        <is>
          <t>2020-10-16</t>
        </is>
      </c>
      <c r="D122" t="n">
        <v>132</v>
      </c>
      <c r="E122" t="inlineStr">
        <is>
          <t>BBG00RC1YPD7</t>
        </is>
      </c>
    </row>
    <row r="123">
      <c r="A123" t="inlineStr">
        <is>
          <t>BBG00RC1YQH1 Equity</t>
        </is>
      </c>
      <c r="B123" t="inlineStr">
        <is>
          <t>TSLA US 10/16/20 P133</t>
        </is>
      </c>
      <c r="C123" t="inlineStr">
        <is>
          <t>2020-10-16</t>
        </is>
      </c>
      <c r="D123" t="n">
        <v>133</v>
      </c>
      <c r="E123" t="inlineStr">
        <is>
          <t>BBG00RC1YQH1</t>
        </is>
      </c>
    </row>
    <row r="124">
      <c r="A124" t="inlineStr">
        <is>
          <t>BBG00RC1YRL4 Equity</t>
        </is>
      </c>
      <c r="B124" t="inlineStr">
        <is>
          <t>TSLA US 10/16/20 P134</t>
        </is>
      </c>
      <c r="C124" t="inlineStr">
        <is>
          <t>2020-10-16</t>
        </is>
      </c>
      <c r="D124" t="n">
        <v>134</v>
      </c>
      <c r="E124" t="inlineStr">
        <is>
          <t>BBG00RC1YRL4</t>
        </is>
      </c>
    </row>
    <row r="125">
      <c r="A125" t="inlineStr">
        <is>
          <t>BBG00RC1YSQ7 Equity</t>
        </is>
      </c>
      <c r="B125" t="inlineStr">
        <is>
          <t>TSLA US 10/16/20 P135</t>
        </is>
      </c>
      <c r="C125" t="inlineStr">
        <is>
          <t>2020-10-16</t>
        </is>
      </c>
      <c r="D125" t="n">
        <v>135</v>
      </c>
      <c r="E125" t="inlineStr">
        <is>
          <t>BBG00RC1YSQ7</t>
        </is>
      </c>
    </row>
    <row r="126">
      <c r="A126" t="inlineStr">
        <is>
          <t>BBG00RC1YTT2 Equity</t>
        </is>
      </c>
      <c r="B126" t="inlineStr">
        <is>
          <t>TSLA US 10/16/20 P136</t>
        </is>
      </c>
      <c r="C126" t="inlineStr">
        <is>
          <t>2020-10-16</t>
        </is>
      </c>
      <c r="D126" t="n">
        <v>136</v>
      </c>
      <c r="E126" t="inlineStr">
        <is>
          <t>BBG00RC1YTT2</t>
        </is>
      </c>
    </row>
    <row r="127">
      <c r="A127" t="inlineStr">
        <is>
          <t>BBG00RC1YVX2 Equity</t>
        </is>
      </c>
      <c r="B127" t="inlineStr">
        <is>
          <t>TSLA US 10/16/20 P137</t>
        </is>
      </c>
      <c r="C127" t="inlineStr">
        <is>
          <t>2020-10-16</t>
        </is>
      </c>
      <c r="D127" t="n">
        <v>137</v>
      </c>
      <c r="E127" t="inlineStr">
        <is>
          <t>BBG00RC1YVX2</t>
        </is>
      </c>
    </row>
    <row r="128">
      <c r="A128" t="inlineStr">
        <is>
          <t>BBG00RC1YX13 Equity</t>
        </is>
      </c>
      <c r="B128" t="inlineStr">
        <is>
          <t>TSLA US 10/16/20 P138</t>
        </is>
      </c>
      <c r="C128" t="inlineStr">
        <is>
          <t>2020-10-16</t>
        </is>
      </c>
      <c r="D128" t="n">
        <v>138</v>
      </c>
      <c r="E128" t="inlineStr">
        <is>
          <t>BBG00RC1YX13</t>
        </is>
      </c>
    </row>
    <row r="129">
      <c r="A129" t="inlineStr">
        <is>
          <t>BBG00RC1YY48 Equity</t>
        </is>
      </c>
      <c r="B129" t="inlineStr">
        <is>
          <t>TSLA US 10/16/20 P139</t>
        </is>
      </c>
      <c r="C129" t="inlineStr">
        <is>
          <t>2020-10-16</t>
        </is>
      </c>
      <c r="D129" t="n">
        <v>139</v>
      </c>
      <c r="E129" t="inlineStr">
        <is>
          <t>BBG00RC1YY48</t>
        </is>
      </c>
    </row>
    <row r="130">
      <c r="A130" t="inlineStr">
        <is>
          <t>BBG00RC1YZ72 Equity</t>
        </is>
      </c>
      <c r="B130" t="inlineStr">
        <is>
          <t>TSLA US 10/16/20 P140</t>
        </is>
      </c>
      <c r="C130" t="inlineStr">
        <is>
          <t>2020-10-16</t>
        </is>
      </c>
      <c r="D130" t="n">
        <v>140</v>
      </c>
      <c r="E130" t="inlineStr">
        <is>
          <t>BBG00RC1YZ72</t>
        </is>
      </c>
    </row>
    <row r="131">
      <c r="A131" t="inlineStr">
        <is>
          <t>BBG00RC1Z0C2 Equity</t>
        </is>
      </c>
      <c r="B131" t="inlineStr">
        <is>
          <t>TSLA US 10/16/20 P141</t>
        </is>
      </c>
      <c r="C131" t="inlineStr">
        <is>
          <t>2020-10-16</t>
        </is>
      </c>
      <c r="D131" t="n">
        <v>141</v>
      </c>
      <c r="E131" t="inlineStr">
        <is>
          <t>BBG00RC1Z0C2</t>
        </is>
      </c>
    </row>
    <row r="132">
      <c r="A132" t="inlineStr">
        <is>
          <t>BBG00RC1Z1G6 Equity</t>
        </is>
      </c>
      <c r="B132" t="inlineStr">
        <is>
          <t>TSLA US 10/16/20 P142</t>
        </is>
      </c>
      <c r="C132" t="inlineStr">
        <is>
          <t>2020-10-16</t>
        </is>
      </c>
      <c r="D132" t="n">
        <v>142</v>
      </c>
      <c r="E132" t="inlineStr">
        <is>
          <t>BBG00RC1Z1G6</t>
        </is>
      </c>
    </row>
    <row r="133">
      <c r="A133" t="inlineStr">
        <is>
          <t>BBG00RC1Z2K9 Equity</t>
        </is>
      </c>
      <c r="B133" t="inlineStr">
        <is>
          <t>TSLA US 10/16/20 P143</t>
        </is>
      </c>
      <c r="C133" t="inlineStr">
        <is>
          <t>2020-10-16</t>
        </is>
      </c>
      <c r="D133" t="n">
        <v>143</v>
      </c>
      <c r="E133" t="inlineStr">
        <is>
          <t>BBG00RC1Z2K9</t>
        </is>
      </c>
    </row>
    <row r="134">
      <c r="A134" t="inlineStr">
        <is>
          <t>BBG00RC1Z3P2 Equity</t>
        </is>
      </c>
      <c r="B134" t="inlineStr">
        <is>
          <t>TSLA US 10/16/20 P144</t>
        </is>
      </c>
      <c r="C134" t="inlineStr">
        <is>
          <t>2020-10-16</t>
        </is>
      </c>
      <c r="D134" t="n">
        <v>144</v>
      </c>
      <c r="E134" t="inlineStr">
        <is>
          <t>BBG00RC1Z3P2</t>
        </is>
      </c>
    </row>
    <row r="135">
      <c r="A135" t="inlineStr">
        <is>
          <t>BBG00RC1Z4S7 Equity</t>
        </is>
      </c>
      <c r="B135" t="inlineStr">
        <is>
          <t>TSLA US 10/16/20 P145</t>
        </is>
      </c>
      <c r="C135" t="inlineStr">
        <is>
          <t>2020-10-16</t>
        </is>
      </c>
      <c r="D135" t="n">
        <v>145</v>
      </c>
      <c r="E135" t="inlineStr">
        <is>
          <t>BBG00RC1Z4S7</t>
        </is>
      </c>
    </row>
    <row r="136">
      <c r="A136" t="inlineStr">
        <is>
          <t>BBG00RC1Z5W9 Equity</t>
        </is>
      </c>
      <c r="B136" t="inlineStr">
        <is>
          <t>TSLA US 10/16/20 P146</t>
        </is>
      </c>
      <c r="C136" t="inlineStr">
        <is>
          <t>2020-10-16</t>
        </is>
      </c>
      <c r="D136" t="n">
        <v>146</v>
      </c>
      <c r="E136" t="inlineStr">
        <is>
          <t>BBG00RC1Z5W9</t>
        </is>
      </c>
    </row>
    <row r="137">
      <c r="A137" t="inlineStr">
        <is>
          <t>BBG00RC1Z700 Equity</t>
        </is>
      </c>
      <c r="B137" t="inlineStr">
        <is>
          <t>TSLA US 10/16/20 P147</t>
        </is>
      </c>
      <c r="C137" t="inlineStr">
        <is>
          <t>2020-10-16</t>
        </is>
      </c>
      <c r="D137" t="n">
        <v>147</v>
      </c>
      <c r="E137" t="inlineStr">
        <is>
          <t>BBG00RC1Z700</t>
        </is>
      </c>
    </row>
    <row r="138">
      <c r="A138" t="inlineStr">
        <is>
          <t>BBG00RC1Z835 Equity</t>
        </is>
      </c>
      <c r="B138" t="inlineStr">
        <is>
          <t>TSLA US 10/16/20 P148</t>
        </is>
      </c>
      <c r="C138" t="inlineStr">
        <is>
          <t>2020-10-16</t>
        </is>
      </c>
      <c r="D138" t="n">
        <v>148</v>
      </c>
      <c r="E138" t="inlineStr">
        <is>
          <t>BBG00RC1Z835</t>
        </is>
      </c>
    </row>
    <row r="139">
      <c r="A139" t="inlineStr">
        <is>
          <t>BBG00RC1Z960 Equity</t>
        </is>
      </c>
      <c r="B139" t="inlineStr">
        <is>
          <t>TSLA US 10/16/20 P149</t>
        </is>
      </c>
      <c r="C139" t="inlineStr">
        <is>
          <t>2020-10-16</t>
        </is>
      </c>
      <c r="D139" t="n">
        <v>149</v>
      </c>
      <c r="E139" t="inlineStr">
        <is>
          <t>BBG00RC1Z960</t>
        </is>
      </c>
    </row>
    <row r="140">
      <c r="A140" t="inlineStr">
        <is>
          <t>BBG00RDFMSL3 Equity</t>
        </is>
      </c>
      <c r="B140" t="inlineStr">
        <is>
          <t>TSLA US 10/16/20 P150</t>
        </is>
      </c>
      <c r="C140" t="inlineStr">
        <is>
          <t>2020-10-16</t>
        </is>
      </c>
      <c r="D140" t="n">
        <v>150</v>
      </c>
      <c r="E140" t="inlineStr">
        <is>
          <t>BBG00RDFMSL3</t>
        </is>
      </c>
    </row>
    <row r="141">
      <c r="A141" t="inlineStr">
        <is>
          <t>BBG00RMPFZ24 Equity</t>
        </is>
      </c>
      <c r="B141" t="inlineStr">
        <is>
          <t>TSLA US 10/16/20 P151</t>
        </is>
      </c>
      <c r="C141" t="inlineStr">
        <is>
          <t>2020-10-16</t>
        </is>
      </c>
      <c r="D141" t="n">
        <v>151</v>
      </c>
      <c r="E141" t="inlineStr">
        <is>
          <t>BBG00RMPFZ24</t>
        </is>
      </c>
    </row>
    <row r="142">
      <c r="A142" t="inlineStr">
        <is>
          <t>BBG00RDFMTP7 Equity</t>
        </is>
      </c>
      <c r="B142" t="inlineStr">
        <is>
          <t>TSLA US 10/16/20 P152</t>
        </is>
      </c>
      <c r="C142" t="inlineStr">
        <is>
          <t>2020-10-16</t>
        </is>
      </c>
      <c r="D142" t="n">
        <v>152</v>
      </c>
      <c r="E142" t="inlineStr">
        <is>
          <t>BBG00RDFMTP7</t>
        </is>
      </c>
    </row>
    <row r="143">
      <c r="A143" t="inlineStr">
        <is>
          <t>BBG00RMPG057 Equity</t>
        </is>
      </c>
      <c r="B143" t="inlineStr">
        <is>
          <t>TSLA US 10/16/20 P153</t>
        </is>
      </c>
      <c r="C143" t="inlineStr">
        <is>
          <t>2020-10-16</t>
        </is>
      </c>
      <c r="D143" t="n">
        <v>153</v>
      </c>
      <c r="E143" t="inlineStr">
        <is>
          <t>BBG00RMPG057</t>
        </is>
      </c>
    </row>
    <row r="144">
      <c r="A144" t="inlineStr">
        <is>
          <t>BBG00RDFMVS9 Equity</t>
        </is>
      </c>
      <c r="B144" t="inlineStr">
        <is>
          <t>TSLA US 10/16/20 P154</t>
        </is>
      </c>
      <c r="C144" t="inlineStr">
        <is>
          <t>2020-10-16</t>
        </is>
      </c>
      <c r="D144" t="n">
        <v>154</v>
      </c>
      <c r="E144" t="inlineStr">
        <is>
          <t>BBG00RDFMVS9</t>
        </is>
      </c>
    </row>
    <row r="145">
      <c r="A145" t="inlineStr">
        <is>
          <t>BBG00RMPG191 Equity</t>
        </is>
      </c>
      <c r="B145" t="inlineStr">
        <is>
          <t>TSLA US 10/16/20 P155</t>
        </is>
      </c>
      <c r="C145" t="inlineStr">
        <is>
          <t>2020-10-16</t>
        </is>
      </c>
      <c r="D145" t="n">
        <v>155</v>
      </c>
      <c r="E145" t="inlineStr">
        <is>
          <t>BBG00RMPG191</t>
        </is>
      </c>
    </row>
    <row r="146">
      <c r="A146" t="inlineStr">
        <is>
          <t>BBG00RDFMWX1 Equity</t>
        </is>
      </c>
      <c r="B146" t="inlineStr">
        <is>
          <t>TSLA US 10/16/20 P156</t>
        </is>
      </c>
      <c r="C146" t="inlineStr">
        <is>
          <t>2020-10-16</t>
        </is>
      </c>
      <c r="D146" t="n">
        <v>156</v>
      </c>
      <c r="E146" t="inlineStr">
        <is>
          <t>BBG00RDFMWX1</t>
        </is>
      </c>
    </row>
    <row r="147">
      <c r="A147" t="inlineStr">
        <is>
          <t>BBG00RMPG2D4 Equity</t>
        </is>
      </c>
      <c r="B147" t="inlineStr">
        <is>
          <t>TSLA US 10/16/20 P157</t>
        </is>
      </c>
      <c r="C147" t="inlineStr">
        <is>
          <t>2020-10-16</t>
        </is>
      </c>
      <c r="D147" t="n">
        <v>157</v>
      </c>
      <c r="E147" t="inlineStr">
        <is>
          <t>BBG00RMPG2D4</t>
        </is>
      </c>
    </row>
    <row r="148">
      <c r="A148" t="inlineStr">
        <is>
          <t>BBG00RDFMY03 Equity</t>
        </is>
      </c>
      <c r="B148" t="inlineStr">
        <is>
          <t>TSLA US 10/16/20 P158</t>
        </is>
      </c>
      <c r="C148" t="inlineStr">
        <is>
          <t>2020-10-16</t>
        </is>
      </c>
      <c r="D148" t="n">
        <v>158</v>
      </c>
      <c r="E148" t="inlineStr">
        <is>
          <t>BBG00RDFMY03</t>
        </is>
      </c>
    </row>
    <row r="149">
      <c r="A149" t="inlineStr">
        <is>
          <t>BBG00RMPG3H8 Equity</t>
        </is>
      </c>
      <c r="B149" t="inlineStr">
        <is>
          <t>TSLA US 10/16/20 P159</t>
        </is>
      </c>
      <c r="C149" t="inlineStr">
        <is>
          <t>2020-10-16</t>
        </is>
      </c>
      <c r="D149" t="n">
        <v>159</v>
      </c>
      <c r="E149" t="inlineStr">
        <is>
          <t>BBG00RMPG3H8</t>
        </is>
      </c>
    </row>
    <row r="150">
      <c r="A150" t="inlineStr">
        <is>
          <t>BBG00RDFMZ37 Equity</t>
        </is>
      </c>
      <c r="B150" t="inlineStr">
        <is>
          <t>TSLA US 10/16/20 P160</t>
        </is>
      </c>
      <c r="C150" t="inlineStr">
        <is>
          <t>2020-10-16</t>
        </is>
      </c>
      <c r="D150" t="n">
        <v>160</v>
      </c>
      <c r="E150" t="inlineStr">
        <is>
          <t>BBG00RDFMZ37</t>
        </is>
      </c>
    </row>
    <row r="151">
      <c r="A151" t="inlineStr">
        <is>
          <t>BBG00TLY3PQ1 Equity</t>
        </is>
      </c>
      <c r="B151" t="inlineStr">
        <is>
          <t>TSLA US 10/16/20 P161</t>
        </is>
      </c>
      <c r="C151" t="inlineStr">
        <is>
          <t>2020-10-16</t>
        </is>
      </c>
      <c r="D151" t="n">
        <v>161</v>
      </c>
      <c r="E151" t="inlineStr">
        <is>
          <t>BBG00TLY3PQ1</t>
        </is>
      </c>
    </row>
    <row r="152">
      <c r="A152" t="inlineStr">
        <is>
          <t>BBG00RDFN079 Equity</t>
        </is>
      </c>
      <c r="B152" t="inlineStr">
        <is>
          <t>TSLA US 10/16/20 P162</t>
        </is>
      </c>
      <c r="C152" t="inlineStr">
        <is>
          <t>2020-10-16</t>
        </is>
      </c>
      <c r="D152" t="n">
        <v>162</v>
      </c>
      <c r="E152" t="inlineStr">
        <is>
          <t>BBG00RDFN079</t>
        </is>
      </c>
    </row>
    <row r="153">
      <c r="A153" t="inlineStr">
        <is>
          <t>BBG00TLY3QT6 Equity</t>
        </is>
      </c>
      <c r="B153" t="inlineStr">
        <is>
          <t>TSLA US 10/16/20 P163</t>
        </is>
      </c>
      <c r="C153" t="inlineStr">
        <is>
          <t>2020-10-16</t>
        </is>
      </c>
      <c r="D153" t="n">
        <v>163</v>
      </c>
      <c r="E153" t="inlineStr">
        <is>
          <t>BBG00TLY3QT6</t>
        </is>
      </c>
    </row>
    <row r="154">
      <c r="A154" t="inlineStr">
        <is>
          <t>BBG00RDFN1B2 Equity</t>
        </is>
      </c>
      <c r="B154" t="inlineStr">
        <is>
          <t>TSLA US 10/16/20 P164</t>
        </is>
      </c>
      <c r="C154" t="inlineStr">
        <is>
          <t>2020-10-16</t>
        </is>
      </c>
      <c r="D154" t="n">
        <v>164</v>
      </c>
      <c r="E154" t="inlineStr">
        <is>
          <t>BBG00RDFN1B2</t>
        </is>
      </c>
    </row>
    <row r="155">
      <c r="A155" t="inlineStr">
        <is>
          <t>BBG00TLY3RX9 Equity</t>
        </is>
      </c>
      <c r="B155" t="inlineStr">
        <is>
          <t>TSLA US 10/16/20 P165</t>
        </is>
      </c>
      <c r="C155" t="inlineStr">
        <is>
          <t>2020-10-16</t>
        </is>
      </c>
      <c r="D155" t="n">
        <v>165</v>
      </c>
      <c r="E155" t="inlineStr">
        <is>
          <t>BBG00TLY3RX9</t>
        </is>
      </c>
    </row>
    <row r="156">
      <c r="A156" t="inlineStr">
        <is>
          <t>BBG00RDFN2G5 Equity</t>
        </is>
      </c>
      <c r="B156" t="inlineStr">
        <is>
          <t>TSLA US 10/16/20 P166</t>
        </is>
      </c>
      <c r="C156" t="inlineStr">
        <is>
          <t>2020-10-16</t>
        </is>
      </c>
      <c r="D156" t="n">
        <v>166</v>
      </c>
      <c r="E156" t="inlineStr">
        <is>
          <t>BBG00RDFN2G5</t>
        </is>
      </c>
    </row>
    <row r="157">
      <c r="A157" t="inlineStr">
        <is>
          <t>BBG00TLY3T10 Equity</t>
        </is>
      </c>
      <c r="B157" t="inlineStr">
        <is>
          <t>TSLA US 10/16/20 P167</t>
        </is>
      </c>
      <c r="C157" t="inlineStr">
        <is>
          <t>2020-10-16</t>
        </is>
      </c>
      <c r="D157" t="n">
        <v>167</v>
      </c>
      <c r="E157" t="inlineStr">
        <is>
          <t>BBG00TLY3T10</t>
        </is>
      </c>
    </row>
    <row r="158">
      <c r="A158" t="inlineStr">
        <is>
          <t>BBG00RDFN3K8 Equity</t>
        </is>
      </c>
      <c r="B158" t="inlineStr">
        <is>
          <t>TSLA US 10/16/20 P168</t>
        </is>
      </c>
      <c r="C158" t="inlineStr">
        <is>
          <t>2020-10-16</t>
        </is>
      </c>
      <c r="D158" t="n">
        <v>168</v>
      </c>
      <c r="E158" t="inlineStr">
        <is>
          <t>BBG00RDFN3K8</t>
        </is>
      </c>
    </row>
    <row r="159">
      <c r="A159" t="inlineStr">
        <is>
          <t>BBG00TLY3V42 Equity</t>
        </is>
      </c>
      <c r="B159" t="inlineStr">
        <is>
          <t>TSLA US 10/16/20 P169</t>
        </is>
      </c>
      <c r="C159" t="inlineStr">
        <is>
          <t>2020-10-16</t>
        </is>
      </c>
      <c r="D159" t="n">
        <v>169</v>
      </c>
      <c r="E159" t="inlineStr">
        <is>
          <t>BBG00TLY3V42</t>
        </is>
      </c>
    </row>
    <row r="160">
      <c r="A160" t="inlineStr">
        <is>
          <t>BBG00RDFN4N3 Equity</t>
        </is>
      </c>
      <c r="B160" t="inlineStr">
        <is>
          <t>TSLA US 10/16/20 P170</t>
        </is>
      </c>
      <c r="C160" t="inlineStr">
        <is>
          <t>2020-10-16</t>
        </is>
      </c>
      <c r="D160" t="n">
        <v>170</v>
      </c>
      <c r="E160" t="inlineStr">
        <is>
          <t>BBG00RDFN4N3</t>
        </is>
      </c>
    </row>
    <row r="161">
      <c r="A161" t="inlineStr">
        <is>
          <t>BBG00TLY3W77 Equity</t>
        </is>
      </c>
      <c r="B161" t="inlineStr">
        <is>
          <t>TSLA US 10/16/20 P171</t>
        </is>
      </c>
      <c r="C161" t="inlineStr">
        <is>
          <t>2020-10-16</t>
        </is>
      </c>
      <c r="D161" t="n">
        <v>171</v>
      </c>
      <c r="E161" t="inlineStr">
        <is>
          <t>BBG00TLY3W77</t>
        </is>
      </c>
    </row>
    <row r="162">
      <c r="A162" t="inlineStr">
        <is>
          <t>BBG00RDFN5S5 Equity</t>
        </is>
      </c>
      <c r="B162" t="inlineStr">
        <is>
          <t>TSLA US 10/16/20 P172</t>
        </is>
      </c>
      <c r="C162" t="inlineStr">
        <is>
          <t>2020-10-16</t>
        </is>
      </c>
      <c r="D162" t="n">
        <v>172</v>
      </c>
      <c r="E162" t="inlineStr">
        <is>
          <t>BBG00RDFN5S5</t>
        </is>
      </c>
    </row>
    <row r="163">
      <c r="A163" t="inlineStr">
        <is>
          <t>BBG00TLY3XC9 Equity</t>
        </is>
      </c>
      <c r="B163" t="inlineStr">
        <is>
          <t>TSLA US 10/16/20 P173</t>
        </is>
      </c>
      <c r="C163" t="inlineStr">
        <is>
          <t>2020-10-16</t>
        </is>
      </c>
      <c r="D163" t="n">
        <v>173</v>
      </c>
      <c r="E163" t="inlineStr">
        <is>
          <t>BBG00TLY3XC9</t>
        </is>
      </c>
    </row>
    <row r="164">
      <c r="A164" t="inlineStr">
        <is>
          <t>BBG00RDFN6W8 Equity</t>
        </is>
      </c>
      <c r="B164" t="inlineStr">
        <is>
          <t>TSLA US 10/16/20 P174</t>
        </is>
      </c>
      <c r="C164" t="inlineStr">
        <is>
          <t>2020-10-16</t>
        </is>
      </c>
      <c r="D164" t="n">
        <v>174</v>
      </c>
      <c r="E164" t="inlineStr">
        <is>
          <t>BBG00RDFN6W8</t>
        </is>
      </c>
    </row>
    <row r="165">
      <c r="A165" t="inlineStr">
        <is>
          <t>BBG00TLY3YG3 Equity</t>
        </is>
      </c>
      <c r="B165" t="inlineStr">
        <is>
          <t>TSLA US 10/16/20 P175</t>
        </is>
      </c>
      <c r="C165" t="inlineStr">
        <is>
          <t>2020-10-16</t>
        </is>
      </c>
      <c r="D165" t="n">
        <v>175</v>
      </c>
      <c r="E165" t="inlineStr">
        <is>
          <t>BBG00TLY3YG3</t>
        </is>
      </c>
    </row>
    <row r="166">
      <c r="A166" t="inlineStr">
        <is>
          <t>BBG00RDFN7Z3 Equity</t>
        </is>
      </c>
      <c r="B166" t="inlineStr">
        <is>
          <t>TSLA US 10/16/20 P176</t>
        </is>
      </c>
      <c r="C166" t="inlineStr">
        <is>
          <t>2020-10-16</t>
        </is>
      </c>
      <c r="D166" t="n">
        <v>176</v>
      </c>
      <c r="E166" t="inlineStr">
        <is>
          <t>BBG00RDFN7Z3</t>
        </is>
      </c>
    </row>
    <row r="167">
      <c r="A167" t="inlineStr">
        <is>
          <t>BBG00TLY3ZK5 Equity</t>
        </is>
      </c>
      <c r="B167" t="inlineStr">
        <is>
          <t>TSLA US 10/16/20 P177</t>
        </is>
      </c>
      <c r="C167" t="inlineStr">
        <is>
          <t>2020-10-16</t>
        </is>
      </c>
      <c r="D167" t="n">
        <v>177</v>
      </c>
      <c r="E167" t="inlineStr">
        <is>
          <t>BBG00TLY3ZK5</t>
        </is>
      </c>
    </row>
    <row r="168">
      <c r="A168" t="inlineStr">
        <is>
          <t>BBG00RDFN934 Equity</t>
        </is>
      </c>
      <c r="B168" t="inlineStr">
        <is>
          <t>TSLA US 10/16/20 P178</t>
        </is>
      </c>
      <c r="C168" t="inlineStr">
        <is>
          <t>2020-10-16</t>
        </is>
      </c>
      <c r="D168" t="n">
        <v>178</v>
      </c>
      <c r="E168" t="inlineStr">
        <is>
          <t>BBG00RDFN934</t>
        </is>
      </c>
    </row>
    <row r="169">
      <c r="A169" t="inlineStr">
        <is>
          <t>BBG00TLY40P6 Equity</t>
        </is>
      </c>
      <c r="B169" t="inlineStr">
        <is>
          <t>TSLA US 10/16/20 P179</t>
        </is>
      </c>
      <c r="C169" t="inlineStr">
        <is>
          <t>2020-10-16</t>
        </is>
      </c>
      <c r="D169" t="n">
        <v>179</v>
      </c>
      <c r="E169" t="inlineStr">
        <is>
          <t>BBG00TLY40P6</t>
        </is>
      </c>
    </row>
    <row r="170">
      <c r="A170" t="inlineStr">
        <is>
          <t>BBG00RDFNB66 Equity</t>
        </is>
      </c>
      <c r="B170" t="inlineStr">
        <is>
          <t>TSLA US 10/16/20 P180</t>
        </is>
      </c>
      <c r="C170" t="inlineStr">
        <is>
          <t>2020-10-16</t>
        </is>
      </c>
      <c r="D170" t="n">
        <v>180</v>
      </c>
      <c r="E170" t="inlineStr">
        <is>
          <t>BBG00RDFNB66</t>
        </is>
      </c>
    </row>
    <row r="171">
      <c r="A171" t="inlineStr">
        <is>
          <t>BBG00TLY41S1 Equity</t>
        </is>
      </c>
      <c r="B171" t="inlineStr">
        <is>
          <t>TSLA US 10/16/20 P181</t>
        </is>
      </c>
      <c r="C171" t="inlineStr">
        <is>
          <t>2020-10-16</t>
        </is>
      </c>
      <c r="D171" t="n">
        <v>181</v>
      </c>
      <c r="E171" t="inlineStr">
        <is>
          <t>BBG00TLY41S1</t>
        </is>
      </c>
    </row>
    <row r="172">
      <c r="A172" t="inlineStr">
        <is>
          <t>BBG00RDFNC91 Equity</t>
        </is>
      </c>
      <c r="B172" t="inlineStr">
        <is>
          <t>TSLA US 10/16/20 P182</t>
        </is>
      </c>
      <c r="C172" t="inlineStr">
        <is>
          <t>2020-10-16</t>
        </is>
      </c>
      <c r="D172" t="n">
        <v>182</v>
      </c>
      <c r="E172" t="inlineStr">
        <is>
          <t>BBG00RDFNC91</t>
        </is>
      </c>
    </row>
    <row r="173">
      <c r="A173" t="inlineStr">
        <is>
          <t>BBG00TLY42W4 Equity</t>
        </is>
      </c>
      <c r="B173" t="inlineStr">
        <is>
          <t>TSLA US 10/16/20 P183</t>
        </is>
      </c>
      <c r="C173" t="inlineStr">
        <is>
          <t>2020-10-16</t>
        </is>
      </c>
      <c r="D173" t="n">
        <v>183</v>
      </c>
      <c r="E173" t="inlineStr">
        <is>
          <t>BBG00TLY42W4</t>
        </is>
      </c>
    </row>
    <row r="174">
      <c r="A174" t="inlineStr">
        <is>
          <t>BBG00RDFNDF2 Equity</t>
        </is>
      </c>
      <c r="B174" t="inlineStr">
        <is>
          <t>TSLA US 10/16/20 P184</t>
        </is>
      </c>
      <c r="C174" t="inlineStr">
        <is>
          <t>2020-10-16</t>
        </is>
      </c>
      <c r="D174" t="n">
        <v>184</v>
      </c>
      <c r="E174" t="inlineStr">
        <is>
          <t>BBG00RDFNDF2</t>
        </is>
      </c>
    </row>
    <row r="175">
      <c r="A175" t="inlineStr">
        <is>
          <t>BBG00TLY4405 Equity</t>
        </is>
      </c>
      <c r="B175" t="inlineStr">
        <is>
          <t>TSLA US 10/16/20 P185</t>
        </is>
      </c>
      <c r="C175" t="inlineStr">
        <is>
          <t>2020-10-16</t>
        </is>
      </c>
      <c r="D175" t="n">
        <v>185</v>
      </c>
      <c r="E175" t="inlineStr">
        <is>
          <t>BBG00TLY4405</t>
        </is>
      </c>
    </row>
    <row r="176">
      <c r="A176" t="inlineStr">
        <is>
          <t>BBG00RDFNFJ3 Equity</t>
        </is>
      </c>
      <c r="B176" t="inlineStr">
        <is>
          <t>TSLA US 10/16/20 P186</t>
        </is>
      </c>
      <c r="C176" t="inlineStr">
        <is>
          <t>2020-10-16</t>
        </is>
      </c>
      <c r="D176" t="n">
        <v>186</v>
      </c>
      <c r="E176" t="inlineStr">
        <is>
          <t>BBG00RDFNFJ3</t>
        </is>
      </c>
    </row>
    <row r="177">
      <c r="A177" t="inlineStr">
        <is>
          <t>BBG00TLY4539 Equity</t>
        </is>
      </c>
      <c r="B177" t="inlineStr">
        <is>
          <t>TSLA US 10/16/20 P187</t>
        </is>
      </c>
      <c r="C177" t="inlineStr">
        <is>
          <t>2020-10-16</t>
        </is>
      </c>
      <c r="D177" t="n">
        <v>187</v>
      </c>
      <c r="E177" t="inlineStr">
        <is>
          <t>BBG00TLY4539</t>
        </is>
      </c>
    </row>
    <row r="178">
      <c r="A178" t="inlineStr">
        <is>
          <t>BBG00RDFNGM7 Equity</t>
        </is>
      </c>
      <c r="B178" t="inlineStr">
        <is>
          <t>TSLA US 10/16/20 P188</t>
        </is>
      </c>
      <c r="C178" t="inlineStr">
        <is>
          <t>2020-10-16</t>
        </is>
      </c>
      <c r="D178" t="n">
        <v>188</v>
      </c>
      <c r="E178" t="inlineStr">
        <is>
          <t>BBG00RDFNGM7</t>
        </is>
      </c>
    </row>
    <row r="179">
      <c r="A179" t="inlineStr">
        <is>
          <t>BBG00TLY4664 Equity</t>
        </is>
      </c>
      <c r="B179" t="inlineStr">
        <is>
          <t>TSLA US 10/16/20 P189</t>
        </is>
      </c>
      <c r="C179" t="inlineStr">
        <is>
          <t>2020-10-16</t>
        </is>
      </c>
      <c r="D179" t="n">
        <v>189</v>
      </c>
      <c r="E179" t="inlineStr">
        <is>
          <t>BBG00TLY4664</t>
        </is>
      </c>
    </row>
    <row r="180">
      <c r="A180" t="inlineStr">
        <is>
          <t>BBG00RDFNHR0 Equity</t>
        </is>
      </c>
      <c r="B180" t="inlineStr">
        <is>
          <t>TSLA US 10/16/20 P190</t>
        </is>
      </c>
      <c r="C180" t="inlineStr">
        <is>
          <t>2020-10-16</t>
        </is>
      </c>
      <c r="D180" t="n">
        <v>190</v>
      </c>
      <c r="E180" t="inlineStr">
        <is>
          <t>BBG00RDFNHR0</t>
        </is>
      </c>
    </row>
    <row r="181">
      <c r="A181" t="inlineStr">
        <is>
          <t>BBG00TLY47B6 Equity</t>
        </is>
      </c>
      <c r="B181" t="inlineStr">
        <is>
          <t>TSLA US 10/16/20 P191</t>
        </is>
      </c>
      <c r="C181" t="inlineStr">
        <is>
          <t>2020-10-16</t>
        </is>
      </c>
      <c r="D181" t="n">
        <v>191</v>
      </c>
      <c r="E181" t="inlineStr">
        <is>
          <t>BBG00TLY47B6</t>
        </is>
      </c>
    </row>
    <row r="182">
      <c r="A182" t="inlineStr">
        <is>
          <t>BBG00RDFNJV1 Equity</t>
        </is>
      </c>
      <c r="B182" t="inlineStr">
        <is>
          <t>TSLA US 10/16/20 P192</t>
        </is>
      </c>
      <c r="C182" t="inlineStr">
        <is>
          <t>2020-10-16</t>
        </is>
      </c>
      <c r="D182" t="n">
        <v>192</v>
      </c>
      <c r="E182" t="inlineStr">
        <is>
          <t>BBG00RDFNJV1</t>
        </is>
      </c>
    </row>
    <row r="183">
      <c r="A183" t="inlineStr">
        <is>
          <t>BBG00TLY48F0 Equity</t>
        </is>
      </c>
      <c r="B183" t="inlineStr">
        <is>
          <t>TSLA US 10/16/20 P193</t>
        </is>
      </c>
      <c r="C183" t="inlineStr">
        <is>
          <t>2020-10-16</t>
        </is>
      </c>
      <c r="D183" t="n">
        <v>193</v>
      </c>
      <c r="E183" t="inlineStr">
        <is>
          <t>BBG00TLY48F0</t>
        </is>
      </c>
    </row>
    <row r="184">
      <c r="A184" t="inlineStr">
        <is>
          <t>BBG00RDFNKY5 Equity</t>
        </is>
      </c>
      <c r="B184" t="inlineStr">
        <is>
          <t>TSLA US 10/16/20 P194</t>
        </is>
      </c>
      <c r="C184" t="inlineStr">
        <is>
          <t>2020-10-16</t>
        </is>
      </c>
      <c r="D184" t="n">
        <v>194</v>
      </c>
      <c r="E184" t="inlineStr">
        <is>
          <t>BBG00RDFNKY5</t>
        </is>
      </c>
    </row>
    <row r="185">
      <c r="A185" t="inlineStr">
        <is>
          <t>BBG00SMCQSN2 Equity</t>
        </is>
      </c>
      <c r="B185" t="inlineStr">
        <is>
          <t>TSLA US 11/20/20 P60</t>
        </is>
      </c>
      <c r="C185" t="inlineStr">
        <is>
          <t>2020-11-20</t>
        </is>
      </c>
      <c r="D185" t="n">
        <v>60</v>
      </c>
      <c r="E185" t="inlineStr">
        <is>
          <t>BBG00SMCQSN2</t>
        </is>
      </c>
    </row>
    <row r="186">
      <c r="A186" t="inlineStr">
        <is>
          <t>BBG00SMCQTR6 Equity</t>
        </is>
      </c>
      <c r="B186" t="inlineStr">
        <is>
          <t>TSLA US 11/20/20 P61</t>
        </is>
      </c>
      <c r="C186" t="inlineStr">
        <is>
          <t>2020-11-20</t>
        </is>
      </c>
      <c r="D186" t="n">
        <v>61</v>
      </c>
      <c r="E186" t="inlineStr">
        <is>
          <t>BBG00SMCQTR6</t>
        </is>
      </c>
    </row>
    <row r="187">
      <c r="A187" t="inlineStr">
        <is>
          <t>BBG00SMCQVV6 Equity</t>
        </is>
      </c>
      <c r="B187" t="inlineStr">
        <is>
          <t>TSLA US 11/20/20 P62</t>
        </is>
      </c>
      <c r="C187" t="inlineStr">
        <is>
          <t>2020-11-20</t>
        </is>
      </c>
      <c r="D187" t="n">
        <v>62</v>
      </c>
      <c r="E187" t="inlineStr">
        <is>
          <t>BBG00SMCQVV6</t>
        </is>
      </c>
    </row>
    <row r="188">
      <c r="A188" t="inlineStr">
        <is>
          <t>BBG00SMCQWZ0 Equity</t>
        </is>
      </c>
      <c r="B188" t="inlineStr">
        <is>
          <t>TSLA US 11/20/20 P63</t>
        </is>
      </c>
      <c r="C188" t="inlineStr">
        <is>
          <t>2020-11-20</t>
        </is>
      </c>
      <c r="D188" t="n">
        <v>63</v>
      </c>
      <c r="E188" t="inlineStr">
        <is>
          <t>BBG00SMCQWZ0</t>
        </is>
      </c>
    </row>
    <row r="189">
      <c r="A189" t="inlineStr">
        <is>
          <t>BBG00SMCQY22 Equity</t>
        </is>
      </c>
      <c r="B189" t="inlineStr">
        <is>
          <t>TSLA US 11/20/20 P64</t>
        </is>
      </c>
      <c r="C189" t="inlineStr">
        <is>
          <t>2020-11-20</t>
        </is>
      </c>
      <c r="D189" t="n">
        <v>64</v>
      </c>
      <c r="E189" t="inlineStr">
        <is>
          <t>BBG00SMCQY22</t>
        </is>
      </c>
    </row>
    <row r="190">
      <c r="A190" t="inlineStr">
        <is>
          <t>BBG00SMCQZ65 Equity</t>
        </is>
      </c>
      <c r="B190" t="inlineStr">
        <is>
          <t>TSLA US 11/20/20 P65</t>
        </is>
      </c>
      <c r="C190" t="inlineStr">
        <is>
          <t>2020-11-20</t>
        </is>
      </c>
      <c r="D190" t="n">
        <v>65</v>
      </c>
      <c r="E190" t="inlineStr">
        <is>
          <t>BBG00SMCQZ65</t>
        </is>
      </c>
    </row>
    <row r="191">
      <c r="A191" t="inlineStr">
        <is>
          <t>BBG00SMCR098 Equity</t>
        </is>
      </c>
      <c r="B191" t="inlineStr">
        <is>
          <t>TSLA US 11/20/20 P66</t>
        </is>
      </c>
      <c r="C191" t="inlineStr">
        <is>
          <t>2020-11-20</t>
        </is>
      </c>
      <c r="D191" t="n">
        <v>66</v>
      </c>
      <c r="E191" t="inlineStr">
        <is>
          <t>BBG00SMCR098</t>
        </is>
      </c>
    </row>
    <row r="192">
      <c r="A192" t="inlineStr">
        <is>
          <t>BBG00SMCR1D1 Equity</t>
        </is>
      </c>
      <c r="B192" t="inlineStr">
        <is>
          <t>TSLA US 11/20/20 P67</t>
        </is>
      </c>
      <c r="C192" t="inlineStr">
        <is>
          <t>2020-11-20</t>
        </is>
      </c>
      <c r="D192" t="n">
        <v>67</v>
      </c>
      <c r="E192" t="inlineStr">
        <is>
          <t>BBG00SMCR1D1</t>
        </is>
      </c>
    </row>
    <row r="193">
      <c r="A193" t="inlineStr">
        <is>
          <t>BBG00SMCR2J3 Equity</t>
        </is>
      </c>
      <c r="B193" t="inlineStr">
        <is>
          <t>TSLA US 11/20/20 P68</t>
        </is>
      </c>
      <c r="C193" t="inlineStr">
        <is>
          <t>2020-11-20</t>
        </is>
      </c>
      <c r="D193" t="n">
        <v>68</v>
      </c>
      <c r="E193" t="inlineStr">
        <is>
          <t>BBG00SMCR2J3</t>
        </is>
      </c>
    </row>
    <row r="194">
      <c r="A194" t="inlineStr">
        <is>
          <t>BBG00SMCR3M7 Equity</t>
        </is>
      </c>
      <c r="B194" t="inlineStr">
        <is>
          <t>TSLA US 11/20/20 P69</t>
        </is>
      </c>
      <c r="C194" t="inlineStr">
        <is>
          <t>2020-11-20</t>
        </is>
      </c>
      <c r="D194" t="n">
        <v>69</v>
      </c>
      <c r="E194" t="inlineStr">
        <is>
          <t>BBG00SMCR3M7</t>
        </is>
      </c>
    </row>
    <row r="195">
      <c r="A195" t="inlineStr">
        <is>
          <t>BBG00SMCR4Q1 Equity</t>
        </is>
      </c>
      <c r="B195" t="inlineStr">
        <is>
          <t>TSLA US 11/20/20 P70</t>
        </is>
      </c>
      <c r="C195" t="inlineStr">
        <is>
          <t>2020-11-20</t>
        </is>
      </c>
      <c r="D195" t="n">
        <v>70</v>
      </c>
      <c r="E195" t="inlineStr">
        <is>
          <t>BBG00SMCR4Q1</t>
        </is>
      </c>
    </row>
    <row r="196">
      <c r="A196" t="inlineStr">
        <is>
          <t>BBG00SMCR5V2 Equity</t>
        </is>
      </c>
      <c r="B196" t="inlineStr">
        <is>
          <t>TSLA US 11/20/20 P71</t>
        </is>
      </c>
      <c r="C196" t="inlineStr">
        <is>
          <t>2020-11-20</t>
        </is>
      </c>
      <c r="D196" t="n">
        <v>71</v>
      </c>
      <c r="E196" t="inlineStr">
        <is>
          <t>BBG00SMCR5V2</t>
        </is>
      </c>
    </row>
    <row r="197">
      <c r="A197" t="inlineStr">
        <is>
          <t>BBG00SMCR6Y7 Equity</t>
        </is>
      </c>
      <c r="B197" t="inlineStr">
        <is>
          <t>TSLA US 11/20/20 P72</t>
        </is>
      </c>
      <c r="C197" t="inlineStr">
        <is>
          <t>2020-11-20</t>
        </is>
      </c>
      <c r="D197" t="n">
        <v>72</v>
      </c>
      <c r="E197" t="inlineStr">
        <is>
          <t>BBG00SMCR6Y7</t>
        </is>
      </c>
    </row>
    <row r="198">
      <c r="A198" t="inlineStr">
        <is>
          <t>BBG00SMCR819 Equity</t>
        </is>
      </c>
      <c r="B198" t="inlineStr">
        <is>
          <t>TSLA US 11/20/20 P73</t>
        </is>
      </c>
      <c r="C198" t="inlineStr">
        <is>
          <t>2020-11-20</t>
        </is>
      </c>
      <c r="D198" t="n">
        <v>73</v>
      </c>
      <c r="E198" t="inlineStr">
        <is>
          <t>BBG00SMCR819</t>
        </is>
      </c>
    </row>
    <row r="199">
      <c r="A199" t="inlineStr">
        <is>
          <t>BBG00SMCR953 Equity</t>
        </is>
      </c>
      <c r="B199" t="inlineStr">
        <is>
          <t>TSLA US 11/20/20 P74</t>
        </is>
      </c>
      <c r="C199" t="inlineStr">
        <is>
          <t>2020-11-20</t>
        </is>
      </c>
      <c r="D199" t="n">
        <v>74</v>
      </c>
      <c r="E199" t="inlineStr">
        <is>
          <t>BBG00SMCR953</t>
        </is>
      </c>
    </row>
    <row r="200">
      <c r="A200" t="inlineStr">
        <is>
          <t>BBG00SMCRB85 Equity</t>
        </is>
      </c>
      <c r="B200" t="inlineStr">
        <is>
          <t>TSLA US 11/20/20 P75</t>
        </is>
      </c>
      <c r="C200" t="inlineStr">
        <is>
          <t>2020-11-20</t>
        </is>
      </c>
      <c r="D200" t="n">
        <v>75</v>
      </c>
      <c r="E200" t="inlineStr">
        <is>
          <t>BBG00SMCRB85</t>
        </is>
      </c>
    </row>
    <row r="201">
      <c r="A201" t="inlineStr">
        <is>
          <t>BBG00SK0GFW9 Equity</t>
        </is>
      </c>
      <c r="B201" t="inlineStr">
        <is>
          <t>TSLA US 11/20/20 P76</t>
        </is>
      </c>
      <c r="C201" t="inlineStr">
        <is>
          <t>2020-11-20</t>
        </is>
      </c>
      <c r="D201" t="n">
        <v>76</v>
      </c>
      <c r="E201" t="inlineStr">
        <is>
          <t>BBG00SK0GFW9</t>
        </is>
      </c>
    </row>
    <row r="202">
      <c r="A202" t="inlineStr">
        <is>
          <t>BBG00SK0GH00 Equity</t>
        </is>
      </c>
      <c r="B202" t="inlineStr">
        <is>
          <t>TSLA US 11/20/20 P77</t>
        </is>
      </c>
      <c r="C202" t="inlineStr">
        <is>
          <t>2020-11-20</t>
        </is>
      </c>
      <c r="D202" t="n">
        <v>77</v>
      </c>
      <c r="E202" t="inlineStr">
        <is>
          <t>BBG00SK0GH00</t>
        </is>
      </c>
    </row>
    <row r="203">
      <c r="A203" t="inlineStr">
        <is>
          <t>BBG00SK0GJ33 Equity</t>
        </is>
      </c>
      <c r="B203" t="inlineStr">
        <is>
          <t>TSLA US 11/20/20 P78</t>
        </is>
      </c>
      <c r="C203" t="inlineStr">
        <is>
          <t>2020-11-20</t>
        </is>
      </c>
      <c r="D203" t="n">
        <v>78</v>
      </c>
      <c r="E203" t="inlineStr">
        <is>
          <t>BBG00SK0GJ33</t>
        </is>
      </c>
    </row>
    <row r="204">
      <c r="A204" t="inlineStr">
        <is>
          <t>BBG00SK0GK67 Equity</t>
        </is>
      </c>
      <c r="B204" t="inlineStr">
        <is>
          <t>TSLA US 11/20/20 P79</t>
        </is>
      </c>
      <c r="C204" t="inlineStr">
        <is>
          <t>2020-11-20</t>
        </is>
      </c>
      <c r="D204" t="n">
        <v>79</v>
      </c>
      <c r="E204" t="inlineStr">
        <is>
          <t>BBG00SK0GK67</t>
        </is>
      </c>
    </row>
    <row r="205">
      <c r="A205" t="inlineStr">
        <is>
          <t>BBG00SK0GLB9 Equity</t>
        </is>
      </c>
      <c r="B205" t="inlineStr">
        <is>
          <t>TSLA US 11/20/20 P80</t>
        </is>
      </c>
      <c r="C205" t="inlineStr">
        <is>
          <t>2020-11-20</t>
        </is>
      </c>
      <c r="D205" t="n">
        <v>80</v>
      </c>
      <c r="E205" t="inlineStr">
        <is>
          <t>BBG00SK0GLB9</t>
        </is>
      </c>
    </row>
    <row r="206">
      <c r="A206" t="inlineStr">
        <is>
          <t>BBG00SK0GMF3 Equity</t>
        </is>
      </c>
      <c r="B206" t="inlineStr">
        <is>
          <t>TSLA US 11/20/20 P81</t>
        </is>
      </c>
      <c r="C206" t="inlineStr">
        <is>
          <t>2020-11-20</t>
        </is>
      </c>
      <c r="D206" t="n">
        <v>81</v>
      </c>
      <c r="E206" t="inlineStr">
        <is>
          <t>BBG00SK0GMF3</t>
        </is>
      </c>
    </row>
    <row r="207">
      <c r="A207" t="inlineStr">
        <is>
          <t>BBG00SK0GNJ7 Equity</t>
        </is>
      </c>
      <c r="B207" t="inlineStr">
        <is>
          <t>TSLA US 11/20/20 P82</t>
        </is>
      </c>
      <c r="C207" t="inlineStr">
        <is>
          <t>2020-11-20</t>
        </is>
      </c>
      <c r="D207" t="n">
        <v>82</v>
      </c>
      <c r="E207" t="inlineStr">
        <is>
          <t>BBG00SK0GNJ7</t>
        </is>
      </c>
    </row>
    <row r="208">
      <c r="A208" t="inlineStr">
        <is>
          <t>BBG00SK0GPN7 Equity</t>
        </is>
      </c>
      <c r="B208" t="inlineStr">
        <is>
          <t>TSLA US 11/20/20 P83</t>
        </is>
      </c>
      <c r="C208" t="inlineStr">
        <is>
          <t>2020-11-20</t>
        </is>
      </c>
      <c r="D208" t="n">
        <v>83</v>
      </c>
      <c r="E208" t="inlineStr">
        <is>
          <t>BBG00SK0GPN7</t>
        </is>
      </c>
    </row>
    <row r="209">
      <c r="A209" t="inlineStr">
        <is>
          <t>BBG00SK0GQR1 Equity</t>
        </is>
      </c>
      <c r="B209" t="inlineStr">
        <is>
          <t>TSLA US 11/20/20 P84</t>
        </is>
      </c>
      <c r="C209" t="inlineStr">
        <is>
          <t>2020-11-20</t>
        </is>
      </c>
      <c r="D209" t="n">
        <v>84</v>
      </c>
      <c r="E209" t="inlineStr">
        <is>
          <t>BBG00SK0GQR1</t>
        </is>
      </c>
    </row>
    <row r="210">
      <c r="A210" t="inlineStr">
        <is>
          <t>BBG00SK0GRV4 Equity</t>
        </is>
      </c>
      <c r="B210" t="inlineStr">
        <is>
          <t>TSLA US 11/20/20 P85</t>
        </is>
      </c>
      <c r="C210" t="inlineStr">
        <is>
          <t>2020-11-20</t>
        </is>
      </c>
      <c r="D210" t="n">
        <v>85</v>
      </c>
      <c r="E210" t="inlineStr">
        <is>
          <t>BBG00SK0GRV4</t>
        </is>
      </c>
    </row>
    <row r="211">
      <c r="A211" t="inlineStr">
        <is>
          <t>BBG00SK0GSZ8 Equity</t>
        </is>
      </c>
      <c r="B211" t="inlineStr">
        <is>
          <t>TSLA US 11/20/20 P86</t>
        </is>
      </c>
      <c r="C211" t="inlineStr">
        <is>
          <t>2020-11-20</t>
        </is>
      </c>
      <c r="D211" t="n">
        <v>86</v>
      </c>
      <c r="E211" t="inlineStr">
        <is>
          <t>BBG00SK0GSZ8</t>
        </is>
      </c>
    </row>
    <row r="212">
      <c r="A212" t="inlineStr">
        <is>
          <t>BBG00SK0GV27 Equity</t>
        </is>
      </c>
      <c r="B212" t="inlineStr">
        <is>
          <t>TSLA US 11/20/20 P87</t>
        </is>
      </c>
      <c r="C212" t="inlineStr">
        <is>
          <t>2020-11-20</t>
        </is>
      </c>
      <c r="D212" t="n">
        <v>87</v>
      </c>
      <c r="E212" t="inlineStr">
        <is>
          <t>BBG00SK0GV27</t>
        </is>
      </c>
    </row>
    <row r="213">
      <c r="A213" t="inlineStr">
        <is>
          <t>BBG00SK0GW52 Equity</t>
        </is>
      </c>
      <c r="B213" t="inlineStr">
        <is>
          <t>TSLA US 11/20/20 P88</t>
        </is>
      </c>
      <c r="C213" t="inlineStr">
        <is>
          <t>2020-11-20</t>
        </is>
      </c>
      <c r="D213" t="n">
        <v>88</v>
      </c>
      <c r="E213" t="inlineStr">
        <is>
          <t>BBG00SK0GW52</t>
        </is>
      </c>
    </row>
    <row r="214">
      <c r="A214" t="inlineStr">
        <is>
          <t>BBG00SK0GX96 Equity</t>
        </is>
      </c>
      <c r="B214" t="inlineStr">
        <is>
          <t>TSLA US 11/20/20 P89</t>
        </is>
      </c>
      <c r="C214" t="inlineStr">
        <is>
          <t>2020-11-20</t>
        </is>
      </c>
      <c r="D214" t="n">
        <v>89</v>
      </c>
      <c r="E214" t="inlineStr">
        <is>
          <t>BBG00SK0GX96</t>
        </is>
      </c>
    </row>
    <row r="215">
      <c r="A215" t="inlineStr">
        <is>
          <t>BBG00SK0GYD9 Equity</t>
        </is>
      </c>
      <c r="B215" t="inlineStr">
        <is>
          <t>TSLA US 11/20/20 P90</t>
        </is>
      </c>
      <c r="C215" t="inlineStr">
        <is>
          <t>2020-11-20</t>
        </is>
      </c>
      <c r="D215" t="n">
        <v>90</v>
      </c>
      <c r="E215" t="inlineStr">
        <is>
          <t>BBG00SK0GYD9</t>
        </is>
      </c>
    </row>
    <row r="216">
      <c r="A216" t="inlineStr">
        <is>
          <t>BBG00SK0GZH2 Equity</t>
        </is>
      </c>
      <c r="B216" t="inlineStr">
        <is>
          <t>TSLA US 11/20/20 P91</t>
        </is>
      </c>
      <c r="C216" t="inlineStr">
        <is>
          <t>2020-11-20</t>
        </is>
      </c>
      <c r="D216" t="n">
        <v>91</v>
      </c>
      <c r="E216" t="inlineStr">
        <is>
          <t>BBG00SK0GZH2</t>
        </is>
      </c>
    </row>
    <row r="217">
      <c r="A217" t="inlineStr">
        <is>
          <t>BBG00SK0H0M2 Equity</t>
        </is>
      </c>
      <c r="B217" t="inlineStr">
        <is>
          <t>TSLA US 11/20/20 P92</t>
        </is>
      </c>
      <c r="C217" t="inlineStr">
        <is>
          <t>2020-11-20</t>
        </is>
      </c>
      <c r="D217" t="n">
        <v>92</v>
      </c>
      <c r="E217" t="inlineStr">
        <is>
          <t>BBG00SK0H0M2</t>
        </is>
      </c>
    </row>
    <row r="218">
      <c r="A218" t="inlineStr">
        <is>
          <t>BBG00SK0H1Q6 Equity</t>
        </is>
      </c>
      <c r="B218" t="inlineStr">
        <is>
          <t>TSLA US 11/20/20 P93</t>
        </is>
      </c>
      <c r="C218" t="inlineStr">
        <is>
          <t>2020-11-20</t>
        </is>
      </c>
      <c r="D218" t="n">
        <v>93</v>
      </c>
      <c r="E218" t="inlineStr">
        <is>
          <t>BBG00SK0H1Q6</t>
        </is>
      </c>
    </row>
    <row r="219">
      <c r="A219" t="inlineStr">
        <is>
          <t>BBG00SK0H2T1 Equity</t>
        </is>
      </c>
      <c r="B219" t="inlineStr">
        <is>
          <t>TSLA US 11/20/20 P94</t>
        </is>
      </c>
      <c r="C219" t="inlineStr">
        <is>
          <t>2020-11-20</t>
        </is>
      </c>
      <c r="D219" t="n">
        <v>94</v>
      </c>
      <c r="E219" t="inlineStr">
        <is>
          <t>BBG00SK0H2T1</t>
        </is>
      </c>
    </row>
    <row r="220">
      <c r="A220" t="inlineStr">
        <is>
          <t>BBG00SK0H3Y3 Equity</t>
        </is>
      </c>
      <c r="B220" t="inlineStr">
        <is>
          <t>TSLA US 11/20/20 P95</t>
        </is>
      </c>
      <c r="C220" t="inlineStr">
        <is>
          <t>2020-11-20</t>
        </is>
      </c>
      <c r="D220" t="n">
        <v>95</v>
      </c>
      <c r="E220" t="inlineStr">
        <is>
          <t>BBG00SK0H3Y3</t>
        </is>
      </c>
    </row>
    <row r="221">
      <c r="A221" t="inlineStr">
        <is>
          <t>BBG00SK0H514 Equity</t>
        </is>
      </c>
      <c r="B221" t="inlineStr">
        <is>
          <t>TSLA US 11/20/20 P96</t>
        </is>
      </c>
      <c r="C221" t="inlineStr">
        <is>
          <t>2020-11-20</t>
        </is>
      </c>
      <c r="D221" t="n">
        <v>96</v>
      </c>
      <c r="E221" t="inlineStr">
        <is>
          <t>BBG00SK0H514</t>
        </is>
      </c>
    </row>
    <row r="222">
      <c r="A222" t="inlineStr">
        <is>
          <t>BBG00SK0H649 Equity</t>
        </is>
      </c>
      <c r="B222" t="inlineStr">
        <is>
          <t>TSLA US 11/20/20 P97</t>
        </is>
      </c>
      <c r="C222" t="inlineStr">
        <is>
          <t>2020-11-20</t>
        </is>
      </c>
      <c r="D222" t="n">
        <v>97</v>
      </c>
      <c r="E222" t="inlineStr">
        <is>
          <t>BBG00SK0H649</t>
        </is>
      </c>
    </row>
    <row r="223">
      <c r="A223" t="inlineStr">
        <is>
          <t>BBG00S5CK4M1 Equity</t>
        </is>
      </c>
      <c r="B223" t="inlineStr">
        <is>
          <t>TSLA US 11/20/20 P120</t>
        </is>
      </c>
      <c r="C223" t="inlineStr">
        <is>
          <t>2020-11-20</t>
        </is>
      </c>
      <c r="D223" t="n">
        <v>120</v>
      </c>
      <c r="E223" t="inlineStr">
        <is>
          <t>BBG00S5CK4M1</t>
        </is>
      </c>
    </row>
    <row r="224">
      <c r="A224" t="inlineStr">
        <is>
          <t>BBG00T3V2KS7 Equity</t>
        </is>
      </c>
      <c r="B224" t="inlineStr">
        <is>
          <t>TSLA US 11/20/20 P121</t>
        </is>
      </c>
      <c r="C224" t="inlineStr">
        <is>
          <t>2020-11-20</t>
        </is>
      </c>
      <c r="D224" t="n">
        <v>121</v>
      </c>
      <c r="E224" t="inlineStr">
        <is>
          <t>BBG00T3V2KS7</t>
        </is>
      </c>
    </row>
    <row r="225">
      <c r="A225" t="inlineStr">
        <is>
          <t>BBG00T3V2LW0 Equity</t>
        </is>
      </c>
      <c r="B225" t="inlineStr">
        <is>
          <t>TSLA US 11/20/20 P122</t>
        </is>
      </c>
      <c r="C225" t="inlineStr">
        <is>
          <t>2020-11-20</t>
        </is>
      </c>
      <c r="D225" t="n">
        <v>122</v>
      </c>
      <c r="E225" t="inlineStr">
        <is>
          <t>BBG00T3V2LW0</t>
        </is>
      </c>
    </row>
    <row r="226">
      <c r="A226" t="inlineStr">
        <is>
          <t>BBG00T3V2N01 Equity</t>
        </is>
      </c>
      <c r="B226" t="inlineStr">
        <is>
          <t>TSLA US 11/20/20 P123</t>
        </is>
      </c>
      <c r="C226" t="inlineStr">
        <is>
          <t>2020-11-20</t>
        </is>
      </c>
      <c r="D226" t="n">
        <v>123</v>
      </c>
      <c r="E226" t="inlineStr">
        <is>
          <t>BBG00T3V2N01</t>
        </is>
      </c>
    </row>
    <row r="227">
      <c r="A227" t="inlineStr">
        <is>
          <t>BBG00T3V2P33 Equity</t>
        </is>
      </c>
      <c r="B227" t="inlineStr">
        <is>
          <t>TSLA US 11/20/20 P124</t>
        </is>
      </c>
      <c r="C227" t="inlineStr">
        <is>
          <t>2020-11-20</t>
        </is>
      </c>
      <c r="D227" t="n">
        <v>124</v>
      </c>
      <c r="E227" t="inlineStr">
        <is>
          <t>BBG00T3V2P33</t>
        </is>
      </c>
    </row>
    <row r="228">
      <c r="A228" t="inlineStr">
        <is>
          <t>BBG00T3V2Q68 Equity</t>
        </is>
      </c>
      <c r="B228" t="inlineStr">
        <is>
          <t>TSLA US 11/20/20 P125</t>
        </is>
      </c>
      <c r="C228" t="inlineStr">
        <is>
          <t>2020-11-20</t>
        </is>
      </c>
      <c r="D228" t="n">
        <v>125</v>
      </c>
      <c r="E228" t="inlineStr">
        <is>
          <t>BBG00T3V2Q68</t>
        </is>
      </c>
    </row>
    <row r="229">
      <c r="A229" t="inlineStr">
        <is>
          <t>BBG00T3V2RB0 Equity</t>
        </is>
      </c>
      <c r="B229" t="inlineStr">
        <is>
          <t>TSLA US 11/20/20 P126</t>
        </is>
      </c>
      <c r="C229" t="inlineStr">
        <is>
          <t>2020-11-20</t>
        </is>
      </c>
      <c r="D229" t="n">
        <v>126</v>
      </c>
      <c r="E229" t="inlineStr">
        <is>
          <t>BBG00T3V2RB0</t>
        </is>
      </c>
    </row>
    <row r="230">
      <c r="A230" t="inlineStr">
        <is>
          <t>BBG00T3V2SF4 Equity</t>
        </is>
      </c>
      <c r="B230" t="inlineStr">
        <is>
          <t>TSLA US 11/20/20 P127</t>
        </is>
      </c>
      <c r="C230" t="inlineStr">
        <is>
          <t>2020-11-20</t>
        </is>
      </c>
      <c r="D230" t="n">
        <v>127</v>
      </c>
      <c r="E230" t="inlineStr">
        <is>
          <t>BBG00T3V2SF4</t>
        </is>
      </c>
    </row>
    <row r="231">
      <c r="A231" t="inlineStr">
        <is>
          <t>BBG00T3V2TJ8 Equity</t>
        </is>
      </c>
      <c r="B231" t="inlineStr">
        <is>
          <t>TSLA US 11/20/20 P128</t>
        </is>
      </c>
      <c r="C231" t="inlineStr">
        <is>
          <t>2020-11-20</t>
        </is>
      </c>
      <c r="D231" t="n">
        <v>128</v>
      </c>
      <c r="E231" t="inlineStr">
        <is>
          <t>BBG00T3V2TJ8</t>
        </is>
      </c>
    </row>
    <row r="232">
      <c r="A232" t="inlineStr">
        <is>
          <t>BBG00T3V2VN8 Equity</t>
        </is>
      </c>
      <c r="B232" t="inlineStr">
        <is>
          <t>TSLA US 11/20/20 P129</t>
        </is>
      </c>
      <c r="C232" t="inlineStr">
        <is>
          <t>2020-11-20</t>
        </is>
      </c>
      <c r="D232" t="n">
        <v>129</v>
      </c>
      <c r="E232" t="inlineStr">
        <is>
          <t>BBG00T3V2VN8</t>
        </is>
      </c>
    </row>
    <row r="233">
      <c r="A233" t="inlineStr">
        <is>
          <t>BBG00S5CK5R3 Equity</t>
        </is>
      </c>
      <c r="B233" t="inlineStr">
        <is>
          <t>TSLA US 11/20/20 P130</t>
        </is>
      </c>
      <c r="C233" t="inlineStr">
        <is>
          <t>2020-11-20</t>
        </is>
      </c>
      <c r="D233" t="n">
        <v>130</v>
      </c>
      <c r="E233" t="inlineStr">
        <is>
          <t>BBG00S5CK5R3</t>
        </is>
      </c>
    </row>
    <row r="234">
      <c r="A234" t="inlineStr">
        <is>
          <t>BBG00T3V2WR2 Equity</t>
        </is>
      </c>
      <c r="B234" t="inlineStr">
        <is>
          <t>TSLA US 11/20/20 P131</t>
        </is>
      </c>
      <c r="C234" t="inlineStr">
        <is>
          <t>2020-11-20</t>
        </is>
      </c>
      <c r="D234" t="n">
        <v>131</v>
      </c>
      <c r="E234" t="inlineStr">
        <is>
          <t>BBG00T3V2WR2</t>
        </is>
      </c>
    </row>
    <row r="235">
      <c r="A235" t="inlineStr">
        <is>
          <t>BBG00T3V2XV5 Equity</t>
        </is>
      </c>
      <c r="B235" t="inlineStr">
        <is>
          <t>TSLA US 11/20/20 P132</t>
        </is>
      </c>
      <c r="C235" t="inlineStr">
        <is>
          <t>2020-11-20</t>
        </is>
      </c>
      <c r="D235" t="n">
        <v>132</v>
      </c>
      <c r="E235" t="inlineStr">
        <is>
          <t>BBG00T3V2XV5</t>
        </is>
      </c>
    </row>
    <row r="236">
      <c r="A236" t="inlineStr">
        <is>
          <t>BBG00T3V2YZ9 Equity</t>
        </is>
      </c>
      <c r="B236" t="inlineStr">
        <is>
          <t>TSLA US 11/20/20 P133</t>
        </is>
      </c>
      <c r="C236" t="inlineStr">
        <is>
          <t>2020-11-20</t>
        </is>
      </c>
      <c r="D236" t="n">
        <v>133</v>
      </c>
      <c r="E236" t="inlineStr">
        <is>
          <t>BBG00T3V2YZ9</t>
        </is>
      </c>
    </row>
    <row r="237">
      <c r="A237" t="inlineStr">
        <is>
          <t>BBG00T3V3028 Equity</t>
        </is>
      </c>
      <c r="B237" t="inlineStr">
        <is>
          <t>TSLA US 11/20/20 P134</t>
        </is>
      </c>
      <c r="C237" t="inlineStr">
        <is>
          <t>2020-11-20</t>
        </is>
      </c>
      <c r="D237" t="n">
        <v>134</v>
      </c>
      <c r="E237" t="inlineStr">
        <is>
          <t>BBG00T3V3028</t>
        </is>
      </c>
    </row>
    <row r="238">
      <c r="A238" t="inlineStr">
        <is>
          <t>BBG00T3V3153 Equity</t>
        </is>
      </c>
      <c r="B238" t="inlineStr">
        <is>
          <t>TSLA US 11/20/20 P135</t>
        </is>
      </c>
      <c r="C238" t="inlineStr">
        <is>
          <t>2020-11-20</t>
        </is>
      </c>
      <c r="D238" t="n">
        <v>135</v>
      </c>
      <c r="E238" t="inlineStr">
        <is>
          <t>BBG00T3V3153</t>
        </is>
      </c>
    </row>
    <row r="239">
      <c r="A239" t="inlineStr">
        <is>
          <t>BBG00T3V3297 Equity</t>
        </is>
      </c>
      <c r="B239" t="inlineStr">
        <is>
          <t>TSLA US 11/20/20 P136</t>
        </is>
      </c>
      <c r="C239" t="inlineStr">
        <is>
          <t>2020-11-20</t>
        </is>
      </c>
      <c r="D239" t="n">
        <v>136</v>
      </c>
      <c r="E239" t="inlineStr">
        <is>
          <t>BBG00T3V3297</t>
        </is>
      </c>
    </row>
    <row r="240">
      <c r="A240" t="inlineStr">
        <is>
          <t>BBG00T3V33D0 Equity</t>
        </is>
      </c>
      <c r="B240" t="inlineStr">
        <is>
          <t>TSLA US 11/20/20 P137</t>
        </is>
      </c>
      <c r="C240" t="inlineStr">
        <is>
          <t>2020-11-20</t>
        </is>
      </c>
      <c r="D240" t="n">
        <v>137</v>
      </c>
      <c r="E240" t="inlineStr">
        <is>
          <t>BBG00T3V33D0</t>
        </is>
      </c>
    </row>
    <row r="241">
      <c r="A241" t="inlineStr">
        <is>
          <t>BBG00T3V34H4 Equity</t>
        </is>
      </c>
      <c r="B241" t="inlineStr">
        <is>
          <t>TSLA US 11/20/20 P138</t>
        </is>
      </c>
      <c r="C241" t="inlineStr">
        <is>
          <t>2020-11-20</t>
        </is>
      </c>
      <c r="D241" t="n">
        <v>138</v>
      </c>
      <c r="E241" t="inlineStr">
        <is>
          <t>BBG00T3V34H4</t>
        </is>
      </c>
    </row>
    <row r="242">
      <c r="A242" t="inlineStr">
        <is>
          <t>BBG00T3V35M5 Equity</t>
        </is>
      </c>
      <c r="B242" t="inlineStr">
        <is>
          <t>TSLA US 11/20/20 P139</t>
        </is>
      </c>
      <c r="C242" t="inlineStr">
        <is>
          <t>2020-11-20</t>
        </is>
      </c>
      <c r="D242" t="n">
        <v>139</v>
      </c>
      <c r="E242" t="inlineStr">
        <is>
          <t>BBG00T3V35M5</t>
        </is>
      </c>
    </row>
    <row r="243">
      <c r="A243" t="inlineStr">
        <is>
          <t>BBG00S5CK6V6 Equity</t>
        </is>
      </c>
      <c r="B243" t="inlineStr">
        <is>
          <t>TSLA US 11/20/20 P140</t>
        </is>
      </c>
      <c r="C243" t="inlineStr">
        <is>
          <t>2020-11-20</t>
        </is>
      </c>
      <c r="D243" t="n">
        <v>140</v>
      </c>
      <c r="E243" t="inlineStr">
        <is>
          <t>BBG00S5CK6V6</t>
        </is>
      </c>
    </row>
    <row r="244">
      <c r="A244" t="inlineStr">
        <is>
          <t>BBG00TJD2P54 Equity</t>
        </is>
      </c>
      <c r="B244" t="inlineStr">
        <is>
          <t>TSLA US 11/20/20 P141</t>
        </is>
      </c>
      <c r="C244" t="inlineStr">
        <is>
          <t>2020-11-20</t>
        </is>
      </c>
      <c r="D244" t="n">
        <v>141</v>
      </c>
      <c r="E244" t="inlineStr">
        <is>
          <t>BBG00TJD2P54</t>
        </is>
      </c>
    </row>
    <row r="245">
      <c r="A245" t="inlineStr">
        <is>
          <t>BBG00TJD2Q89 Equity</t>
        </is>
      </c>
      <c r="B245" t="inlineStr">
        <is>
          <t>TSLA US 11/20/20 P142</t>
        </is>
      </c>
      <c r="C245" t="inlineStr">
        <is>
          <t>2020-11-20</t>
        </is>
      </c>
      <c r="D245" t="n">
        <v>142</v>
      </c>
      <c r="E245" t="inlineStr">
        <is>
          <t>BBG00TJD2Q89</t>
        </is>
      </c>
    </row>
    <row r="246">
      <c r="A246" t="inlineStr">
        <is>
          <t>BBG00TJD2RD1 Equity</t>
        </is>
      </c>
      <c r="B246" t="inlineStr">
        <is>
          <t>TSLA US 11/20/20 P143</t>
        </is>
      </c>
      <c r="C246" t="inlineStr">
        <is>
          <t>2020-11-20</t>
        </is>
      </c>
      <c r="D246" t="n">
        <v>143</v>
      </c>
      <c r="E246" t="inlineStr">
        <is>
          <t>BBG00TJD2RD1</t>
        </is>
      </c>
    </row>
    <row r="247">
      <c r="A247" t="inlineStr">
        <is>
          <t>BBG00TJD2SH5 Equity</t>
        </is>
      </c>
      <c r="B247" t="inlineStr">
        <is>
          <t>TSLA US 11/20/20 P144</t>
        </is>
      </c>
      <c r="C247" t="inlineStr">
        <is>
          <t>2020-11-20</t>
        </is>
      </c>
      <c r="D247" t="n">
        <v>144</v>
      </c>
      <c r="E247" t="inlineStr">
        <is>
          <t>BBG00TJD2SH5</t>
        </is>
      </c>
    </row>
    <row r="248">
      <c r="A248" t="inlineStr">
        <is>
          <t>BBG00TJD2TL8 Equity</t>
        </is>
      </c>
      <c r="B248" t="inlineStr">
        <is>
          <t>TSLA US 11/20/20 P145</t>
        </is>
      </c>
      <c r="C248" t="inlineStr">
        <is>
          <t>2020-11-20</t>
        </is>
      </c>
      <c r="D248" t="n">
        <v>145</v>
      </c>
      <c r="E248" t="inlineStr">
        <is>
          <t>BBG00TJD2TL8</t>
        </is>
      </c>
    </row>
    <row r="249">
      <c r="A249" t="inlineStr">
        <is>
          <t>BBG00TJD2VQ8 Equity</t>
        </is>
      </c>
      <c r="B249" t="inlineStr">
        <is>
          <t>TSLA US 11/20/20 P146</t>
        </is>
      </c>
      <c r="C249" t="inlineStr">
        <is>
          <t>2020-11-20</t>
        </is>
      </c>
      <c r="D249" t="n">
        <v>146</v>
      </c>
      <c r="E249" t="inlineStr">
        <is>
          <t>BBG00TJD2VQ8</t>
        </is>
      </c>
    </row>
    <row r="250">
      <c r="A250" t="inlineStr">
        <is>
          <t>BBG00TJD2WT3 Equity</t>
        </is>
      </c>
      <c r="B250" t="inlineStr">
        <is>
          <t>TSLA US 11/20/20 P147</t>
        </is>
      </c>
      <c r="C250" t="inlineStr">
        <is>
          <t>2020-11-20</t>
        </is>
      </c>
      <c r="D250" t="n">
        <v>147</v>
      </c>
      <c r="E250" t="inlineStr">
        <is>
          <t>BBG00TJD2WT3</t>
        </is>
      </c>
    </row>
    <row r="251">
      <c r="A251" t="inlineStr">
        <is>
          <t>BBG00TJD2XX6 Equity</t>
        </is>
      </c>
      <c r="B251" t="inlineStr">
        <is>
          <t>TSLA US 11/20/20 P148</t>
        </is>
      </c>
      <c r="C251" t="inlineStr">
        <is>
          <t>2020-11-20</t>
        </is>
      </c>
      <c r="D251" t="n">
        <v>148</v>
      </c>
      <c r="E251" t="inlineStr">
        <is>
          <t>BBG00TJD2XX6</t>
        </is>
      </c>
    </row>
    <row r="252">
      <c r="A252" t="inlineStr">
        <is>
          <t>BBG00TJD2Z16 Equity</t>
        </is>
      </c>
      <c r="B252" t="inlineStr">
        <is>
          <t>TSLA US 11/20/20 P149</t>
        </is>
      </c>
      <c r="C252" t="inlineStr">
        <is>
          <t>2020-11-20</t>
        </is>
      </c>
      <c r="D252" t="n">
        <v>149</v>
      </c>
      <c r="E252" t="inlineStr">
        <is>
          <t>BBG00TJD2Z16</t>
        </is>
      </c>
    </row>
    <row r="253">
      <c r="A253" t="inlineStr">
        <is>
          <t>BBG00S5CK7Y1 Equity</t>
        </is>
      </c>
      <c r="B253" t="inlineStr">
        <is>
          <t>TSLA US 11/20/20 P150</t>
        </is>
      </c>
      <c r="C253" t="inlineStr">
        <is>
          <t>2020-11-20</t>
        </is>
      </c>
      <c r="D253" t="n">
        <v>150</v>
      </c>
      <c r="E253" t="inlineStr">
        <is>
          <t>BBG00S5CK7Y1</t>
        </is>
      </c>
    </row>
    <row r="254">
      <c r="A254" t="inlineStr">
        <is>
          <t>BBG00TJD3049 Equity</t>
        </is>
      </c>
      <c r="B254" t="inlineStr">
        <is>
          <t>TSLA US 11/20/20 P151</t>
        </is>
      </c>
      <c r="C254" t="inlineStr">
        <is>
          <t>2020-11-20</t>
        </is>
      </c>
      <c r="D254" t="n">
        <v>151</v>
      </c>
      <c r="E254" t="inlineStr">
        <is>
          <t>BBG00TJD3049</t>
        </is>
      </c>
    </row>
    <row r="255">
      <c r="A255" t="inlineStr">
        <is>
          <t>BBG00TJD3174 Equity</t>
        </is>
      </c>
      <c r="B255" t="inlineStr">
        <is>
          <t>TSLA US 11/20/20 P152</t>
        </is>
      </c>
      <c r="C255" t="inlineStr">
        <is>
          <t>2020-11-20</t>
        </is>
      </c>
      <c r="D255" t="n">
        <v>152</v>
      </c>
      <c r="E255" t="inlineStr">
        <is>
          <t>BBG00TJD3174</t>
        </is>
      </c>
    </row>
    <row r="256">
      <c r="A256" t="inlineStr">
        <is>
          <t>BBG00TJD32C6 Equity</t>
        </is>
      </c>
      <c r="B256" t="inlineStr">
        <is>
          <t>TSLA US 11/20/20 P153</t>
        </is>
      </c>
      <c r="C256" t="inlineStr">
        <is>
          <t>2020-11-20</t>
        </is>
      </c>
      <c r="D256" t="n">
        <v>153</v>
      </c>
      <c r="E256" t="inlineStr">
        <is>
          <t>BBG00TJD32C6</t>
        </is>
      </c>
    </row>
    <row r="257">
      <c r="A257" t="inlineStr">
        <is>
          <t>BBG00TJD33G0 Equity</t>
        </is>
      </c>
      <c r="B257" t="inlineStr">
        <is>
          <t>TSLA US 11/20/20 P154</t>
        </is>
      </c>
      <c r="C257" t="inlineStr">
        <is>
          <t>2020-11-20</t>
        </is>
      </c>
      <c r="D257" t="n">
        <v>154</v>
      </c>
      <c r="E257" t="inlineStr">
        <is>
          <t>BBG00TJD33G0</t>
        </is>
      </c>
    </row>
    <row r="258">
      <c r="A258" t="inlineStr">
        <is>
          <t>BBG00TJD34K3 Equity</t>
        </is>
      </c>
      <c r="B258" t="inlineStr">
        <is>
          <t>TSLA US 11/20/20 P155</t>
        </is>
      </c>
      <c r="C258" t="inlineStr">
        <is>
          <t>2020-11-20</t>
        </is>
      </c>
      <c r="D258" t="n">
        <v>155</v>
      </c>
      <c r="E258" t="inlineStr">
        <is>
          <t>BBG00TJD34K3</t>
        </is>
      </c>
    </row>
    <row r="259">
      <c r="A259" t="inlineStr">
        <is>
          <t>BBG00TJD35P5 Equity</t>
        </is>
      </c>
      <c r="B259" t="inlineStr">
        <is>
          <t>TSLA US 11/20/20 P156</t>
        </is>
      </c>
      <c r="C259" t="inlineStr">
        <is>
          <t>2020-11-20</t>
        </is>
      </c>
      <c r="D259" t="n">
        <v>156</v>
      </c>
      <c r="E259" t="inlineStr">
        <is>
          <t>BBG00TJD35P5</t>
        </is>
      </c>
    </row>
    <row r="260">
      <c r="A260" t="inlineStr">
        <is>
          <t>BBG00TJD36S0 Equity</t>
        </is>
      </c>
      <c r="B260" t="inlineStr">
        <is>
          <t>TSLA US 11/20/20 P157</t>
        </is>
      </c>
      <c r="C260" t="inlineStr">
        <is>
          <t>2020-11-20</t>
        </is>
      </c>
      <c r="D260" t="n">
        <v>157</v>
      </c>
      <c r="E260" t="inlineStr">
        <is>
          <t>BBG00TJD36S0</t>
        </is>
      </c>
    </row>
    <row r="261">
      <c r="A261" t="inlineStr">
        <is>
          <t>BBG00TJD37W3 Equity</t>
        </is>
      </c>
      <c r="B261" t="inlineStr">
        <is>
          <t>TSLA US 11/20/20 P158</t>
        </is>
      </c>
      <c r="C261" t="inlineStr">
        <is>
          <t>2020-11-20</t>
        </is>
      </c>
      <c r="D261" t="n">
        <v>158</v>
      </c>
      <c r="E261" t="inlineStr">
        <is>
          <t>BBG00TJD37W3</t>
        </is>
      </c>
    </row>
    <row r="262">
      <c r="A262" t="inlineStr">
        <is>
          <t>BBG00TJD3904 Equity</t>
        </is>
      </c>
      <c r="B262" t="inlineStr">
        <is>
          <t>TSLA US 11/20/20 P159</t>
        </is>
      </c>
      <c r="C262" t="inlineStr">
        <is>
          <t>2020-11-20</t>
        </is>
      </c>
      <c r="D262" t="n">
        <v>159</v>
      </c>
      <c r="E262" t="inlineStr">
        <is>
          <t>BBG00TJD3904</t>
        </is>
      </c>
    </row>
    <row r="263">
      <c r="A263" t="inlineStr">
        <is>
          <t>BBG00S5CK922 Equity</t>
        </is>
      </c>
      <c r="B263" t="inlineStr">
        <is>
          <t>TSLA US 11/20/20 P160</t>
        </is>
      </c>
      <c r="C263" t="inlineStr">
        <is>
          <t>2020-11-20</t>
        </is>
      </c>
      <c r="D263" t="n">
        <v>160</v>
      </c>
      <c r="E263" t="inlineStr">
        <is>
          <t>BBG00S5CK922</t>
        </is>
      </c>
    </row>
    <row r="264">
      <c r="A264" t="inlineStr">
        <is>
          <t>BBG00TJD3B36 Equity</t>
        </is>
      </c>
      <c r="B264" t="inlineStr">
        <is>
          <t>TSLA US 11/20/20 P161</t>
        </is>
      </c>
      <c r="C264" t="inlineStr">
        <is>
          <t>2020-11-20</t>
        </is>
      </c>
      <c r="D264" t="n">
        <v>161</v>
      </c>
      <c r="E264" t="inlineStr">
        <is>
          <t>BBG00TJD3B36</t>
        </is>
      </c>
    </row>
    <row r="265">
      <c r="A265" t="inlineStr">
        <is>
          <t>BBG00TJD3C61 Equity</t>
        </is>
      </c>
      <c r="B265" t="inlineStr">
        <is>
          <t>TSLA US 11/20/20 P162</t>
        </is>
      </c>
      <c r="C265" t="inlineStr">
        <is>
          <t>2020-11-20</t>
        </is>
      </c>
      <c r="D265" t="n">
        <v>162</v>
      </c>
      <c r="E265" t="inlineStr">
        <is>
          <t>BBG00TJD3C61</t>
        </is>
      </c>
    </row>
    <row r="266">
      <c r="A266" t="inlineStr">
        <is>
          <t>BBG00TJD3DB3 Equity</t>
        </is>
      </c>
      <c r="B266" t="inlineStr">
        <is>
          <t>TSLA US 11/20/20 P163</t>
        </is>
      </c>
      <c r="C266" t="inlineStr">
        <is>
          <t>2020-11-20</t>
        </is>
      </c>
      <c r="D266" t="n">
        <v>163</v>
      </c>
      <c r="E266" t="inlineStr">
        <is>
          <t>BBG00TJD3DB3</t>
        </is>
      </c>
    </row>
    <row r="267">
      <c r="A267" t="inlineStr">
        <is>
          <t>BBG00TJD3FF4 Equity</t>
        </is>
      </c>
      <c r="B267" t="inlineStr">
        <is>
          <t>TSLA US 11/20/20 P164</t>
        </is>
      </c>
      <c r="C267" t="inlineStr">
        <is>
          <t>2020-11-20</t>
        </is>
      </c>
      <c r="D267" t="n">
        <v>164</v>
      </c>
      <c r="E267" t="inlineStr">
        <is>
          <t>BBG00TJD3FF4</t>
        </is>
      </c>
    </row>
    <row r="268">
      <c r="A268" t="inlineStr">
        <is>
          <t>BBG00TJD3GJ8 Equity</t>
        </is>
      </c>
      <c r="B268" t="inlineStr">
        <is>
          <t>TSLA US 11/20/20 P165</t>
        </is>
      </c>
      <c r="C268" t="inlineStr">
        <is>
          <t>2020-11-20</t>
        </is>
      </c>
      <c r="D268" t="n">
        <v>165</v>
      </c>
      <c r="E268" t="inlineStr">
        <is>
          <t>BBG00TJD3GJ8</t>
        </is>
      </c>
    </row>
    <row r="269">
      <c r="A269" t="inlineStr">
        <is>
          <t>BBG00TJD3HN1 Equity</t>
        </is>
      </c>
      <c r="B269" t="inlineStr">
        <is>
          <t>TSLA US 11/20/20 P166</t>
        </is>
      </c>
      <c r="C269" t="inlineStr">
        <is>
          <t>2020-11-20</t>
        </is>
      </c>
      <c r="D269" t="n">
        <v>166</v>
      </c>
      <c r="E269" t="inlineStr">
        <is>
          <t>BBG00TJD3HN1</t>
        </is>
      </c>
    </row>
    <row r="270">
      <c r="A270" t="inlineStr">
        <is>
          <t>BBG00TJD3JR3 Equity</t>
        </is>
      </c>
      <c r="B270" t="inlineStr">
        <is>
          <t>TSLA US 11/20/20 P167</t>
        </is>
      </c>
      <c r="C270" t="inlineStr">
        <is>
          <t>2020-11-20</t>
        </is>
      </c>
      <c r="D270" t="n">
        <v>167</v>
      </c>
      <c r="E270" t="inlineStr">
        <is>
          <t>BBG00TJD3JR3</t>
        </is>
      </c>
    </row>
    <row r="271">
      <c r="A271" t="inlineStr">
        <is>
          <t>BBG00TJD3KV5 Equity</t>
        </is>
      </c>
      <c r="B271" t="inlineStr">
        <is>
          <t>TSLA US 11/20/20 P168</t>
        </is>
      </c>
      <c r="C271" t="inlineStr">
        <is>
          <t>2020-11-20</t>
        </is>
      </c>
      <c r="D271" t="n">
        <v>168</v>
      </c>
      <c r="E271" t="inlineStr">
        <is>
          <t>BBG00TJD3KV5</t>
        </is>
      </c>
    </row>
    <row r="272">
      <c r="A272" t="inlineStr">
        <is>
          <t>BBG00TJD3LZ9 Equity</t>
        </is>
      </c>
      <c r="B272" t="inlineStr">
        <is>
          <t>TSLA US 11/20/20 P169</t>
        </is>
      </c>
      <c r="C272" t="inlineStr">
        <is>
          <t>2020-11-20</t>
        </is>
      </c>
      <c r="D272" t="n">
        <v>169</v>
      </c>
      <c r="E272" t="inlineStr">
        <is>
          <t>BBG00TJD3LZ9</t>
        </is>
      </c>
    </row>
    <row r="273">
      <c r="A273" t="inlineStr">
        <is>
          <t>BBG00S5CKB54 Equity</t>
        </is>
      </c>
      <c r="B273" t="inlineStr">
        <is>
          <t>TSLA US 11/20/20 P170</t>
        </is>
      </c>
      <c r="C273" t="inlineStr">
        <is>
          <t>2020-11-20</t>
        </is>
      </c>
      <c r="D273" t="n">
        <v>170</v>
      </c>
      <c r="E273" t="inlineStr">
        <is>
          <t>BBG00S5CKB54</t>
        </is>
      </c>
    </row>
    <row r="274">
      <c r="A274" t="inlineStr">
        <is>
          <t>BBG00TLY4DV1 Equity</t>
        </is>
      </c>
      <c r="B274" t="inlineStr">
        <is>
          <t>TSLA US 11/20/20 P171</t>
        </is>
      </c>
      <c r="C274" t="inlineStr">
        <is>
          <t>2020-11-20</t>
        </is>
      </c>
      <c r="D274" t="n">
        <v>171</v>
      </c>
      <c r="E274" t="inlineStr">
        <is>
          <t>BBG00TLY4DV1</t>
        </is>
      </c>
    </row>
    <row r="275">
      <c r="A275" t="inlineStr">
        <is>
          <t>BBG00TJD3N21 Equity</t>
        </is>
      </c>
      <c r="B275" t="inlineStr">
        <is>
          <t>TSLA US 11/20/20 P172</t>
        </is>
      </c>
      <c r="C275" t="inlineStr">
        <is>
          <t>2020-11-20</t>
        </is>
      </c>
      <c r="D275" t="n">
        <v>172</v>
      </c>
      <c r="E275" t="inlineStr">
        <is>
          <t>BBG00TJD3N21</t>
        </is>
      </c>
    </row>
    <row r="276">
      <c r="A276" t="inlineStr">
        <is>
          <t>BBG00TLY4FZ2 Equity</t>
        </is>
      </c>
      <c r="B276" t="inlineStr">
        <is>
          <t>TSLA US 11/20/20 P173</t>
        </is>
      </c>
      <c r="C276" t="inlineStr">
        <is>
          <t>2020-11-20</t>
        </is>
      </c>
      <c r="D276" t="n">
        <v>173</v>
      </c>
      <c r="E276" t="inlineStr">
        <is>
          <t>BBG00TLY4FZ2</t>
        </is>
      </c>
    </row>
    <row r="277">
      <c r="A277" t="inlineStr">
        <is>
          <t>BBG00TJD3P53 Equity</t>
        </is>
      </c>
      <c r="B277" t="inlineStr">
        <is>
          <t>TSLA US 11/20/20 P174</t>
        </is>
      </c>
      <c r="C277" t="inlineStr">
        <is>
          <t>2020-11-20</t>
        </is>
      </c>
      <c r="D277" t="n">
        <v>174</v>
      </c>
      <c r="E277" t="inlineStr">
        <is>
          <t>BBG00TJD3P53</t>
        </is>
      </c>
    </row>
    <row r="278">
      <c r="A278" t="inlineStr">
        <is>
          <t>BBG00TLY4H24 Equity</t>
        </is>
      </c>
      <c r="B278" t="inlineStr">
        <is>
          <t>TSLA US 11/20/20 P175</t>
        </is>
      </c>
      <c r="C278" t="inlineStr">
        <is>
          <t>2020-11-20</t>
        </is>
      </c>
      <c r="D278" t="n">
        <v>175</v>
      </c>
      <c r="E278" t="inlineStr">
        <is>
          <t>BBG00TLY4H24</t>
        </is>
      </c>
    </row>
    <row r="279">
      <c r="A279" t="inlineStr">
        <is>
          <t>BBG00TJD3Q97 Equity</t>
        </is>
      </c>
      <c r="B279" t="inlineStr">
        <is>
          <t>TSLA US 11/20/20 P176</t>
        </is>
      </c>
      <c r="C279" t="inlineStr">
        <is>
          <t>2020-11-20</t>
        </is>
      </c>
      <c r="D279" t="n">
        <v>176</v>
      </c>
      <c r="E279" t="inlineStr">
        <is>
          <t>BBG00TJD3Q97</t>
        </is>
      </c>
    </row>
    <row r="280">
      <c r="A280" t="inlineStr">
        <is>
          <t>BBG00TLY4J57 Equity</t>
        </is>
      </c>
      <c r="B280" t="inlineStr">
        <is>
          <t>TSLA US 11/20/20 P177</t>
        </is>
      </c>
      <c r="C280" t="inlineStr">
        <is>
          <t>2020-11-20</t>
        </is>
      </c>
      <c r="D280" t="n">
        <v>177</v>
      </c>
      <c r="E280" t="inlineStr">
        <is>
          <t>BBG00TLY4J57</t>
        </is>
      </c>
    </row>
    <row r="281">
      <c r="A281" t="inlineStr">
        <is>
          <t>BBG00TJD3RD0 Equity</t>
        </is>
      </c>
      <c r="B281" t="inlineStr">
        <is>
          <t>TSLA US 11/20/20 P178</t>
        </is>
      </c>
      <c r="C281" t="inlineStr">
        <is>
          <t>2020-11-20</t>
        </is>
      </c>
      <c r="D281" t="n">
        <v>178</v>
      </c>
      <c r="E281" t="inlineStr">
        <is>
          <t>BBG00TJD3RD0</t>
        </is>
      </c>
    </row>
    <row r="282">
      <c r="A282" t="inlineStr">
        <is>
          <t>BBG00TLY4K90 Equity</t>
        </is>
      </c>
      <c r="B282" t="inlineStr">
        <is>
          <t>TSLA US 11/20/20 P179</t>
        </is>
      </c>
      <c r="C282" t="inlineStr">
        <is>
          <t>2020-11-20</t>
        </is>
      </c>
      <c r="D282" t="n">
        <v>179</v>
      </c>
      <c r="E282" t="inlineStr">
        <is>
          <t>BBG00TLY4K90</t>
        </is>
      </c>
    </row>
    <row r="283">
      <c r="A283" t="inlineStr">
        <is>
          <t>BBG00S5CKC89 Equity</t>
        </is>
      </c>
      <c r="B283" t="inlineStr">
        <is>
          <t>TSLA US 11/20/20 P180</t>
        </is>
      </c>
      <c r="C283" t="inlineStr">
        <is>
          <t>2020-11-20</t>
        </is>
      </c>
      <c r="D283" t="n">
        <v>180</v>
      </c>
      <c r="E283" t="inlineStr">
        <is>
          <t>BBG00S5CKC89</t>
        </is>
      </c>
    </row>
    <row r="284">
      <c r="A284" t="inlineStr">
        <is>
          <t>BBG00TLY4LD3 Equity</t>
        </is>
      </c>
      <c r="B284" t="inlineStr">
        <is>
          <t>TSLA US 11/20/20 P181</t>
        </is>
      </c>
      <c r="C284" t="inlineStr">
        <is>
          <t>2020-11-20</t>
        </is>
      </c>
      <c r="D284" t="n">
        <v>181</v>
      </c>
      <c r="E284" t="inlineStr">
        <is>
          <t>BBG00TLY4LD3</t>
        </is>
      </c>
    </row>
    <row r="285">
      <c r="A285" t="inlineStr">
        <is>
          <t>BBG00TJD3SJ2 Equity</t>
        </is>
      </c>
      <c r="B285" t="inlineStr">
        <is>
          <t>TSLA US 11/20/20 P182</t>
        </is>
      </c>
      <c r="C285" t="inlineStr">
        <is>
          <t>2020-11-20</t>
        </is>
      </c>
      <c r="D285" t="n">
        <v>182</v>
      </c>
      <c r="E285" t="inlineStr">
        <is>
          <t>BBG00TJD3SJ2</t>
        </is>
      </c>
    </row>
    <row r="286">
      <c r="A286" t="inlineStr">
        <is>
          <t>BBG00TLY4MJ5 Equity</t>
        </is>
      </c>
      <c r="B286" t="inlineStr">
        <is>
          <t>TSLA US 11/20/20 P183</t>
        </is>
      </c>
      <c r="C286" t="inlineStr">
        <is>
          <t>2020-11-20</t>
        </is>
      </c>
      <c r="D286" t="n">
        <v>183</v>
      </c>
      <c r="E286" t="inlineStr">
        <is>
          <t>BBG00TLY4MJ5</t>
        </is>
      </c>
    </row>
    <row r="287">
      <c r="A287" t="inlineStr">
        <is>
          <t>BBG00TJD3TM6 Equity</t>
        </is>
      </c>
      <c r="B287" t="inlineStr">
        <is>
          <t>TSLA US 11/20/20 P184</t>
        </is>
      </c>
      <c r="C287" t="inlineStr">
        <is>
          <t>2020-11-20</t>
        </is>
      </c>
      <c r="D287" t="n">
        <v>184</v>
      </c>
      <c r="E287" t="inlineStr">
        <is>
          <t>BBG00TJD3TM6</t>
        </is>
      </c>
    </row>
    <row r="288">
      <c r="A288" t="inlineStr">
        <is>
          <t>BBG00TLY4NM9 Equity</t>
        </is>
      </c>
      <c r="B288" t="inlineStr">
        <is>
          <t>TSLA US 11/20/20 P185</t>
        </is>
      </c>
      <c r="C288" t="inlineStr">
        <is>
          <t>2020-11-20</t>
        </is>
      </c>
      <c r="D288" t="n">
        <v>185</v>
      </c>
      <c r="E288" t="inlineStr">
        <is>
          <t>BBG00TLY4NM9</t>
        </is>
      </c>
    </row>
    <row r="289">
      <c r="A289" t="inlineStr">
        <is>
          <t>BBG00TJD3VQ7 Equity</t>
        </is>
      </c>
      <c r="B289" t="inlineStr">
        <is>
          <t>TSLA US 11/20/20 P186</t>
        </is>
      </c>
      <c r="C289" t="inlineStr">
        <is>
          <t>2020-11-20</t>
        </is>
      </c>
      <c r="D289" t="n">
        <v>186</v>
      </c>
      <c r="E289" t="inlineStr">
        <is>
          <t>BBG00TJD3VQ7</t>
        </is>
      </c>
    </row>
    <row r="290">
      <c r="A290" t="inlineStr">
        <is>
          <t>BBG00TLY4PQ0 Equity</t>
        </is>
      </c>
      <c r="B290" t="inlineStr">
        <is>
          <t>TSLA US 11/20/20 P187</t>
        </is>
      </c>
      <c r="C290" t="inlineStr">
        <is>
          <t>2020-11-20</t>
        </is>
      </c>
      <c r="D290" t="n">
        <v>187</v>
      </c>
      <c r="E290" t="inlineStr">
        <is>
          <t>BBG00TLY4PQ0</t>
        </is>
      </c>
    </row>
    <row r="291">
      <c r="A291" t="inlineStr">
        <is>
          <t>BBG00TJD3WV9 Equity</t>
        </is>
      </c>
      <c r="B291" t="inlineStr">
        <is>
          <t>TSLA US 11/20/20 P188</t>
        </is>
      </c>
      <c r="C291" t="inlineStr">
        <is>
          <t>2020-11-20</t>
        </is>
      </c>
      <c r="D291" t="n">
        <v>188</v>
      </c>
      <c r="E291" t="inlineStr">
        <is>
          <t>BBG00TJD3WV9</t>
        </is>
      </c>
    </row>
    <row r="292">
      <c r="A292" t="inlineStr">
        <is>
          <t>BBG00TLY4QV2 Equity</t>
        </is>
      </c>
      <c r="B292" t="inlineStr">
        <is>
          <t>TSLA US 11/20/20 P189</t>
        </is>
      </c>
      <c r="C292" t="inlineStr">
        <is>
          <t>2020-11-20</t>
        </is>
      </c>
      <c r="D292" t="n">
        <v>189</v>
      </c>
      <c r="E292" t="inlineStr">
        <is>
          <t>BBG00TLY4QV2</t>
        </is>
      </c>
    </row>
    <row r="293">
      <c r="A293" t="inlineStr">
        <is>
          <t>BBG00S5CKDD1 Equity</t>
        </is>
      </c>
      <c r="B293" t="inlineStr">
        <is>
          <t>TSLA US 11/20/20 P190</t>
        </is>
      </c>
      <c r="C293" t="inlineStr">
        <is>
          <t>2020-11-20</t>
        </is>
      </c>
      <c r="D293" t="n">
        <v>190</v>
      </c>
      <c r="E293" t="inlineStr">
        <is>
          <t>BBG00S5CKDD1</t>
        </is>
      </c>
    </row>
    <row r="294">
      <c r="A294" t="inlineStr">
        <is>
          <t>BBG00TLY4RY7 Equity</t>
        </is>
      </c>
      <c r="B294" t="inlineStr">
        <is>
          <t>TSLA US 11/20/20 P191</t>
        </is>
      </c>
      <c r="C294" t="inlineStr">
        <is>
          <t>2020-11-20</t>
        </is>
      </c>
      <c r="D294" t="n">
        <v>191</v>
      </c>
      <c r="E294" t="inlineStr">
        <is>
          <t>BBG00TLY4RY7</t>
        </is>
      </c>
    </row>
    <row r="295">
      <c r="A295" t="inlineStr">
        <is>
          <t>BBG00TJD3XY4 Equity</t>
        </is>
      </c>
      <c r="B295" t="inlineStr">
        <is>
          <t>TSLA US 11/20/20 P192</t>
        </is>
      </c>
      <c r="C295" t="inlineStr">
        <is>
          <t>2020-11-20</t>
        </is>
      </c>
      <c r="D295" t="n">
        <v>192</v>
      </c>
      <c r="E295" t="inlineStr">
        <is>
          <t>BBG00TJD3XY4</t>
        </is>
      </c>
    </row>
    <row r="296">
      <c r="A296" t="inlineStr">
        <is>
          <t>BBG00TLY4T19 Equity</t>
        </is>
      </c>
      <c r="B296" t="inlineStr">
        <is>
          <t>TSLA US 11/20/20 P193</t>
        </is>
      </c>
      <c r="C296" t="inlineStr">
        <is>
          <t>2020-11-20</t>
        </is>
      </c>
      <c r="D296" t="n">
        <v>193</v>
      </c>
      <c r="E296" t="inlineStr">
        <is>
          <t>BBG00TLY4T19</t>
        </is>
      </c>
    </row>
    <row r="297">
      <c r="A297" t="inlineStr">
        <is>
          <t>BBG00TJD3Z15 Equity</t>
        </is>
      </c>
      <c r="B297" t="inlineStr">
        <is>
          <t>TSLA US 11/20/20 P194</t>
        </is>
      </c>
      <c r="C297" t="inlineStr">
        <is>
          <t>2020-11-20</t>
        </is>
      </c>
      <c r="D297" t="n">
        <v>194</v>
      </c>
      <c r="E297" t="inlineStr">
        <is>
          <t>BBG00TJD3Z15</t>
        </is>
      </c>
    </row>
    <row r="298">
      <c r="A298" t="inlineStr">
        <is>
          <t>BBG00SMCRHT9 Equity</t>
        </is>
      </c>
      <c r="B298" t="inlineStr">
        <is>
          <t>TSLA US 12/18/20 P60</t>
        </is>
      </c>
      <c r="C298" t="inlineStr">
        <is>
          <t>2020-12-18</t>
        </is>
      </c>
      <c r="D298" t="n">
        <v>60</v>
      </c>
      <c r="E298" t="inlineStr">
        <is>
          <t>BBG00SMCRHT9</t>
        </is>
      </c>
    </row>
    <row r="299">
      <c r="A299" t="inlineStr">
        <is>
          <t>BBG00SMCRJX0 Equity</t>
        </is>
      </c>
      <c r="B299" t="inlineStr">
        <is>
          <t>TSLA US 12/18/20 P61</t>
        </is>
      </c>
      <c r="C299" t="inlineStr">
        <is>
          <t>2020-12-18</t>
        </is>
      </c>
      <c r="D299" t="n">
        <v>61</v>
      </c>
      <c r="E299" t="inlineStr">
        <is>
          <t>BBG00SMCRJX0</t>
        </is>
      </c>
    </row>
    <row r="300">
      <c r="A300" t="inlineStr">
        <is>
          <t>BBG00SMCRL01 Equity</t>
        </is>
      </c>
      <c r="B300" t="inlineStr">
        <is>
          <t>TSLA US 12/18/20 P62</t>
        </is>
      </c>
      <c r="C300" t="inlineStr">
        <is>
          <t>2020-12-18</t>
        </is>
      </c>
      <c r="D300" t="n">
        <v>62</v>
      </c>
      <c r="E300" t="inlineStr">
        <is>
          <t>BBG00SMCRL01</t>
        </is>
      </c>
    </row>
    <row r="301">
      <c r="A301" t="inlineStr">
        <is>
          <t>BBG00SMCRM45 Equity</t>
        </is>
      </c>
      <c r="B301" t="inlineStr">
        <is>
          <t>TSLA US 12/18/20 P63</t>
        </is>
      </c>
      <c r="C301" t="inlineStr">
        <is>
          <t>2020-12-18</t>
        </is>
      </c>
      <c r="D301" t="n">
        <v>63</v>
      </c>
      <c r="E301" t="inlineStr">
        <is>
          <t>BBG00SMCRM45</t>
        </is>
      </c>
    </row>
    <row r="302">
      <c r="A302" t="inlineStr">
        <is>
          <t>BBG00SMCRN70 Equity</t>
        </is>
      </c>
      <c r="B302" t="inlineStr">
        <is>
          <t>TSLA US 12/18/20 P64</t>
        </is>
      </c>
      <c r="C302" t="inlineStr">
        <is>
          <t>2020-12-18</t>
        </is>
      </c>
      <c r="D302" t="n">
        <v>64</v>
      </c>
      <c r="E302" t="inlineStr">
        <is>
          <t>BBG00SMCRN70</t>
        </is>
      </c>
    </row>
    <row r="303">
      <c r="A303" t="inlineStr">
        <is>
          <t>BBG00SMCRPB0 Equity</t>
        </is>
      </c>
      <c r="B303" t="inlineStr">
        <is>
          <t>TSLA US 12/18/20 P65</t>
        </is>
      </c>
      <c r="C303" t="inlineStr">
        <is>
          <t>2020-12-18</t>
        </is>
      </c>
      <c r="D303" t="n">
        <v>65</v>
      </c>
      <c r="E303" t="inlineStr">
        <is>
          <t>BBG00SMCRPB0</t>
        </is>
      </c>
    </row>
    <row r="304">
      <c r="A304" t="inlineStr">
        <is>
          <t>BBG00SMCRQG3 Equity</t>
        </is>
      </c>
      <c r="B304" t="inlineStr">
        <is>
          <t>TSLA US 12/18/20 P66</t>
        </is>
      </c>
      <c r="C304" t="inlineStr">
        <is>
          <t>2020-12-18</t>
        </is>
      </c>
      <c r="D304" t="n">
        <v>66</v>
      </c>
      <c r="E304" t="inlineStr">
        <is>
          <t>BBG00SMCRQG3</t>
        </is>
      </c>
    </row>
    <row r="305">
      <c r="A305" t="inlineStr">
        <is>
          <t>BBG00SMCRRK6 Equity</t>
        </is>
      </c>
      <c r="B305" t="inlineStr">
        <is>
          <t>TSLA US 12/18/20 P67</t>
        </is>
      </c>
      <c r="C305" t="inlineStr">
        <is>
          <t>2020-12-18</t>
        </is>
      </c>
      <c r="D305" t="n">
        <v>67</v>
      </c>
      <c r="E305" t="inlineStr">
        <is>
          <t>BBG00SMCRRK6</t>
        </is>
      </c>
    </row>
    <row r="306">
      <c r="A306" t="inlineStr">
        <is>
          <t>BBG00SMCRSN1 Equity</t>
        </is>
      </c>
      <c r="B306" t="inlineStr">
        <is>
          <t>TSLA US 12/18/20 P68</t>
        </is>
      </c>
      <c r="C306" t="inlineStr">
        <is>
          <t>2020-12-18</t>
        </is>
      </c>
      <c r="D306" t="n">
        <v>68</v>
      </c>
      <c r="E306" t="inlineStr">
        <is>
          <t>BBG00SMCRSN1</t>
        </is>
      </c>
    </row>
    <row r="307">
      <c r="A307" t="inlineStr">
        <is>
          <t>BBG00SMCRTS4 Equity</t>
        </is>
      </c>
      <c r="B307" t="inlineStr">
        <is>
          <t>TSLA US 12/18/20 P69</t>
        </is>
      </c>
      <c r="C307" t="inlineStr">
        <is>
          <t>2020-12-18</t>
        </is>
      </c>
      <c r="D307" t="n">
        <v>69</v>
      </c>
      <c r="E307" t="inlineStr">
        <is>
          <t>BBG00SMCRTS4</t>
        </is>
      </c>
    </row>
    <row r="308">
      <c r="A308" t="inlineStr">
        <is>
          <t>BBG00SMCRVW4 Equity</t>
        </is>
      </c>
      <c r="B308" t="inlineStr">
        <is>
          <t>TSLA US 12/18/20 P70</t>
        </is>
      </c>
      <c r="C308" t="inlineStr">
        <is>
          <t>2020-12-18</t>
        </is>
      </c>
      <c r="D308" t="n">
        <v>70</v>
      </c>
      <c r="E308" t="inlineStr">
        <is>
          <t>BBG00SMCRVW4</t>
        </is>
      </c>
    </row>
    <row r="309">
      <c r="A309" t="inlineStr">
        <is>
          <t>BBG00SMCRWZ9 Equity</t>
        </is>
      </c>
      <c r="B309" t="inlineStr">
        <is>
          <t>TSLA US 12/18/20 P71</t>
        </is>
      </c>
      <c r="C309" t="inlineStr">
        <is>
          <t>2020-12-18</t>
        </is>
      </c>
      <c r="D309" t="n">
        <v>71</v>
      </c>
      <c r="E309" t="inlineStr">
        <is>
          <t>BBG00SMCRWZ9</t>
        </is>
      </c>
    </row>
    <row r="310">
      <c r="A310" t="inlineStr">
        <is>
          <t>BBG00SMCRY30 Equity</t>
        </is>
      </c>
      <c r="B310" t="inlineStr">
        <is>
          <t>TSLA US 12/18/20 P72</t>
        </is>
      </c>
      <c r="C310" t="inlineStr">
        <is>
          <t>2020-12-18</t>
        </is>
      </c>
      <c r="D310" t="n">
        <v>72</v>
      </c>
      <c r="E310" t="inlineStr">
        <is>
          <t>BBG00SMCRY30</t>
        </is>
      </c>
    </row>
    <row r="311">
      <c r="A311" t="inlineStr">
        <is>
          <t>BBG00SMCRZ64 Equity</t>
        </is>
      </c>
      <c r="B311" t="inlineStr">
        <is>
          <t>TSLA US 12/18/20 P73</t>
        </is>
      </c>
      <c r="C311" t="inlineStr">
        <is>
          <t>2020-12-18</t>
        </is>
      </c>
      <c r="D311" t="n">
        <v>73</v>
      </c>
      <c r="E311" t="inlineStr">
        <is>
          <t>BBG00SMCRZ64</t>
        </is>
      </c>
    </row>
    <row r="312">
      <c r="A312" t="inlineStr">
        <is>
          <t>BBG00SMCS097 Equity</t>
        </is>
      </c>
      <c r="B312" t="inlineStr">
        <is>
          <t>TSLA US 12/18/20 P74</t>
        </is>
      </c>
      <c r="C312" t="inlineStr">
        <is>
          <t>2020-12-18</t>
        </is>
      </c>
      <c r="D312" t="n">
        <v>74</v>
      </c>
      <c r="E312" t="inlineStr">
        <is>
          <t>BBG00SMCS097</t>
        </is>
      </c>
    </row>
    <row r="313">
      <c r="A313" t="inlineStr">
        <is>
          <t>BBG00SMCS1F8 Equity</t>
        </is>
      </c>
      <c r="B313" t="inlineStr">
        <is>
          <t>TSLA US 12/18/20 P75</t>
        </is>
      </c>
      <c r="C313" t="inlineStr">
        <is>
          <t>2020-12-18</t>
        </is>
      </c>
      <c r="D313" t="n">
        <v>75</v>
      </c>
      <c r="E313" t="inlineStr">
        <is>
          <t>BBG00SMCS1F8</t>
        </is>
      </c>
    </row>
    <row r="314">
      <c r="A314" t="inlineStr">
        <is>
          <t>BBG00SMCS2J2 Equity</t>
        </is>
      </c>
      <c r="B314" t="inlineStr">
        <is>
          <t>TSLA US 12/18/20 P76</t>
        </is>
      </c>
      <c r="C314" t="inlineStr">
        <is>
          <t>2020-12-18</t>
        </is>
      </c>
      <c r="D314" t="n">
        <v>76</v>
      </c>
      <c r="E314" t="inlineStr">
        <is>
          <t>BBG00SMCS2J2</t>
        </is>
      </c>
    </row>
    <row r="315">
      <c r="A315" t="inlineStr">
        <is>
          <t>BBG00SMCS3M6 Equity</t>
        </is>
      </c>
      <c r="B315" t="inlineStr">
        <is>
          <t>TSLA US 12/18/20 P77</t>
        </is>
      </c>
      <c r="C315" t="inlineStr">
        <is>
          <t>2020-12-18</t>
        </is>
      </c>
      <c r="D315" t="n">
        <v>77</v>
      </c>
      <c r="E315" t="inlineStr">
        <is>
          <t>BBG00SMCS3M6</t>
        </is>
      </c>
    </row>
    <row r="316">
      <c r="A316" t="inlineStr">
        <is>
          <t>BBG00SMCS4R9 Equity</t>
        </is>
      </c>
      <c r="B316" t="inlineStr">
        <is>
          <t>TSLA US 12/18/20 P78</t>
        </is>
      </c>
      <c r="C316" t="inlineStr">
        <is>
          <t>2020-12-18</t>
        </is>
      </c>
      <c r="D316" t="n">
        <v>78</v>
      </c>
      <c r="E316" t="inlineStr">
        <is>
          <t>BBG00SMCS4R9</t>
        </is>
      </c>
    </row>
    <row r="317">
      <c r="A317" t="inlineStr">
        <is>
          <t>BBG00SMCS5V1 Equity</t>
        </is>
      </c>
      <c r="B317" t="inlineStr">
        <is>
          <t>TSLA US 12/18/20 P79</t>
        </is>
      </c>
      <c r="C317" t="inlineStr">
        <is>
          <t>2020-12-18</t>
        </is>
      </c>
      <c r="D317" t="n">
        <v>79</v>
      </c>
      <c r="E317" t="inlineStr">
        <is>
          <t>BBG00SMCS5V1</t>
        </is>
      </c>
    </row>
    <row r="318">
      <c r="A318" t="inlineStr">
        <is>
          <t>BBG00SMCS6Z5 Equity</t>
        </is>
      </c>
      <c r="B318" t="inlineStr">
        <is>
          <t>TSLA US 12/18/20 P80</t>
        </is>
      </c>
      <c r="C318" t="inlineStr">
        <is>
          <t>2020-12-18</t>
        </is>
      </c>
      <c r="D318" t="n">
        <v>80</v>
      </c>
      <c r="E318" t="inlineStr">
        <is>
          <t>BBG00SMCS6Z5</t>
        </is>
      </c>
    </row>
    <row r="319">
      <c r="A319" t="inlineStr">
        <is>
          <t>BBG00SMCS827 Equity</t>
        </is>
      </c>
      <c r="B319" t="inlineStr">
        <is>
          <t>TSLA US 12/18/20 P81</t>
        </is>
      </c>
      <c r="C319" t="inlineStr">
        <is>
          <t>2020-12-18</t>
        </is>
      </c>
      <c r="D319" t="n">
        <v>81</v>
      </c>
      <c r="E319" t="inlineStr">
        <is>
          <t>BBG00SMCS827</t>
        </is>
      </c>
    </row>
    <row r="320">
      <c r="A320" t="inlineStr">
        <is>
          <t>BBG00SMCS952 Equity</t>
        </is>
      </c>
      <c r="B320" t="inlineStr">
        <is>
          <t>TSLA US 12/18/20 P82</t>
        </is>
      </c>
      <c r="C320" t="inlineStr">
        <is>
          <t>2020-12-18</t>
        </is>
      </c>
      <c r="D320" t="n">
        <v>82</v>
      </c>
      <c r="E320" t="inlineStr">
        <is>
          <t>BBG00SMCS952</t>
        </is>
      </c>
    </row>
    <row r="321">
      <c r="A321" t="inlineStr">
        <is>
          <t>BBG00SMCSB93 Equity</t>
        </is>
      </c>
      <c r="B321" t="inlineStr">
        <is>
          <t>TSLA US 12/18/20 P83</t>
        </is>
      </c>
      <c r="C321" t="inlineStr">
        <is>
          <t>2020-12-18</t>
        </is>
      </c>
      <c r="D321" t="n">
        <v>83</v>
      </c>
      <c r="E321" t="inlineStr">
        <is>
          <t>BBG00SMCSB93</t>
        </is>
      </c>
    </row>
    <row r="322">
      <c r="A322" t="inlineStr">
        <is>
          <t>BBG00SMCSCD6 Equity</t>
        </is>
      </c>
      <c r="B322" t="inlineStr">
        <is>
          <t>TSLA US 12/18/20 P84</t>
        </is>
      </c>
      <c r="C322" t="inlineStr">
        <is>
          <t>2020-12-18</t>
        </is>
      </c>
      <c r="D322" t="n">
        <v>84</v>
      </c>
      <c r="E322" t="inlineStr">
        <is>
          <t>BBG00SMCSCD6</t>
        </is>
      </c>
    </row>
    <row r="323">
      <c r="A323" t="inlineStr">
        <is>
          <t>BBG00SMCSDH0 Equity</t>
        </is>
      </c>
      <c r="B323" t="inlineStr">
        <is>
          <t>TSLA US 12/18/20 P85</t>
        </is>
      </c>
      <c r="C323" t="inlineStr">
        <is>
          <t>2020-12-18</t>
        </is>
      </c>
      <c r="D323" t="n">
        <v>85</v>
      </c>
      <c r="E323" t="inlineStr">
        <is>
          <t>BBG00SMCSDH0</t>
        </is>
      </c>
    </row>
    <row r="324">
      <c r="A324" t="inlineStr">
        <is>
          <t>BBG00SMCSFM9 Equity</t>
        </is>
      </c>
      <c r="B324" t="inlineStr">
        <is>
          <t>TSLA US 12/18/20 P86</t>
        </is>
      </c>
      <c r="C324" t="inlineStr">
        <is>
          <t>2020-12-18</t>
        </is>
      </c>
      <c r="D324" t="n">
        <v>86</v>
      </c>
      <c r="E324" t="inlineStr">
        <is>
          <t>BBG00SMCSFM9</t>
        </is>
      </c>
    </row>
    <row r="325">
      <c r="A325" t="inlineStr">
        <is>
          <t>BBG00SMCSGQ3 Equity</t>
        </is>
      </c>
      <c r="B325" t="inlineStr">
        <is>
          <t>TSLA US 12/18/20 P87</t>
        </is>
      </c>
      <c r="C325" t="inlineStr">
        <is>
          <t>2020-12-18</t>
        </is>
      </c>
      <c r="D325" t="n">
        <v>87</v>
      </c>
      <c r="E325" t="inlineStr">
        <is>
          <t>BBG00SMCSGQ3</t>
        </is>
      </c>
    </row>
    <row r="326">
      <c r="A326" t="inlineStr">
        <is>
          <t>BBG00SMCSHT8 Equity</t>
        </is>
      </c>
      <c r="B326" t="inlineStr">
        <is>
          <t>TSLA US 12/18/20 P88</t>
        </is>
      </c>
      <c r="C326" t="inlineStr">
        <is>
          <t>2020-12-18</t>
        </is>
      </c>
      <c r="D326" t="n">
        <v>88</v>
      </c>
      <c r="E326" t="inlineStr">
        <is>
          <t>BBG00SMCSHT8</t>
        </is>
      </c>
    </row>
    <row r="327">
      <c r="A327" t="inlineStr">
        <is>
          <t>BBG00SMCSJY8 Equity</t>
        </is>
      </c>
      <c r="B327" t="inlineStr">
        <is>
          <t>TSLA US 12/18/20 P89</t>
        </is>
      </c>
      <c r="C327" t="inlineStr">
        <is>
          <t>2020-12-18</t>
        </is>
      </c>
      <c r="D327" t="n">
        <v>89</v>
      </c>
      <c r="E327" t="inlineStr">
        <is>
          <t>BBG00SMCSJY8</t>
        </is>
      </c>
    </row>
    <row r="328">
      <c r="A328" t="inlineStr">
        <is>
          <t>BBG00SMCSL19 Equity</t>
        </is>
      </c>
      <c r="B328" t="inlineStr">
        <is>
          <t>TSLA US 12/18/20 P90</t>
        </is>
      </c>
      <c r="C328" t="inlineStr">
        <is>
          <t>2020-12-18</t>
        </is>
      </c>
      <c r="D328" t="n">
        <v>90</v>
      </c>
      <c r="E328" t="inlineStr">
        <is>
          <t>BBG00SMCSL19</t>
        </is>
      </c>
    </row>
    <row r="329">
      <c r="A329" t="inlineStr">
        <is>
          <t>BBG00SMCSM44 Equity</t>
        </is>
      </c>
      <c r="B329" t="inlineStr">
        <is>
          <t>TSLA US 12/18/20 P91</t>
        </is>
      </c>
      <c r="C329" t="inlineStr">
        <is>
          <t>2020-12-18</t>
        </is>
      </c>
      <c r="D329" t="n">
        <v>91</v>
      </c>
      <c r="E329" t="inlineStr">
        <is>
          <t>BBG00SMCSM44</t>
        </is>
      </c>
    </row>
    <row r="330">
      <c r="A330" t="inlineStr">
        <is>
          <t>BBG00SMCSN88 Equity</t>
        </is>
      </c>
      <c r="B330" t="inlineStr">
        <is>
          <t>TSLA US 12/18/20 P92</t>
        </is>
      </c>
      <c r="C330" t="inlineStr">
        <is>
          <t>2020-12-18</t>
        </is>
      </c>
      <c r="D330" t="n">
        <v>92</v>
      </c>
      <c r="E330" t="inlineStr">
        <is>
          <t>BBG00SMCSN88</t>
        </is>
      </c>
    </row>
    <row r="331">
      <c r="A331" t="inlineStr">
        <is>
          <t>BBG00SMCSPC8 Equity</t>
        </is>
      </c>
      <c r="B331" t="inlineStr">
        <is>
          <t>TSLA US 12/18/20 P93</t>
        </is>
      </c>
      <c r="C331" t="inlineStr">
        <is>
          <t>2020-12-18</t>
        </is>
      </c>
      <c r="D331" t="n">
        <v>93</v>
      </c>
      <c r="E331" t="inlineStr">
        <is>
          <t>BBG00SMCSPC8</t>
        </is>
      </c>
    </row>
    <row r="332">
      <c r="A332" t="inlineStr">
        <is>
          <t>BBG00SMCSQG2 Equity</t>
        </is>
      </c>
      <c r="B332" t="inlineStr">
        <is>
          <t>TSLA US 12/18/20 P94</t>
        </is>
      </c>
      <c r="C332" t="inlineStr">
        <is>
          <t>2020-12-18</t>
        </is>
      </c>
      <c r="D332" t="n">
        <v>94</v>
      </c>
      <c r="E332" t="inlineStr">
        <is>
          <t>BBG00SMCSQG2</t>
        </is>
      </c>
    </row>
    <row r="333">
      <c r="A333" t="inlineStr">
        <is>
          <t>BBG00SMCSRL4 Equity</t>
        </is>
      </c>
      <c r="B333" t="inlineStr">
        <is>
          <t>TSLA US 12/18/20 P95</t>
        </is>
      </c>
      <c r="C333" t="inlineStr">
        <is>
          <t>2020-12-18</t>
        </is>
      </c>
      <c r="D333" t="n">
        <v>95</v>
      </c>
      <c r="E333" t="inlineStr">
        <is>
          <t>BBG00SMCSRL4</t>
        </is>
      </c>
    </row>
    <row r="334">
      <c r="A334" t="inlineStr">
        <is>
          <t>BBG00SMCSSP8 Equity</t>
        </is>
      </c>
      <c r="B334" t="inlineStr">
        <is>
          <t>TSLA US 12/18/20 P96</t>
        </is>
      </c>
      <c r="C334" t="inlineStr">
        <is>
          <t>2020-12-18</t>
        </is>
      </c>
      <c r="D334" t="n">
        <v>96</v>
      </c>
      <c r="E334" t="inlineStr">
        <is>
          <t>BBG00SMCSSP8</t>
        </is>
      </c>
    </row>
    <row r="335">
      <c r="A335" t="inlineStr">
        <is>
          <t>BBG00SMCSTS3 Equity</t>
        </is>
      </c>
      <c r="B335" t="inlineStr">
        <is>
          <t>TSLA US 12/18/20 P97</t>
        </is>
      </c>
      <c r="C335" t="inlineStr">
        <is>
          <t>2020-12-18</t>
        </is>
      </c>
      <c r="D335" t="n">
        <v>97</v>
      </c>
      <c r="E335" t="inlineStr">
        <is>
          <t>BBG00SMCSTS3</t>
        </is>
      </c>
    </row>
    <row r="336">
      <c r="A336" t="inlineStr">
        <is>
          <t>BBG00S5CKJW7 Equity</t>
        </is>
      </c>
      <c r="B336" t="inlineStr">
        <is>
          <t>TSLA US 12/18/20 P120</t>
        </is>
      </c>
      <c r="C336" t="inlineStr">
        <is>
          <t>2020-12-18</t>
        </is>
      </c>
      <c r="D336" t="n">
        <v>120</v>
      </c>
      <c r="E336" t="inlineStr">
        <is>
          <t>BBG00S5CKJW7</t>
        </is>
      </c>
    </row>
    <row r="337">
      <c r="A337" t="inlineStr">
        <is>
          <t>BBG00T3V36Q9 Equity</t>
        </is>
      </c>
      <c r="B337" t="inlineStr">
        <is>
          <t>TSLA US 12/18/20 P121</t>
        </is>
      </c>
      <c r="C337" t="inlineStr">
        <is>
          <t>2020-12-18</t>
        </is>
      </c>
      <c r="D337" t="n">
        <v>121</v>
      </c>
      <c r="E337" t="inlineStr">
        <is>
          <t>BBG00T3V36Q9</t>
        </is>
      </c>
    </row>
    <row r="338">
      <c r="A338" t="inlineStr">
        <is>
          <t>BBG00T3V37T4 Equity</t>
        </is>
      </c>
      <c r="B338" t="inlineStr">
        <is>
          <t>TSLA US 12/18/20 P122</t>
        </is>
      </c>
      <c r="C338" t="inlineStr">
        <is>
          <t>2020-12-18</t>
        </is>
      </c>
      <c r="D338" t="n">
        <v>122</v>
      </c>
      <c r="E338" t="inlineStr">
        <is>
          <t>BBG00T3V37T4</t>
        </is>
      </c>
    </row>
    <row r="339">
      <c r="A339" t="inlineStr">
        <is>
          <t>BBG00T3V38Y6 Equity</t>
        </is>
      </c>
      <c r="B339" t="inlineStr">
        <is>
          <t>TSLA US 12/18/20 P123</t>
        </is>
      </c>
      <c r="C339" t="inlineStr">
        <is>
          <t>2020-12-18</t>
        </is>
      </c>
      <c r="D339" t="n">
        <v>123</v>
      </c>
      <c r="E339" t="inlineStr">
        <is>
          <t>BBG00T3V38Y6</t>
        </is>
      </c>
    </row>
    <row r="340">
      <c r="A340" t="inlineStr">
        <is>
          <t>BBG00T3V3B15 Equity</t>
        </is>
      </c>
      <c r="B340" t="inlineStr">
        <is>
          <t>TSLA US 12/18/20 P124</t>
        </is>
      </c>
      <c r="C340" t="inlineStr">
        <is>
          <t>2020-12-18</t>
        </is>
      </c>
      <c r="D340" t="n">
        <v>124</v>
      </c>
      <c r="E340" t="inlineStr">
        <is>
          <t>BBG00T3V3B15</t>
        </is>
      </c>
    </row>
    <row r="341">
      <c r="A341" t="inlineStr">
        <is>
          <t>BBG00T3V3C40 Equity</t>
        </is>
      </c>
      <c r="B341" t="inlineStr">
        <is>
          <t>TSLA US 12/18/20 P125</t>
        </is>
      </c>
      <c r="C341" t="inlineStr">
        <is>
          <t>2020-12-18</t>
        </is>
      </c>
      <c r="D341" t="n">
        <v>125</v>
      </c>
      <c r="E341" t="inlineStr">
        <is>
          <t>BBG00T3V3C40</t>
        </is>
      </c>
    </row>
    <row r="342">
      <c r="A342" t="inlineStr">
        <is>
          <t>BBG00T3V3D84 Equity</t>
        </is>
      </c>
      <c r="B342" t="inlineStr">
        <is>
          <t>TSLA US 12/18/20 P126</t>
        </is>
      </c>
      <c r="C342" t="inlineStr">
        <is>
          <t>2020-12-18</t>
        </is>
      </c>
      <c r="D342" t="n">
        <v>126</v>
      </c>
      <c r="E342" t="inlineStr">
        <is>
          <t>BBG00T3V3D84</t>
        </is>
      </c>
    </row>
    <row r="343">
      <c r="A343" t="inlineStr">
        <is>
          <t>BBG00T3V3FC4 Equity</t>
        </is>
      </c>
      <c r="B343" t="inlineStr">
        <is>
          <t>TSLA US 12/18/20 P127</t>
        </is>
      </c>
      <c r="C343" t="inlineStr">
        <is>
          <t>2020-12-18</t>
        </is>
      </c>
      <c r="D343" t="n">
        <v>127</v>
      </c>
      <c r="E343" t="inlineStr">
        <is>
          <t>BBG00T3V3FC4</t>
        </is>
      </c>
    </row>
    <row r="344">
      <c r="A344" t="inlineStr">
        <is>
          <t>BBG00T3V3GG8 Equity</t>
        </is>
      </c>
      <c r="B344" t="inlineStr">
        <is>
          <t>TSLA US 12/18/20 P128</t>
        </is>
      </c>
      <c r="C344" t="inlineStr">
        <is>
          <t>2020-12-18</t>
        </is>
      </c>
      <c r="D344" t="n">
        <v>128</v>
      </c>
      <c r="E344" t="inlineStr">
        <is>
          <t>BBG00T3V3GG8</t>
        </is>
      </c>
    </row>
    <row r="345">
      <c r="A345" t="inlineStr">
        <is>
          <t>BBG00T3V3HL0 Equity</t>
        </is>
      </c>
      <c r="B345" t="inlineStr">
        <is>
          <t>TSLA US 12/18/20 P129</t>
        </is>
      </c>
      <c r="C345" t="inlineStr">
        <is>
          <t>2020-12-18</t>
        </is>
      </c>
      <c r="D345" t="n">
        <v>129</v>
      </c>
      <c r="E345" t="inlineStr">
        <is>
          <t>BBG00T3V3HL0</t>
        </is>
      </c>
    </row>
    <row r="346">
      <c r="A346" t="inlineStr">
        <is>
          <t>BBG00S5CKKZ1 Equity</t>
        </is>
      </c>
      <c r="B346" t="inlineStr">
        <is>
          <t>TSLA US 12/18/20 P130</t>
        </is>
      </c>
      <c r="C346" t="inlineStr">
        <is>
          <t>2020-12-18</t>
        </is>
      </c>
      <c r="D346" t="n">
        <v>130</v>
      </c>
      <c r="E346" t="inlineStr">
        <is>
          <t>BBG00S5CKKZ1</t>
        </is>
      </c>
    </row>
    <row r="347">
      <c r="A347" t="inlineStr">
        <is>
          <t>BBG00T3V3JP2 Equity</t>
        </is>
      </c>
      <c r="B347" t="inlineStr">
        <is>
          <t>TSLA US 12/18/20 P131</t>
        </is>
      </c>
      <c r="C347" t="inlineStr">
        <is>
          <t>2020-12-18</t>
        </is>
      </c>
      <c r="D347" t="n">
        <v>131</v>
      </c>
      <c r="E347" t="inlineStr">
        <is>
          <t>BBG00T3V3JP2</t>
        </is>
      </c>
    </row>
    <row r="348">
      <c r="A348" t="inlineStr">
        <is>
          <t>BBG00T3V3KT5 Equity</t>
        </is>
      </c>
      <c r="B348" t="inlineStr">
        <is>
          <t>TSLA US 12/18/20 P132</t>
        </is>
      </c>
      <c r="C348" t="inlineStr">
        <is>
          <t>2020-12-18</t>
        </is>
      </c>
      <c r="D348" t="n">
        <v>132</v>
      </c>
      <c r="E348" t="inlineStr">
        <is>
          <t>BBG00T3V3KT5</t>
        </is>
      </c>
    </row>
    <row r="349">
      <c r="A349" t="inlineStr">
        <is>
          <t>BBG00T3V3LX8 Equity</t>
        </is>
      </c>
      <c r="B349" t="inlineStr">
        <is>
          <t>TSLA US 12/18/20 P133</t>
        </is>
      </c>
      <c r="C349" t="inlineStr">
        <is>
          <t>2020-12-18</t>
        </is>
      </c>
      <c r="D349" t="n">
        <v>133</v>
      </c>
      <c r="E349" t="inlineStr">
        <is>
          <t>BBG00T3V3LX8</t>
        </is>
      </c>
    </row>
    <row r="350">
      <c r="A350" t="inlineStr">
        <is>
          <t>BBG00T3V3N00 Equity</t>
        </is>
      </c>
      <c r="B350" t="inlineStr">
        <is>
          <t>TSLA US 12/18/20 P134</t>
        </is>
      </c>
      <c r="C350" t="inlineStr">
        <is>
          <t>2020-12-18</t>
        </is>
      </c>
      <c r="D350" t="n">
        <v>134</v>
      </c>
      <c r="E350" t="inlineStr">
        <is>
          <t>BBG00T3V3N00</t>
        </is>
      </c>
    </row>
    <row r="351">
      <c r="A351" t="inlineStr">
        <is>
          <t>BBG00T3V3P41 Equity</t>
        </is>
      </c>
      <c r="B351" t="inlineStr">
        <is>
          <t>TSLA US 12/18/20 P135</t>
        </is>
      </c>
      <c r="C351" t="inlineStr">
        <is>
          <t>2020-12-18</t>
        </is>
      </c>
      <c r="D351" t="n">
        <v>135</v>
      </c>
      <c r="E351" t="inlineStr">
        <is>
          <t>BBG00T3V3P41</t>
        </is>
      </c>
    </row>
    <row r="352">
      <c r="A352" t="inlineStr">
        <is>
          <t>BBG00T3V3Q76 Equity</t>
        </is>
      </c>
      <c r="B352" t="inlineStr">
        <is>
          <t>TSLA US 12/18/20 P136</t>
        </is>
      </c>
      <c r="C352" t="inlineStr">
        <is>
          <t>2020-12-18</t>
        </is>
      </c>
      <c r="D352" t="n">
        <v>136</v>
      </c>
      <c r="E352" t="inlineStr">
        <is>
          <t>BBG00T3V3Q76</t>
        </is>
      </c>
    </row>
    <row r="353">
      <c r="A353" t="inlineStr">
        <is>
          <t>BBG00T3V3RB9 Equity</t>
        </is>
      </c>
      <c r="B353" t="inlineStr">
        <is>
          <t>TSLA US 12/18/20 P137</t>
        </is>
      </c>
      <c r="C353" t="inlineStr">
        <is>
          <t>2020-12-18</t>
        </is>
      </c>
      <c r="D353" t="n">
        <v>137</v>
      </c>
      <c r="E353" t="inlineStr">
        <is>
          <t>BBG00T3V3RB9</t>
        </is>
      </c>
    </row>
    <row r="354">
      <c r="A354" t="inlineStr">
        <is>
          <t>BBG00T3V3SG2 Equity</t>
        </is>
      </c>
      <c r="B354" t="inlineStr">
        <is>
          <t>TSLA US 12/18/20 P138</t>
        </is>
      </c>
      <c r="C354" t="inlineStr">
        <is>
          <t>2020-12-18</t>
        </is>
      </c>
      <c r="D354" t="n">
        <v>138</v>
      </c>
      <c r="E354" t="inlineStr">
        <is>
          <t>BBG00T3V3SG2</t>
        </is>
      </c>
    </row>
    <row r="355">
      <c r="A355" t="inlineStr">
        <is>
          <t>BBG00T3V3TK5 Equity</t>
        </is>
      </c>
      <c r="B355" t="inlineStr">
        <is>
          <t>TSLA US 12/18/20 P139</t>
        </is>
      </c>
      <c r="C355" t="inlineStr">
        <is>
          <t>2020-12-18</t>
        </is>
      </c>
      <c r="D355" t="n">
        <v>139</v>
      </c>
      <c r="E355" t="inlineStr">
        <is>
          <t>BBG00T3V3TK5</t>
        </is>
      </c>
    </row>
    <row r="356">
      <c r="A356" t="inlineStr">
        <is>
          <t>BBG00S5CKM32 Equity</t>
        </is>
      </c>
      <c r="B356" t="inlineStr">
        <is>
          <t>TSLA US 12/18/20 P140</t>
        </is>
      </c>
      <c r="C356" t="inlineStr">
        <is>
          <t>2020-12-18</t>
        </is>
      </c>
      <c r="D356" t="n">
        <v>140</v>
      </c>
      <c r="E356" t="inlineStr">
        <is>
          <t>BBG00S5CKM32</t>
        </is>
      </c>
    </row>
    <row r="357">
      <c r="A357" t="inlineStr">
        <is>
          <t>BBG00T9YG308 Equity</t>
        </is>
      </c>
      <c r="B357" t="inlineStr">
        <is>
          <t>TSLA US 12/18/20 P141</t>
        </is>
      </c>
      <c r="C357" t="inlineStr">
        <is>
          <t>2020-12-18</t>
        </is>
      </c>
      <c r="D357" t="n">
        <v>141</v>
      </c>
      <c r="E357" t="inlineStr">
        <is>
          <t>BBG00T9YG308</t>
        </is>
      </c>
    </row>
    <row r="358">
      <c r="A358" t="inlineStr">
        <is>
          <t>BBG00T9YG442 Equity</t>
        </is>
      </c>
      <c r="B358" t="inlineStr">
        <is>
          <t>TSLA US 12/18/20 P142</t>
        </is>
      </c>
      <c r="C358" t="inlineStr">
        <is>
          <t>2020-12-18</t>
        </is>
      </c>
      <c r="D358" t="n">
        <v>142</v>
      </c>
      <c r="E358" t="inlineStr">
        <is>
          <t>BBG00T9YG442</t>
        </is>
      </c>
    </row>
    <row r="359">
      <c r="A359" t="inlineStr">
        <is>
          <t>BBG00T9YG576 Equity</t>
        </is>
      </c>
      <c r="B359" t="inlineStr">
        <is>
          <t>TSLA US 12/18/20 P143</t>
        </is>
      </c>
      <c r="C359" t="inlineStr">
        <is>
          <t>2020-12-18</t>
        </is>
      </c>
      <c r="D359" t="n">
        <v>143</v>
      </c>
      <c r="E359" t="inlineStr">
        <is>
          <t>BBG00T9YG576</t>
        </is>
      </c>
    </row>
    <row r="360">
      <c r="A360" t="inlineStr">
        <is>
          <t>BBG00T9YG6B9 Equity</t>
        </is>
      </c>
      <c r="B360" t="inlineStr">
        <is>
          <t>TSLA US 12/18/20 P144</t>
        </is>
      </c>
      <c r="C360" t="inlineStr">
        <is>
          <t>2020-12-18</t>
        </is>
      </c>
      <c r="D360" t="n">
        <v>144</v>
      </c>
      <c r="E360" t="inlineStr">
        <is>
          <t>BBG00T9YG6B9</t>
        </is>
      </c>
    </row>
    <row r="361">
      <c r="A361" t="inlineStr">
        <is>
          <t>BBG00T9YG7G2 Equity</t>
        </is>
      </c>
      <c r="B361" t="inlineStr">
        <is>
          <t>TSLA US 12/18/20 P145</t>
        </is>
      </c>
      <c r="C361" t="inlineStr">
        <is>
          <t>2020-12-18</t>
        </is>
      </c>
      <c r="D361" t="n">
        <v>145</v>
      </c>
      <c r="E361" t="inlineStr">
        <is>
          <t>BBG00T9YG7G2</t>
        </is>
      </c>
    </row>
    <row r="362">
      <c r="A362" t="inlineStr">
        <is>
          <t>BBG00T9YG8K5 Equity</t>
        </is>
      </c>
      <c r="B362" t="inlineStr">
        <is>
          <t>TSLA US 12/18/20 P146</t>
        </is>
      </c>
      <c r="C362" t="inlineStr">
        <is>
          <t>2020-12-18</t>
        </is>
      </c>
      <c r="D362" t="n">
        <v>146</v>
      </c>
      <c r="E362" t="inlineStr">
        <is>
          <t>BBG00T9YG8K5</t>
        </is>
      </c>
    </row>
    <row r="363">
      <c r="A363" t="inlineStr">
        <is>
          <t>BBG00T9YG9N0 Equity</t>
        </is>
      </c>
      <c r="B363" t="inlineStr">
        <is>
          <t>TSLA US 12/18/20 P147</t>
        </is>
      </c>
      <c r="C363" t="inlineStr">
        <is>
          <t>2020-12-18</t>
        </is>
      </c>
      <c r="D363" t="n">
        <v>147</v>
      </c>
      <c r="E363" t="inlineStr">
        <is>
          <t>BBG00T9YG9N0</t>
        </is>
      </c>
    </row>
    <row r="364">
      <c r="A364" t="inlineStr">
        <is>
          <t>BBG00T9YGBS0 Equity</t>
        </is>
      </c>
      <c r="B364" t="inlineStr">
        <is>
          <t>TSLA US 12/18/20 P148</t>
        </is>
      </c>
      <c r="C364" t="inlineStr">
        <is>
          <t>2020-12-18</t>
        </is>
      </c>
      <c r="D364" t="n">
        <v>148</v>
      </c>
      <c r="E364" t="inlineStr">
        <is>
          <t>BBG00T9YGBS0</t>
        </is>
      </c>
    </row>
    <row r="365">
      <c r="A365" t="inlineStr">
        <is>
          <t>BBG00T9YGCW3 Equity</t>
        </is>
      </c>
      <c r="B365" t="inlineStr">
        <is>
          <t>TSLA US 12/18/20 P149</t>
        </is>
      </c>
      <c r="C365" t="inlineStr">
        <is>
          <t>2020-12-18</t>
        </is>
      </c>
      <c r="D365" t="n">
        <v>149</v>
      </c>
      <c r="E365" t="inlineStr">
        <is>
          <t>BBG00T9YGCW3</t>
        </is>
      </c>
    </row>
    <row r="366">
      <c r="A366" t="inlineStr">
        <is>
          <t>BBG00S5CKN67 Equity</t>
        </is>
      </c>
      <c r="B366" t="inlineStr">
        <is>
          <t>TSLA US 12/18/20 P150</t>
        </is>
      </c>
      <c r="C366" t="inlineStr">
        <is>
          <t>2020-12-18</t>
        </is>
      </c>
      <c r="D366" t="n">
        <v>150</v>
      </c>
      <c r="E366" t="inlineStr">
        <is>
          <t>BBG00S5CKN67</t>
        </is>
      </c>
    </row>
    <row r="367">
      <c r="A367" t="inlineStr">
        <is>
          <t>BBG00T9YGDZ8 Equity</t>
        </is>
      </c>
      <c r="B367" t="inlineStr">
        <is>
          <t>TSLA US 12/18/20 P151</t>
        </is>
      </c>
      <c r="C367" t="inlineStr">
        <is>
          <t>2020-12-18</t>
        </is>
      </c>
      <c r="D367" t="n">
        <v>151</v>
      </c>
      <c r="E367" t="inlineStr">
        <is>
          <t>BBG00T9YGDZ8</t>
        </is>
      </c>
    </row>
    <row r="368">
      <c r="A368" t="inlineStr">
        <is>
          <t>BBG00T9YGG36 Equity</t>
        </is>
      </c>
      <c r="B368" t="inlineStr">
        <is>
          <t>TSLA US 12/18/20 P152</t>
        </is>
      </c>
      <c r="C368" t="inlineStr">
        <is>
          <t>2020-12-18</t>
        </is>
      </c>
      <c r="D368" t="n">
        <v>152</v>
      </c>
      <c r="E368" t="inlineStr">
        <is>
          <t>BBG00T9YGG36</t>
        </is>
      </c>
    </row>
    <row r="369">
      <c r="A369" t="inlineStr">
        <is>
          <t>BBG00T9YGH61 Equity</t>
        </is>
      </c>
      <c r="B369" t="inlineStr">
        <is>
          <t>TSLA US 12/18/20 P153</t>
        </is>
      </c>
      <c r="C369" t="inlineStr">
        <is>
          <t>2020-12-18</t>
        </is>
      </c>
      <c r="D369" t="n">
        <v>153</v>
      </c>
      <c r="E369" t="inlineStr">
        <is>
          <t>BBG00T9YGH61</t>
        </is>
      </c>
    </row>
    <row r="370">
      <c r="A370" t="inlineStr">
        <is>
          <t>BBG00T9YGJ94 Equity</t>
        </is>
      </c>
      <c r="B370" t="inlineStr">
        <is>
          <t>TSLA US 12/18/20 P154</t>
        </is>
      </c>
      <c r="C370" t="inlineStr">
        <is>
          <t>2020-12-18</t>
        </is>
      </c>
      <c r="D370" t="n">
        <v>154</v>
      </c>
      <c r="E370" t="inlineStr">
        <is>
          <t>BBG00T9YGJ94</t>
        </is>
      </c>
    </row>
    <row r="371">
      <c r="A371" t="inlineStr">
        <is>
          <t>BBG00T9YGKF4 Equity</t>
        </is>
      </c>
      <c r="B371" t="inlineStr">
        <is>
          <t>TSLA US 12/18/20 P155</t>
        </is>
      </c>
      <c r="C371" t="inlineStr">
        <is>
          <t>2020-12-18</t>
        </is>
      </c>
      <c r="D371" t="n">
        <v>155</v>
      </c>
      <c r="E371" t="inlineStr">
        <is>
          <t>BBG00T9YGKF4</t>
        </is>
      </c>
    </row>
    <row r="372">
      <c r="A372" t="inlineStr">
        <is>
          <t>BBG00T9YGLJ8 Equity</t>
        </is>
      </c>
      <c r="B372" t="inlineStr">
        <is>
          <t>TSLA US 12/18/20 P156</t>
        </is>
      </c>
      <c r="C372" t="inlineStr">
        <is>
          <t>2020-12-18</t>
        </is>
      </c>
      <c r="D372" t="n">
        <v>156</v>
      </c>
      <c r="E372" t="inlineStr">
        <is>
          <t>BBG00T9YGLJ8</t>
        </is>
      </c>
    </row>
    <row r="373">
      <c r="A373" t="inlineStr">
        <is>
          <t>BBG00T9YGMM2 Equity</t>
        </is>
      </c>
      <c r="B373" t="inlineStr">
        <is>
          <t>TSLA US 12/18/20 P157</t>
        </is>
      </c>
      <c r="C373" t="inlineStr">
        <is>
          <t>2020-12-18</t>
        </is>
      </c>
      <c r="D373" t="n">
        <v>157</v>
      </c>
      <c r="E373" t="inlineStr">
        <is>
          <t>BBG00T9YGMM2</t>
        </is>
      </c>
    </row>
    <row r="374">
      <c r="A374" t="inlineStr">
        <is>
          <t>BBG00T9YGNR5 Equity</t>
        </is>
      </c>
      <c r="B374" t="inlineStr">
        <is>
          <t>TSLA US 12/18/20 P158</t>
        </is>
      </c>
      <c r="C374" t="inlineStr">
        <is>
          <t>2020-12-18</t>
        </is>
      </c>
      <c r="D374" t="n">
        <v>158</v>
      </c>
      <c r="E374" t="inlineStr">
        <is>
          <t>BBG00T9YGNR5</t>
        </is>
      </c>
    </row>
    <row r="375">
      <c r="A375" t="inlineStr">
        <is>
          <t>BBG00T9YGPV5 Equity</t>
        </is>
      </c>
      <c r="B375" t="inlineStr">
        <is>
          <t>TSLA US 12/18/20 P159</t>
        </is>
      </c>
      <c r="C375" t="inlineStr">
        <is>
          <t>2020-12-18</t>
        </is>
      </c>
      <c r="D375" t="n">
        <v>159</v>
      </c>
      <c r="E375" t="inlineStr">
        <is>
          <t>BBG00T9YGPV5</t>
        </is>
      </c>
    </row>
    <row r="376">
      <c r="A376" t="inlineStr">
        <is>
          <t>BBG00S5CKP99 Equity</t>
        </is>
      </c>
      <c r="B376" t="inlineStr">
        <is>
          <t>TSLA US 12/18/20 P160</t>
        </is>
      </c>
      <c r="C376" t="inlineStr">
        <is>
          <t>2020-12-18</t>
        </is>
      </c>
      <c r="D376" t="n">
        <v>160</v>
      </c>
      <c r="E376" t="inlineStr">
        <is>
          <t>BBG00S5CKP99</t>
        </is>
      </c>
    </row>
    <row r="377">
      <c r="A377" t="inlineStr">
        <is>
          <t>BBG00T9YGQY0 Equity</t>
        </is>
      </c>
      <c r="B377" t="inlineStr">
        <is>
          <t>TSLA US 12/18/20 P161</t>
        </is>
      </c>
      <c r="C377" t="inlineStr">
        <is>
          <t>2020-12-18</t>
        </is>
      </c>
      <c r="D377" t="n">
        <v>161</v>
      </c>
      <c r="E377" t="inlineStr">
        <is>
          <t>BBG00T9YGQY0</t>
        </is>
      </c>
    </row>
    <row r="378">
      <c r="A378" t="inlineStr">
        <is>
          <t>BBG00T9YGS21 Equity</t>
        </is>
      </c>
      <c r="B378" t="inlineStr">
        <is>
          <t>TSLA US 12/18/20 P162</t>
        </is>
      </c>
      <c r="C378" t="inlineStr">
        <is>
          <t>2020-12-18</t>
        </is>
      </c>
      <c r="D378" t="n">
        <v>162</v>
      </c>
      <c r="E378" t="inlineStr">
        <is>
          <t>BBG00T9YGS21</t>
        </is>
      </c>
    </row>
    <row r="379">
      <c r="A379" t="inlineStr">
        <is>
          <t>BBG00T9YGT56 Equity</t>
        </is>
      </c>
      <c r="B379" t="inlineStr">
        <is>
          <t>TSLA US 12/18/20 P163</t>
        </is>
      </c>
      <c r="C379" t="inlineStr">
        <is>
          <t>2020-12-18</t>
        </is>
      </c>
      <c r="D379" t="n">
        <v>163</v>
      </c>
      <c r="E379" t="inlineStr">
        <is>
          <t>BBG00T9YGT56</t>
        </is>
      </c>
    </row>
    <row r="380">
      <c r="A380" t="inlineStr">
        <is>
          <t>BBG00T9YGV97 Equity</t>
        </is>
      </c>
      <c r="B380" t="inlineStr">
        <is>
          <t>TSLA US 12/18/20 P164</t>
        </is>
      </c>
      <c r="C380" t="inlineStr">
        <is>
          <t>2020-12-18</t>
        </is>
      </c>
      <c r="D380" t="n">
        <v>164</v>
      </c>
      <c r="E380" t="inlineStr">
        <is>
          <t>BBG00T9YGV97</t>
        </is>
      </c>
    </row>
    <row r="381">
      <c r="A381" t="inlineStr">
        <is>
          <t>BBG00T9YGWD0 Equity</t>
        </is>
      </c>
      <c r="B381" t="inlineStr">
        <is>
          <t>TSLA US 12/18/20 P165</t>
        </is>
      </c>
      <c r="C381" t="inlineStr">
        <is>
          <t>2020-12-18</t>
        </is>
      </c>
      <c r="D381" t="n">
        <v>165</v>
      </c>
      <c r="E381" t="inlineStr">
        <is>
          <t>BBG00T9YGWD0</t>
        </is>
      </c>
    </row>
    <row r="382">
      <c r="A382" t="inlineStr">
        <is>
          <t>BBG00T9YGXH4 Equity</t>
        </is>
      </c>
      <c r="B382" t="inlineStr">
        <is>
          <t>TSLA US 12/18/20 P166</t>
        </is>
      </c>
      <c r="C382" t="inlineStr">
        <is>
          <t>2020-12-18</t>
        </is>
      </c>
      <c r="D382" t="n">
        <v>166</v>
      </c>
      <c r="E382" t="inlineStr">
        <is>
          <t>BBG00T9YGXH4</t>
        </is>
      </c>
    </row>
    <row r="383">
      <c r="A383" t="inlineStr">
        <is>
          <t>BBG00TLY4YH1 Equity</t>
        </is>
      </c>
      <c r="B383" t="inlineStr">
        <is>
          <t>TSLA US 12/18/20 P167</t>
        </is>
      </c>
      <c r="C383" t="inlineStr">
        <is>
          <t>2020-12-18</t>
        </is>
      </c>
      <c r="D383" t="n">
        <v>167</v>
      </c>
      <c r="E383" t="inlineStr">
        <is>
          <t>BBG00TLY4YH1</t>
        </is>
      </c>
    </row>
    <row r="384">
      <c r="A384" t="inlineStr">
        <is>
          <t>BBG00TLY4ZL3 Equity</t>
        </is>
      </c>
      <c r="B384" t="inlineStr">
        <is>
          <t>TSLA US 12/18/20 P168</t>
        </is>
      </c>
      <c r="C384" t="inlineStr">
        <is>
          <t>2020-12-18</t>
        </is>
      </c>
      <c r="D384" t="n">
        <v>168</v>
      </c>
      <c r="E384" t="inlineStr">
        <is>
          <t>BBG00TLY4ZL3</t>
        </is>
      </c>
    </row>
    <row r="385">
      <c r="A385" t="inlineStr">
        <is>
          <t>BBG00TLY50P5 Equity</t>
        </is>
      </c>
      <c r="B385" t="inlineStr">
        <is>
          <t>TSLA US 12/18/20 P169</t>
        </is>
      </c>
      <c r="C385" t="inlineStr">
        <is>
          <t>2020-12-18</t>
        </is>
      </c>
      <c r="D385" t="n">
        <v>169</v>
      </c>
      <c r="E385" t="inlineStr">
        <is>
          <t>BBG00TLY50P5</t>
        </is>
      </c>
    </row>
    <row r="386">
      <c r="A386" t="inlineStr">
        <is>
          <t>BBG00S5CKQF0 Equity</t>
        </is>
      </c>
      <c r="B386" t="inlineStr">
        <is>
          <t>TSLA US 12/18/20 P170</t>
        </is>
      </c>
      <c r="C386" t="inlineStr">
        <is>
          <t>2020-12-18</t>
        </is>
      </c>
      <c r="D386" t="n">
        <v>170</v>
      </c>
      <c r="E386" t="inlineStr">
        <is>
          <t>BBG00S5CKQF0</t>
        </is>
      </c>
    </row>
    <row r="387">
      <c r="A387" t="inlineStr">
        <is>
          <t>BBG00TLY51T9 Equity</t>
        </is>
      </c>
      <c r="B387" t="inlineStr">
        <is>
          <t>TSLA US 12/18/20 P171</t>
        </is>
      </c>
      <c r="C387" t="inlineStr">
        <is>
          <t>2020-12-18</t>
        </is>
      </c>
      <c r="D387" t="n">
        <v>171</v>
      </c>
      <c r="E387" t="inlineStr">
        <is>
          <t>BBG00TLY51T9</t>
        </is>
      </c>
    </row>
    <row r="388">
      <c r="A388" t="inlineStr">
        <is>
          <t>BBG00TLY52X2 Equity</t>
        </is>
      </c>
      <c r="B388" t="inlineStr">
        <is>
          <t>TSLA US 12/18/20 P172</t>
        </is>
      </c>
      <c r="C388" t="inlineStr">
        <is>
          <t>2020-12-18</t>
        </is>
      </c>
      <c r="D388" t="n">
        <v>172</v>
      </c>
      <c r="E388" t="inlineStr">
        <is>
          <t>BBG00TLY52X2</t>
        </is>
      </c>
    </row>
    <row r="389">
      <c r="A389" t="inlineStr">
        <is>
          <t>BBG00TLY5404 Equity</t>
        </is>
      </c>
      <c r="B389" t="inlineStr">
        <is>
          <t>TSLA US 12/18/20 P173</t>
        </is>
      </c>
      <c r="C389" t="inlineStr">
        <is>
          <t>2020-12-18</t>
        </is>
      </c>
      <c r="D389" t="n">
        <v>173</v>
      </c>
      <c r="E389" t="inlineStr">
        <is>
          <t>BBG00TLY5404</t>
        </is>
      </c>
    </row>
    <row r="390">
      <c r="A390" t="inlineStr">
        <is>
          <t>BBG00TLY5547 Equity</t>
        </is>
      </c>
      <c r="B390" t="inlineStr">
        <is>
          <t>TSLA US 12/18/20 P174</t>
        </is>
      </c>
      <c r="C390" t="inlineStr">
        <is>
          <t>2020-12-18</t>
        </is>
      </c>
      <c r="D390" t="n">
        <v>174</v>
      </c>
      <c r="E390" t="inlineStr">
        <is>
          <t>BBG00TLY5547</t>
        </is>
      </c>
    </row>
    <row r="391">
      <c r="A391" t="inlineStr">
        <is>
          <t>BBG00TLY5672 Equity</t>
        </is>
      </c>
      <c r="B391" t="inlineStr">
        <is>
          <t>TSLA US 12/18/20 P175</t>
        </is>
      </c>
      <c r="C391" t="inlineStr">
        <is>
          <t>2020-12-18</t>
        </is>
      </c>
      <c r="D391" t="n">
        <v>175</v>
      </c>
      <c r="E391" t="inlineStr">
        <is>
          <t>BBG00TLY5672</t>
        </is>
      </c>
    </row>
    <row r="392">
      <c r="A392" t="inlineStr">
        <is>
          <t>BBG00TLY57B5 Equity</t>
        </is>
      </c>
      <c r="B392" t="inlineStr">
        <is>
          <t>TSLA US 12/18/20 P176</t>
        </is>
      </c>
      <c r="C392" t="inlineStr">
        <is>
          <t>2020-12-18</t>
        </is>
      </c>
      <c r="D392" t="n">
        <v>176</v>
      </c>
      <c r="E392" t="inlineStr">
        <is>
          <t>BBG00TLY57B5</t>
        </is>
      </c>
    </row>
    <row r="393">
      <c r="A393" t="inlineStr">
        <is>
          <t>BBG00TLY58G8 Equity</t>
        </is>
      </c>
      <c r="B393" t="inlineStr">
        <is>
          <t>TSLA US 12/18/20 P177</t>
        </is>
      </c>
      <c r="C393" t="inlineStr">
        <is>
          <t>2020-12-18</t>
        </is>
      </c>
      <c r="D393" t="n">
        <v>177</v>
      </c>
      <c r="E393" t="inlineStr">
        <is>
          <t>BBG00TLY58G8</t>
        </is>
      </c>
    </row>
    <row r="394">
      <c r="A394" t="inlineStr">
        <is>
          <t>BBG00TLY59K1 Equity</t>
        </is>
      </c>
      <c r="B394" t="inlineStr">
        <is>
          <t>TSLA US 12/18/20 P178</t>
        </is>
      </c>
      <c r="C394" t="inlineStr">
        <is>
          <t>2020-12-18</t>
        </is>
      </c>
      <c r="D394" t="n">
        <v>178</v>
      </c>
      <c r="E394" t="inlineStr">
        <is>
          <t>BBG00TLY59K1</t>
        </is>
      </c>
    </row>
    <row r="395">
      <c r="A395" t="inlineStr">
        <is>
          <t>BBG00TLY5BN3 Equity</t>
        </is>
      </c>
      <c r="B395" t="inlineStr">
        <is>
          <t>TSLA US 12/18/20 P179</t>
        </is>
      </c>
      <c r="C395" t="inlineStr">
        <is>
          <t>2020-12-18</t>
        </is>
      </c>
      <c r="D395" t="n">
        <v>179</v>
      </c>
      <c r="E395" t="inlineStr">
        <is>
          <t>BBG00TLY5BN3</t>
        </is>
      </c>
    </row>
    <row r="396">
      <c r="A396" t="inlineStr">
        <is>
          <t>BBG00S5CKRJ4 Equity</t>
        </is>
      </c>
      <c r="B396" t="inlineStr">
        <is>
          <t>TSLA US 12/18/20 P180</t>
        </is>
      </c>
      <c r="C396" t="inlineStr">
        <is>
          <t>2020-12-18</t>
        </is>
      </c>
      <c r="D396" t="n">
        <v>180</v>
      </c>
      <c r="E396" t="inlineStr">
        <is>
          <t>BBG00S5CKRJ4</t>
        </is>
      </c>
    </row>
    <row r="397">
      <c r="A397" t="inlineStr">
        <is>
          <t>BBG00TLY5CS6 Equity</t>
        </is>
      </c>
      <c r="B397" t="inlineStr">
        <is>
          <t>TSLA US 12/18/20 P181</t>
        </is>
      </c>
      <c r="C397" t="inlineStr">
        <is>
          <t>2020-12-18</t>
        </is>
      </c>
      <c r="D397" t="n">
        <v>181</v>
      </c>
      <c r="E397" t="inlineStr">
        <is>
          <t>BBG00TLY5CS6</t>
        </is>
      </c>
    </row>
    <row r="398">
      <c r="A398" t="inlineStr">
        <is>
          <t>BBG00TLY5DW9 Equity</t>
        </is>
      </c>
      <c r="B398" t="inlineStr">
        <is>
          <t>TSLA US 12/18/20 P182</t>
        </is>
      </c>
      <c r="C398" t="inlineStr">
        <is>
          <t>2020-12-18</t>
        </is>
      </c>
      <c r="D398" t="n">
        <v>182</v>
      </c>
      <c r="E398" t="inlineStr">
        <is>
          <t>BBG00TLY5DW9</t>
        </is>
      </c>
    </row>
    <row r="399">
      <c r="A399" t="inlineStr">
        <is>
          <t>BBG00TLY5FZ1 Equity</t>
        </is>
      </c>
      <c r="B399" t="inlineStr">
        <is>
          <t>TSLA US 12/18/20 P183</t>
        </is>
      </c>
      <c r="C399" t="inlineStr">
        <is>
          <t>2020-12-18</t>
        </is>
      </c>
      <c r="D399" t="n">
        <v>183</v>
      </c>
      <c r="E399" t="inlineStr">
        <is>
          <t>BBG00TLY5FZ1</t>
        </is>
      </c>
    </row>
    <row r="400">
      <c r="A400" t="inlineStr">
        <is>
          <t>BBG00TLY5H32 Equity</t>
        </is>
      </c>
      <c r="B400" t="inlineStr">
        <is>
          <t>TSLA US 12/18/20 P184</t>
        </is>
      </c>
      <c r="C400" t="inlineStr">
        <is>
          <t>2020-12-18</t>
        </is>
      </c>
      <c r="D400" t="n">
        <v>184</v>
      </c>
      <c r="E400" t="inlineStr">
        <is>
          <t>BBG00TLY5H32</t>
        </is>
      </c>
    </row>
    <row r="401">
      <c r="A401" t="inlineStr">
        <is>
          <t>BBG00TLY5J65 Equity</t>
        </is>
      </c>
      <c r="B401" t="inlineStr">
        <is>
          <t>TSLA US 12/18/20 P185</t>
        </is>
      </c>
      <c r="C401" t="inlineStr">
        <is>
          <t>2020-12-18</t>
        </is>
      </c>
      <c r="D401" t="n">
        <v>185</v>
      </c>
      <c r="E401" t="inlineStr">
        <is>
          <t>BBG00TLY5J65</t>
        </is>
      </c>
    </row>
    <row r="402">
      <c r="A402" t="inlineStr">
        <is>
          <t>BBG00TLY5K99 Equity</t>
        </is>
      </c>
      <c r="B402" t="inlineStr">
        <is>
          <t>TSLA US 12/18/20 P186</t>
        </is>
      </c>
      <c r="C402" t="inlineStr">
        <is>
          <t>2020-12-18</t>
        </is>
      </c>
      <c r="D402" t="n">
        <v>186</v>
      </c>
      <c r="E402" t="inlineStr">
        <is>
          <t>BBG00TLY5K99</t>
        </is>
      </c>
    </row>
    <row r="403">
      <c r="A403" t="inlineStr">
        <is>
          <t>BBG00TLY5LF0 Equity</t>
        </is>
      </c>
      <c r="B403" t="inlineStr">
        <is>
          <t>TSLA US 12/18/20 P187</t>
        </is>
      </c>
      <c r="C403" t="inlineStr">
        <is>
          <t>2020-12-18</t>
        </is>
      </c>
      <c r="D403" t="n">
        <v>187</v>
      </c>
      <c r="E403" t="inlineStr">
        <is>
          <t>BBG00TLY5LF0</t>
        </is>
      </c>
    </row>
    <row r="404">
      <c r="A404" t="inlineStr">
        <is>
          <t>BBG00TLY5MJ4 Equity</t>
        </is>
      </c>
      <c r="B404" t="inlineStr">
        <is>
          <t>TSLA US 12/18/20 P188</t>
        </is>
      </c>
      <c r="C404" t="inlineStr">
        <is>
          <t>2020-12-18</t>
        </is>
      </c>
      <c r="D404" t="n">
        <v>188</v>
      </c>
      <c r="E404" t="inlineStr">
        <is>
          <t>BBG00TLY5MJ4</t>
        </is>
      </c>
    </row>
    <row r="405">
      <c r="A405" t="inlineStr">
        <is>
          <t>BBG00TLY5NM8 Equity</t>
        </is>
      </c>
      <c r="B405" t="inlineStr">
        <is>
          <t>TSLA US 12/18/20 P189</t>
        </is>
      </c>
      <c r="C405" t="inlineStr">
        <is>
          <t>2020-12-18</t>
        </is>
      </c>
      <c r="D405" t="n">
        <v>189</v>
      </c>
      <c r="E405" t="inlineStr">
        <is>
          <t>BBG00TLY5NM8</t>
        </is>
      </c>
    </row>
    <row r="406">
      <c r="A406" t="inlineStr">
        <is>
          <t>BBG00S5CKSM8 Equity</t>
        </is>
      </c>
      <c r="B406" t="inlineStr">
        <is>
          <t>TSLA US 12/18/20 P190</t>
        </is>
      </c>
      <c r="C406" t="inlineStr">
        <is>
          <t>2020-12-18</t>
        </is>
      </c>
      <c r="D406" t="n">
        <v>190</v>
      </c>
      <c r="E406" t="inlineStr">
        <is>
          <t>BBG00S5CKSM8</t>
        </is>
      </c>
    </row>
    <row r="407">
      <c r="A407" t="inlineStr">
        <is>
          <t>BBG00TLY5PR8 Equity</t>
        </is>
      </c>
      <c r="B407" t="inlineStr">
        <is>
          <t>TSLA US 12/18/20 P191</t>
        </is>
      </c>
      <c r="C407" t="inlineStr">
        <is>
          <t>2020-12-18</t>
        </is>
      </c>
      <c r="D407" t="n">
        <v>191</v>
      </c>
      <c r="E407" t="inlineStr">
        <is>
          <t>BBG00TLY5PR8</t>
        </is>
      </c>
    </row>
    <row r="408">
      <c r="A408" t="inlineStr">
        <is>
          <t>BBG00TLY5QV1 Equity</t>
        </is>
      </c>
      <c r="B408" t="inlineStr">
        <is>
          <t>TSLA US 12/18/20 P192</t>
        </is>
      </c>
      <c r="C408" t="inlineStr">
        <is>
          <t>2020-12-18</t>
        </is>
      </c>
      <c r="D408" t="n">
        <v>192</v>
      </c>
      <c r="E408" t="inlineStr">
        <is>
          <t>BBG00TLY5QV1</t>
        </is>
      </c>
    </row>
    <row r="409">
      <c r="A409" t="inlineStr">
        <is>
          <t>BBG00TLY5RY6 Equity</t>
        </is>
      </c>
      <c r="B409" t="inlineStr">
        <is>
          <t>TSLA US 12/18/20 P193</t>
        </is>
      </c>
      <c r="C409" t="inlineStr">
        <is>
          <t>2020-12-18</t>
        </is>
      </c>
      <c r="D409" t="n">
        <v>193</v>
      </c>
      <c r="E409" t="inlineStr">
        <is>
          <t>BBG00TLY5RY6</t>
        </is>
      </c>
    </row>
    <row r="410">
      <c r="A410" t="inlineStr">
        <is>
          <t>BBG00TLY5T27 Equity</t>
        </is>
      </c>
      <c r="B410" t="inlineStr">
        <is>
          <t>TSLA US 12/18/20 P194</t>
        </is>
      </c>
      <c r="C410" t="inlineStr">
        <is>
          <t>2020-12-18</t>
        </is>
      </c>
      <c r="D410" t="n">
        <v>194</v>
      </c>
      <c r="E410" t="inlineStr">
        <is>
          <t>BBG00TLY5T27</t>
        </is>
      </c>
    </row>
    <row r="411">
      <c r="A411" t="inlineStr">
        <is>
          <t>BBG00MF81611 Equity</t>
        </is>
      </c>
      <c r="B411" t="inlineStr">
        <is>
          <t>TSLA US 01/15/21 P120</t>
        </is>
      </c>
      <c r="C411" t="inlineStr">
        <is>
          <t>2021-01-15</t>
        </is>
      </c>
      <c r="D411" t="n">
        <v>120</v>
      </c>
      <c r="E411" t="inlineStr">
        <is>
          <t>BBG00MF81611</t>
        </is>
      </c>
    </row>
    <row r="412">
      <c r="A412" t="inlineStr">
        <is>
          <t>BBG00T3V46R7 Equity</t>
        </is>
      </c>
      <c r="B412" t="inlineStr">
        <is>
          <t>TSLA US 01/15/21 P121</t>
        </is>
      </c>
      <c r="C412" t="inlineStr">
        <is>
          <t>2021-01-15</t>
        </is>
      </c>
      <c r="D412" t="n">
        <v>121</v>
      </c>
      <c r="E412" t="inlineStr">
        <is>
          <t>BBG00T3V46R7</t>
        </is>
      </c>
    </row>
    <row r="413">
      <c r="A413" t="inlineStr">
        <is>
          <t>BBG00MF81728 Equity</t>
        </is>
      </c>
      <c r="B413" t="inlineStr">
        <is>
          <t>TSLA US 01/15/21 P122</t>
        </is>
      </c>
      <c r="C413" t="inlineStr">
        <is>
          <t>2021-01-15</t>
        </is>
      </c>
      <c r="D413" t="n">
        <v>122</v>
      </c>
      <c r="E413" t="inlineStr">
        <is>
          <t>BBG00MF81728</t>
        </is>
      </c>
    </row>
    <row r="414">
      <c r="A414" t="inlineStr">
        <is>
          <t>BBG00T3V47V0 Equity</t>
        </is>
      </c>
      <c r="B414" t="inlineStr">
        <is>
          <t>TSLA US 01/15/21 P123</t>
        </is>
      </c>
      <c r="C414" t="inlineStr">
        <is>
          <t>2021-01-15</t>
        </is>
      </c>
      <c r="D414" t="n">
        <v>123</v>
      </c>
      <c r="E414" t="inlineStr">
        <is>
          <t>BBG00T3V47V0</t>
        </is>
      </c>
    </row>
    <row r="415">
      <c r="A415" t="inlineStr">
        <is>
          <t>BBG00MF81844 Equity</t>
        </is>
      </c>
      <c r="B415" t="inlineStr">
        <is>
          <t>TSLA US 01/15/21 P124</t>
        </is>
      </c>
      <c r="C415" t="inlineStr">
        <is>
          <t>2021-01-15</t>
        </is>
      </c>
      <c r="D415" t="n">
        <v>124</v>
      </c>
      <c r="E415" t="inlineStr">
        <is>
          <t>BBG00MF81844</t>
        </is>
      </c>
    </row>
    <row r="416">
      <c r="A416" t="inlineStr">
        <is>
          <t>BBG00T3V48Y5 Equity</t>
        </is>
      </c>
      <c r="B416" t="inlineStr">
        <is>
          <t>TSLA US 01/15/21 P125</t>
        </is>
      </c>
      <c r="C416" t="inlineStr">
        <is>
          <t>2021-01-15</t>
        </is>
      </c>
      <c r="D416" t="n">
        <v>125</v>
      </c>
      <c r="E416" t="inlineStr">
        <is>
          <t>BBG00T3V48Y5</t>
        </is>
      </c>
    </row>
    <row r="417">
      <c r="A417" t="inlineStr">
        <is>
          <t>BBG00MF81951 Equity</t>
        </is>
      </c>
      <c r="B417" t="inlineStr">
        <is>
          <t>TSLA US 01/15/21 P126</t>
        </is>
      </c>
      <c r="C417" t="inlineStr">
        <is>
          <t>2021-01-15</t>
        </is>
      </c>
      <c r="D417" t="n">
        <v>126</v>
      </c>
      <c r="E417" t="inlineStr">
        <is>
          <t>BBG00MF81951</t>
        </is>
      </c>
    </row>
    <row r="418">
      <c r="A418" t="inlineStr">
        <is>
          <t>BBG00T3V4B23 Equity</t>
        </is>
      </c>
      <c r="B418" t="inlineStr">
        <is>
          <t>TSLA US 01/15/21 P127</t>
        </is>
      </c>
      <c r="C418" t="inlineStr">
        <is>
          <t>2021-01-15</t>
        </is>
      </c>
      <c r="D418" t="n">
        <v>127</v>
      </c>
      <c r="E418" t="inlineStr">
        <is>
          <t>BBG00T3V4B23</t>
        </is>
      </c>
    </row>
    <row r="419">
      <c r="A419" t="inlineStr">
        <is>
          <t>BBG00MF81B65 Equity</t>
        </is>
      </c>
      <c r="B419" t="inlineStr">
        <is>
          <t>TSLA US 01/15/21 P128</t>
        </is>
      </c>
      <c r="C419" t="inlineStr">
        <is>
          <t>2021-01-15</t>
        </is>
      </c>
      <c r="D419" t="n">
        <v>128</v>
      </c>
      <c r="E419" t="inlineStr">
        <is>
          <t>BBG00MF81B65</t>
        </is>
      </c>
    </row>
    <row r="420">
      <c r="A420" t="inlineStr">
        <is>
          <t>BBG00T3V4C58 Equity</t>
        </is>
      </c>
      <c r="B420" t="inlineStr">
        <is>
          <t>TSLA US 01/15/21 P129</t>
        </is>
      </c>
      <c r="C420" t="inlineStr">
        <is>
          <t>2021-01-15</t>
        </is>
      </c>
      <c r="D420" t="n">
        <v>129</v>
      </c>
      <c r="E420" t="inlineStr">
        <is>
          <t>BBG00T3V4C58</t>
        </is>
      </c>
    </row>
    <row r="421">
      <c r="A421" t="inlineStr">
        <is>
          <t>BBG00MF81C81 Equity</t>
        </is>
      </c>
      <c r="B421" t="inlineStr">
        <is>
          <t>TSLA US 01/15/21 P130</t>
        </is>
      </c>
      <c r="C421" t="inlineStr">
        <is>
          <t>2021-01-15</t>
        </is>
      </c>
      <c r="D421" t="n">
        <v>130</v>
      </c>
      <c r="E421" t="inlineStr">
        <is>
          <t>BBG00MF81C81</t>
        </is>
      </c>
    </row>
    <row r="422">
      <c r="A422" t="inlineStr">
        <is>
          <t>BBG00T3V4D83 Equity</t>
        </is>
      </c>
      <c r="B422" t="inlineStr">
        <is>
          <t>TSLA US 01/15/21 P131</t>
        </is>
      </c>
      <c r="C422" t="inlineStr">
        <is>
          <t>2021-01-15</t>
        </is>
      </c>
      <c r="D422" t="n">
        <v>131</v>
      </c>
      <c r="E422" t="inlineStr">
        <is>
          <t>BBG00T3V4D83</t>
        </is>
      </c>
    </row>
    <row r="423">
      <c r="A423" t="inlineStr">
        <is>
          <t>BBG00MF81D98 Equity</t>
        </is>
      </c>
      <c r="B423" t="inlineStr">
        <is>
          <t>TSLA US 01/15/21 P132</t>
        </is>
      </c>
      <c r="C423" t="inlineStr">
        <is>
          <t>2021-01-15</t>
        </is>
      </c>
      <c r="D423" t="n">
        <v>132</v>
      </c>
      <c r="E423" t="inlineStr">
        <is>
          <t>BBG00MF81D98</t>
        </is>
      </c>
    </row>
    <row r="424">
      <c r="A424" t="inlineStr">
        <is>
          <t>BBG00T3V4FD2 Equity</t>
        </is>
      </c>
      <c r="B424" t="inlineStr">
        <is>
          <t>TSLA US 01/15/21 P133</t>
        </is>
      </c>
      <c r="C424" t="inlineStr">
        <is>
          <t>2021-01-15</t>
        </is>
      </c>
      <c r="D424" t="n">
        <v>133</v>
      </c>
      <c r="E424" t="inlineStr">
        <is>
          <t>BBG00T3V4FD2</t>
        </is>
      </c>
    </row>
    <row r="425">
      <c r="A425" t="inlineStr">
        <is>
          <t>BBG00MF81FB0 Equity</t>
        </is>
      </c>
      <c r="B425" t="inlineStr">
        <is>
          <t>TSLA US 01/15/21 P134</t>
        </is>
      </c>
      <c r="C425" t="inlineStr">
        <is>
          <t>2021-01-15</t>
        </is>
      </c>
      <c r="D425" t="n">
        <v>134</v>
      </c>
      <c r="E425" t="inlineStr">
        <is>
          <t>BBG00MF81FB0</t>
        </is>
      </c>
    </row>
    <row r="426">
      <c r="A426" t="inlineStr">
        <is>
          <t>BBG00T3V4GH6 Equity</t>
        </is>
      </c>
      <c r="B426" t="inlineStr">
        <is>
          <t>TSLA US 01/15/21 P135</t>
        </is>
      </c>
      <c r="C426" t="inlineStr">
        <is>
          <t>2021-01-15</t>
        </is>
      </c>
      <c r="D426" t="n">
        <v>135</v>
      </c>
      <c r="E426" t="inlineStr">
        <is>
          <t>BBG00T3V4GH6</t>
        </is>
      </c>
    </row>
    <row r="427">
      <c r="A427" t="inlineStr">
        <is>
          <t>BBG00MF81GD6 Equity</t>
        </is>
      </c>
      <c r="B427" t="inlineStr">
        <is>
          <t>TSLA US 01/15/21 P136</t>
        </is>
      </c>
      <c r="C427" t="inlineStr">
        <is>
          <t>2021-01-15</t>
        </is>
      </c>
      <c r="D427" t="n">
        <v>136</v>
      </c>
      <c r="E427" t="inlineStr">
        <is>
          <t>BBG00MF81GD6</t>
        </is>
      </c>
    </row>
    <row r="428">
      <c r="A428" t="inlineStr">
        <is>
          <t>BBG00T3V4HL9 Equity</t>
        </is>
      </c>
      <c r="B428" t="inlineStr">
        <is>
          <t>TSLA US 01/15/21 P137</t>
        </is>
      </c>
      <c r="C428" t="inlineStr">
        <is>
          <t>2021-01-15</t>
        </is>
      </c>
      <c r="D428" t="n">
        <v>137</v>
      </c>
      <c r="E428" t="inlineStr">
        <is>
          <t>BBG00T3V4HL9</t>
        </is>
      </c>
    </row>
    <row r="429">
      <c r="A429" t="inlineStr">
        <is>
          <t>BBG00MF81HF2 Equity</t>
        </is>
      </c>
      <c r="B429" t="inlineStr">
        <is>
          <t>TSLA US 01/15/21 P138</t>
        </is>
      </c>
      <c r="C429" t="inlineStr">
        <is>
          <t>2021-01-15</t>
        </is>
      </c>
      <c r="D429" t="n">
        <v>138</v>
      </c>
      <c r="E429" t="inlineStr">
        <is>
          <t>BBG00MF81HF2</t>
        </is>
      </c>
    </row>
    <row r="430">
      <c r="A430" t="inlineStr">
        <is>
          <t>BBG00T3V4JQ0 Equity</t>
        </is>
      </c>
      <c r="B430" t="inlineStr">
        <is>
          <t>TSLA US 01/15/21 P139</t>
        </is>
      </c>
      <c r="C430" t="inlineStr">
        <is>
          <t>2021-01-15</t>
        </is>
      </c>
      <c r="D430" t="n">
        <v>139</v>
      </c>
      <c r="E430" t="inlineStr">
        <is>
          <t>BBG00T3V4JQ0</t>
        </is>
      </c>
    </row>
    <row r="431">
      <c r="A431" t="inlineStr">
        <is>
          <t>BBG00R81LNF9 Equity</t>
        </is>
      </c>
      <c r="B431" t="inlineStr">
        <is>
          <t>TSLA US 01/15/21 P140</t>
        </is>
      </c>
      <c r="C431" t="inlineStr">
        <is>
          <t>2021-01-15</t>
        </is>
      </c>
      <c r="D431" t="n">
        <v>140</v>
      </c>
      <c r="E431" t="inlineStr">
        <is>
          <t>BBG00R81LNF9</t>
        </is>
      </c>
    </row>
    <row r="432">
      <c r="A432" t="inlineStr">
        <is>
          <t>BBG00RT64W73 Equity</t>
        </is>
      </c>
      <c r="B432" t="inlineStr">
        <is>
          <t>TSLA US 01/15/21 P141</t>
        </is>
      </c>
      <c r="C432" t="inlineStr">
        <is>
          <t>2021-01-15</t>
        </is>
      </c>
      <c r="D432" t="n">
        <v>141</v>
      </c>
      <c r="E432" t="inlineStr">
        <is>
          <t>BBG00RT64W73</t>
        </is>
      </c>
    </row>
    <row r="433">
      <c r="A433" t="inlineStr">
        <is>
          <t>BBG00R81LPJ0 Equity</t>
        </is>
      </c>
      <c r="B433" t="inlineStr">
        <is>
          <t>TSLA US 01/15/21 P142</t>
        </is>
      </c>
      <c r="C433" t="inlineStr">
        <is>
          <t>2021-01-15</t>
        </is>
      </c>
      <c r="D433" t="n">
        <v>142</v>
      </c>
      <c r="E433" t="inlineStr">
        <is>
          <t>BBG00R81LPJ0</t>
        </is>
      </c>
    </row>
    <row r="434">
      <c r="A434" t="inlineStr">
        <is>
          <t>BBG00RT64XB6 Equity</t>
        </is>
      </c>
      <c r="B434" t="inlineStr">
        <is>
          <t>TSLA US 01/15/21 P143</t>
        </is>
      </c>
      <c r="C434" t="inlineStr">
        <is>
          <t>2021-01-15</t>
        </is>
      </c>
      <c r="D434" t="n">
        <v>143</v>
      </c>
      <c r="E434" t="inlineStr">
        <is>
          <t>BBG00RT64XB6</t>
        </is>
      </c>
    </row>
    <row r="435">
      <c r="A435" t="inlineStr">
        <is>
          <t>BBG00R81LQM4 Equity</t>
        </is>
      </c>
      <c r="B435" t="inlineStr">
        <is>
          <t>TSLA US 01/15/21 P144</t>
        </is>
      </c>
      <c r="C435" t="inlineStr">
        <is>
          <t>2021-01-15</t>
        </is>
      </c>
      <c r="D435" t="n">
        <v>144</v>
      </c>
      <c r="E435" t="inlineStr">
        <is>
          <t>BBG00R81LQM4</t>
        </is>
      </c>
    </row>
    <row r="436">
      <c r="A436" t="inlineStr">
        <is>
          <t>BBG00RT64YG9 Equity</t>
        </is>
      </c>
      <c r="B436" t="inlineStr">
        <is>
          <t>TSLA US 01/15/21 P145</t>
        </is>
      </c>
      <c r="C436" t="inlineStr">
        <is>
          <t>2021-01-15</t>
        </is>
      </c>
      <c r="D436" t="n">
        <v>145</v>
      </c>
      <c r="E436" t="inlineStr">
        <is>
          <t>BBG00RT64YG9</t>
        </is>
      </c>
    </row>
    <row r="437">
      <c r="A437" t="inlineStr">
        <is>
          <t>BBG00R81LRR7 Equity</t>
        </is>
      </c>
      <c r="B437" t="inlineStr">
        <is>
          <t>TSLA US 01/15/21 P146</t>
        </is>
      </c>
      <c r="C437" t="inlineStr">
        <is>
          <t>2021-01-15</t>
        </is>
      </c>
      <c r="D437" t="n">
        <v>146</v>
      </c>
      <c r="E437" t="inlineStr">
        <is>
          <t>BBG00R81LRR7</t>
        </is>
      </c>
    </row>
    <row r="438">
      <c r="A438" t="inlineStr">
        <is>
          <t>BBG00RT64ZK1 Equity</t>
        </is>
      </c>
      <c r="B438" t="inlineStr">
        <is>
          <t>TSLA US 01/15/21 P147</t>
        </is>
      </c>
      <c r="C438" t="inlineStr">
        <is>
          <t>2021-01-15</t>
        </is>
      </c>
      <c r="D438" t="n">
        <v>147</v>
      </c>
      <c r="E438" t="inlineStr">
        <is>
          <t>BBG00RT64ZK1</t>
        </is>
      </c>
    </row>
    <row r="439">
      <c r="A439" t="inlineStr">
        <is>
          <t>BBG00R81LSV0 Equity</t>
        </is>
      </c>
      <c r="B439" t="inlineStr">
        <is>
          <t>TSLA US 01/15/21 P148</t>
        </is>
      </c>
      <c r="C439" t="inlineStr">
        <is>
          <t>2021-01-15</t>
        </is>
      </c>
      <c r="D439" t="n">
        <v>148</v>
      </c>
      <c r="E439" t="inlineStr">
        <is>
          <t>BBG00R81LSV0</t>
        </is>
      </c>
    </row>
    <row r="440">
      <c r="A440" t="inlineStr">
        <is>
          <t>BBG00RT650N4 Equity</t>
        </is>
      </c>
      <c r="B440" t="inlineStr">
        <is>
          <t>TSLA US 01/15/21 P149</t>
        </is>
      </c>
      <c r="C440" t="inlineStr">
        <is>
          <t>2021-01-15</t>
        </is>
      </c>
      <c r="D440" t="n">
        <v>149</v>
      </c>
      <c r="E440" t="inlineStr">
        <is>
          <t>BBG00RT650N4</t>
        </is>
      </c>
    </row>
    <row r="441">
      <c r="A441" t="inlineStr">
        <is>
          <t>BBG00R81LTY5 Equity</t>
        </is>
      </c>
      <c r="B441" t="inlineStr">
        <is>
          <t>TSLA US 01/15/21 P150</t>
        </is>
      </c>
      <c r="C441" t="inlineStr">
        <is>
          <t>2021-01-15</t>
        </is>
      </c>
      <c r="D441" t="n">
        <v>150</v>
      </c>
      <c r="E441" t="inlineStr">
        <is>
          <t>BBG00R81LTY5</t>
        </is>
      </c>
    </row>
    <row r="442">
      <c r="A442" t="inlineStr">
        <is>
          <t>BBG00RT651S7 Equity</t>
        </is>
      </c>
      <c r="B442" t="inlineStr">
        <is>
          <t>TSLA US 01/15/21 P151</t>
        </is>
      </c>
      <c r="C442" t="inlineStr">
        <is>
          <t>2021-01-15</t>
        </is>
      </c>
      <c r="D442" t="n">
        <v>151</v>
      </c>
      <c r="E442" t="inlineStr">
        <is>
          <t>BBG00RT651S7</t>
        </is>
      </c>
    </row>
    <row r="443">
      <c r="A443" t="inlineStr">
        <is>
          <t>BBG00R81LW23 Equity</t>
        </is>
      </c>
      <c r="B443" t="inlineStr">
        <is>
          <t>TSLA US 01/15/21 P152</t>
        </is>
      </c>
      <c r="C443" t="inlineStr">
        <is>
          <t>2021-01-15</t>
        </is>
      </c>
      <c r="D443" t="n">
        <v>152</v>
      </c>
      <c r="E443" t="inlineStr">
        <is>
          <t>BBG00R81LW23</t>
        </is>
      </c>
    </row>
    <row r="444">
      <c r="A444" t="inlineStr">
        <is>
          <t>BBG00RT652W0 Equity</t>
        </is>
      </c>
      <c r="B444" t="inlineStr">
        <is>
          <t>TSLA US 01/15/21 P153</t>
        </is>
      </c>
      <c r="C444" t="inlineStr">
        <is>
          <t>2021-01-15</t>
        </is>
      </c>
      <c r="D444" t="n">
        <v>153</v>
      </c>
      <c r="E444" t="inlineStr">
        <is>
          <t>BBG00RT652W0</t>
        </is>
      </c>
    </row>
    <row r="445">
      <c r="A445" t="inlineStr">
        <is>
          <t>BBG00R81LX58 Equity</t>
        </is>
      </c>
      <c r="B445" t="inlineStr">
        <is>
          <t>TSLA US 01/15/21 P154</t>
        </is>
      </c>
      <c r="C445" t="inlineStr">
        <is>
          <t>2021-01-15</t>
        </is>
      </c>
      <c r="D445" t="n">
        <v>154</v>
      </c>
      <c r="E445" t="inlineStr">
        <is>
          <t>BBG00R81LX58</t>
        </is>
      </c>
    </row>
    <row r="446">
      <c r="A446" t="inlineStr">
        <is>
          <t>BBG00RT653Z5 Equity</t>
        </is>
      </c>
      <c r="B446" t="inlineStr">
        <is>
          <t>TSLA US 01/15/21 P155</t>
        </is>
      </c>
      <c r="C446" t="inlineStr">
        <is>
          <t>2021-01-15</t>
        </is>
      </c>
      <c r="D446" t="n">
        <v>155</v>
      </c>
      <c r="E446" t="inlineStr">
        <is>
          <t>BBG00RT653Z5</t>
        </is>
      </c>
    </row>
    <row r="447">
      <c r="A447" t="inlineStr">
        <is>
          <t>BBG00R81LY83 Equity</t>
        </is>
      </c>
      <c r="B447" t="inlineStr">
        <is>
          <t>TSLA US 01/15/21 P156</t>
        </is>
      </c>
      <c r="C447" t="inlineStr">
        <is>
          <t>2021-01-15</t>
        </is>
      </c>
      <c r="D447" t="n">
        <v>156</v>
      </c>
      <c r="E447" t="inlineStr">
        <is>
          <t>BBG00R81LY83</t>
        </is>
      </c>
    </row>
    <row r="448">
      <c r="A448" t="inlineStr">
        <is>
          <t>BBG00RT65535 Equity</t>
        </is>
      </c>
      <c r="B448" t="inlineStr">
        <is>
          <t>TSLA US 01/15/21 P157</t>
        </is>
      </c>
      <c r="C448" t="inlineStr">
        <is>
          <t>2021-01-15</t>
        </is>
      </c>
      <c r="D448" t="n">
        <v>157</v>
      </c>
      <c r="E448" t="inlineStr">
        <is>
          <t>BBG00RT65535</t>
        </is>
      </c>
    </row>
    <row r="449">
      <c r="A449" t="inlineStr">
        <is>
          <t>BBG00R81LZD4 Equity</t>
        </is>
      </c>
      <c r="B449" t="inlineStr">
        <is>
          <t>TSLA US 01/15/21 P158</t>
        </is>
      </c>
      <c r="C449" t="inlineStr">
        <is>
          <t>2021-01-15</t>
        </is>
      </c>
      <c r="D449" t="n">
        <v>158</v>
      </c>
      <c r="E449" t="inlineStr">
        <is>
          <t>BBG00R81LZD4</t>
        </is>
      </c>
    </row>
    <row r="450">
      <c r="A450" t="inlineStr">
        <is>
          <t>BBG00RT65660 Equity</t>
        </is>
      </c>
      <c r="B450" t="inlineStr">
        <is>
          <t>TSLA US 01/15/21 P159</t>
        </is>
      </c>
      <c r="C450" t="inlineStr">
        <is>
          <t>2021-01-15</t>
        </is>
      </c>
      <c r="D450" t="n">
        <v>159</v>
      </c>
      <c r="E450" t="inlineStr">
        <is>
          <t>BBG00RT65660</t>
        </is>
      </c>
    </row>
    <row r="451">
      <c r="A451" t="inlineStr">
        <is>
          <t>BBG00R81M0H6 Equity</t>
        </is>
      </c>
      <c r="B451" t="inlineStr">
        <is>
          <t>TSLA US 01/15/21 P160</t>
        </is>
      </c>
      <c r="C451" t="inlineStr">
        <is>
          <t>2021-01-15</t>
        </is>
      </c>
      <c r="D451" t="n">
        <v>160</v>
      </c>
      <c r="E451" t="inlineStr">
        <is>
          <t>BBG00R81M0H6</t>
        </is>
      </c>
    </row>
    <row r="452">
      <c r="A452" t="inlineStr">
        <is>
          <t>BBG00RT65795 Equity</t>
        </is>
      </c>
      <c r="B452" t="inlineStr">
        <is>
          <t>TSLA US 01/15/21 P161</t>
        </is>
      </c>
      <c r="C452" t="inlineStr">
        <is>
          <t>2021-01-15</t>
        </is>
      </c>
      <c r="D452" t="n">
        <v>161</v>
      </c>
      <c r="E452" t="inlineStr">
        <is>
          <t>BBG00RT65795</t>
        </is>
      </c>
    </row>
    <row r="453">
      <c r="A453" t="inlineStr">
        <is>
          <t>BBG00R81M1L9 Equity</t>
        </is>
      </c>
      <c r="B453" t="inlineStr">
        <is>
          <t>TSLA US 01/15/21 P162</t>
        </is>
      </c>
      <c r="C453" t="inlineStr">
        <is>
          <t>2021-01-15</t>
        </is>
      </c>
      <c r="D453" t="n">
        <v>162</v>
      </c>
      <c r="E453" t="inlineStr">
        <is>
          <t>BBG00R81M1L9</t>
        </is>
      </c>
    </row>
    <row r="454">
      <c r="A454" t="inlineStr">
        <is>
          <t>BBG00RT658F6 Equity</t>
        </is>
      </c>
      <c r="B454" t="inlineStr">
        <is>
          <t>TSLA US 01/15/21 P163</t>
        </is>
      </c>
      <c r="C454" t="inlineStr">
        <is>
          <t>2021-01-15</t>
        </is>
      </c>
      <c r="D454" t="n">
        <v>163</v>
      </c>
      <c r="E454" t="inlineStr">
        <is>
          <t>BBG00RT658F6</t>
        </is>
      </c>
    </row>
    <row r="455">
      <c r="A455" t="inlineStr">
        <is>
          <t>BBG00R81M2Q2 Equity</t>
        </is>
      </c>
      <c r="B455" t="inlineStr">
        <is>
          <t>TSLA US 01/15/21 P164</t>
        </is>
      </c>
      <c r="C455" t="inlineStr">
        <is>
          <t>2021-01-15</t>
        </is>
      </c>
      <c r="D455" t="n">
        <v>164</v>
      </c>
      <c r="E455" t="inlineStr">
        <is>
          <t>BBG00R81M2Q2</t>
        </is>
      </c>
    </row>
    <row r="456">
      <c r="A456" t="inlineStr">
        <is>
          <t>BBG00RT659J0 Equity</t>
        </is>
      </c>
      <c r="B456" t="inlineStr">
        <is>
          <t>TSLA US 01/15/21 P165</t>
        </is>
      </c>
      <c r="C456" t="inlineStr">
        <is>
          <t>2021-01-15</t>
        </is>
      </c>
      <c r="D456" t="n">
        <v>165</v>
      </c>
      <c r="E456" t="inlineStr">
        <is>
          <t>BBG00RT659J0</t>
        </is>
      </c>
    </row>
    <row r="457">
      <c r="A457" t="inlineStr">
        <is>
          <t>BBG00R81M3T7 Equity</t>
        </is>
      </c>
      <c r="B457" t="inlineStr">
        <is>
          <t>TSLA US 01/15/21 P166</t>
        </is>
      </c>
      <c r="C457" t="inlineStr">
        <is>
          <t>2021-01-15</t>
        </is>
      </c>
      <c r="D457" t="n">
        <v>166</v>
      </c>
      <c r="E457" t="inlineStr">
        <is>
          <t>BBG00R81M3T7</t>
        </is>
      </c>
    </row>
    <row r="458">
      <c r="A458" t="inlineStr">
        <is>
          <t>BBG00RT65BN0 Equity</t>
        </is>
      </c>
      <c r="B458" t="inlineStr">
        <is>
          <t>TSLA US 01/15/21 P167</t>
        </is>
      </c>
      <c r="C458" t="inlineStr">
        <is>
          <t>2021-01-15</t>
        </is>
      </c>
      <c r="D458" t="n">
        <v>167</v>
      </c>
      <c r="E458" t="inlineStr">
        <is>
          <t>BBG00RT65BN0</t>
        </is>
      </c>
    </row>
    <row r="459">
      <c r="A459" t="inlineStr">
        <is>
          <t>BBG00R81M4X0 Equity</t>
        </is>
      </c>
      <c r="B459" t="inlineStr">
        <is>
          <t>TSLA US 01/15/21 P168</t>
        </is>
      </c>
      <c r="C459" t="inlineStr">
        <is>
          <t>2021-01-15</t>
        </is>
      </c>
      <c r="D459" t="n">
        <v>168</v>
      </c>
      <c r="E459" t="inlineStr">
        <is>
          <t>BBG00R81M4X0</t>
        </is>
      </c>
    </row>
    <row r="460">
      <c r="A460" t="inlineStr">
        <is>
          <t>BBG00RT65CR4 Equity</t>
        </is>
      </c>
      <c r="B460" t="inlineStr">
        <is>
          <t>TSLA US 01/15/21 P169</t>
        </is>
      </c>
      <c r="C460" t="inlineStr">
        <is>
          <t>2021-01-15</t>
        </is>
      </c>
      <c r="D460" t="n">
        <v>169</v>
      </c>
      <c r="E460" t="inlineStr">
        <is>
          <t>BBG00RT65CR4</t>
        </is>
      </c>
    </row>
    <row r="461">
      <c r="A461" t="inlineStr">
        <is>
          <t>BBG00R81M610 Equity</t>
        </is>
      </c>
      <c r="B461" t="inlineStr">
        <is>
          <t>TSLA US 01/15/21 P170</t>
        </is>
      </c>
      <c r="C461" t="inlineStr">
        <is>
          <t>2021-01-15</t>
        </is>
      </c>
      <c r="D461" t="n">
        <v>170</v>
      </c>
      <c r="E461" t="inlineStr">
        <is>
          <t>BBG00R81M610</t>
        </is>
      </c>
    </row>
    <row r="462">
      <c r="A462" t="inlineStr">
        <is>
          <t>BBG00R9BCWP5 Equity</t>
        </is>
      </c>
      <c r="B462" t="inlineStr">
        <is>
          <t>TSLA US 01/15/21 P171</t>
        </is>
      </c>
      <c r="C462" t="inlineStr">
        <is>
          <t>2021-01-15</t>
        </is>
      </c>
      <c r="D462" t="n">
        <v>171</v>
      </c>
      <c r="E462" t="inlineStr">
        <is>
          <t>BBG00R9BCWP5</t>
        </is>
      </c>
    </row>
    <row r="463">
      <c r="A463" t="inlineStr">
        <is>
          <t>BBG00RJNSNN3 Equity</t>
        </is>
      </c>
      <c r="B463" t="inlineStr">
        <is>
          <t>TSLA US 01/15/21 P172</t>
        </is>
      </c>
      <c r="C463" t="inlineStr">
        <is>
          <t>2021-01-15</t>
        </is>
      </c>
      <c r="D463" t="n">
        <v>172</v>
      </c>
      <c r="E463" t="inlineStr">
        <is>
          <t>BBG00RJNSNN3</t>
        </is>
      </c>
    </row>
    <row r="464">
      <c r="A464" t="inlineStr">
        <is>
          <t>BBG00RT65DV7 Equity</t>
        </is>
      </c>
      <c r="B464" t="inlineStr">
        <is>
          <t>TSLA US 01/15/21 P173</t>
        </is>
      </c>
      <c r="C464" t="inlineStr">
        <is>
          <t>2021-01-15</t>
        </is>
      </c>
      <c r="D464" t="n">
        <v>173</v>
      </c>
      <c r="E464" t="inlineStr">
        <is>
          <t>BBG00RT65DV7</t>
        </is>
      </c>
    </row>
    <row r="465">
      <c r="A465" t="inlineStr">
        <is>
          <t>BBG00RT65FZ8 Equity</t>
        </is>
      </c>
      <c r="B465" t="inlineStr">
        <is>
          <t>TSLA US 01/15/21 P174</t>
        </is>
      </c>
      <c r="C465" t="inlineStr">
        <is>
          <t>2021-01-15</t>
        </is>
      </c>
      <c r="D465" t="n">
        <v>174</v>
      </c>
      <c r="E465" t="inlineStr">
        <is>
          <t>BBG00RT65FZ8</t>
        </is>
      </c>
    </row>
    <row r="466">
      <c r="A466" t="inlineStr">
        <is>
          <t>BBG00RT65H20 Equity</t>
        </is>
      </c>
      <c r="B466" t="inlineStr">
        <is>
          <t>TSLA US 01/15/21 P175</t>
        </is>
      </c>
      <c r="C466" t="inlineStr">
        <is>
          <t>2021-01-15</t>
        </is>
      </c>
      <c r="D466" t="n">
        <v>175</v>
      </c>
      <c r="E466" t="inlineStr">
        <is>
          <t>BBG00RT65H20</t>
        </is>
      </c>
    </row>
    <row r="467">
      <c r="A467" t="inlineStr">
        <is>
          <t>BBG00RM3JDR1 Equity</t>
        </is>
      </c>
      <c r="B467" t="inlineStr">
        <is>
          <t>TSLA US 01/15/21 P176</t>
        </is>
      </c>
      <c r="C467" t="inlineStr">
        <is>
          <t>2021-01-15</t>
        </is>
      </c>
      <c r="D467" t="n">
        <v>176</v>
      </c>
      <c r="E467" t="inlineStr">
        <is>
          <t>BBG00RM3JDR1</t>
        </is>
      </c>
    </row>
    <row r="468">
      <c r="A468" t="inlineStr">
        <is>
          <t>BBG00RT65J53 Equity</t>
        </is>
      </c>
      <c r="B468" t="inlineStr">
        <is>
          <t>TSLA US 01/15/21 P177</t>
        </is>
      </c>
      <c r="C468" t="inlineStr">
        <is>
          <t>2021-01-15</t>
        </is>
      </c>
      <c r="D468" t="n">
        <v>177</v>
      </c>
      <c r="E468" t="inlineStr">
        <is>
          <t>BBG00RT65J53</t>
        </is>
      </c>
    </row>
    <row r="469">
      <c r="A469" t="inlineStr">
        <is>
          <t>BBG00RT65K96 Equity</t>
        </is>
      </c>
      <c r="B469" t="inlineStr">
        <is>
          <t>TSLA US 01/15/21 P178</t>
        </is>
      </c>
      <c r="C469" t="inlineStr">
        <is>
          <t>2021-01-15</t>
        </is>
      </c>
      <c r="D469" t="n">
        <v>178</v>
      </c>
      <c r="E469" t="inlineStr">
        <is>
          <t>BBG00RT65K96</t>
        </is>
      </c>
    </row>
    <row r="470">
      <c r="A470" t="inlineStr">
        <is>
          <t>BBG00RT65LD9 Equity</t>
        </is>
      </c>
      <c r="B470" t="inlineStr">
        <is>
          <t>TSLA US 01/15/21 P179</t>
        </is>
      </c>
      <c r="C470" t="inlineStr">
        <is>
          <t>2021-01-15</t>
        </is>
      </c>
      <c r="D470" t="n">
        <v>179</v>
      </c>
      <c r="E470" t="inlineStr">
        <is>
          <t>BBG00RT65LD9</t>
        </is>
      </c>
    </row>
    <row r="471">
      <c r="A471" t="inlineStr">
        <is>
          <t>BBG00R9JVTQ3 Equity</t>
        </is>
      </c>
      <c r="B471" t="inlineStr">
        <is>
          <t>TSLA US 01/15/21 P180</t>
        </is>
      </c>
      <c r="C471" t="inlineStr">
        <is>
          <t>2021-01-15</t>
        </is>
      </c>
      <c r="D471" t="n">
        <v>180</v>
      </c>
      <c r="E471" t="inlineStr">
        <is>
          <t>BBG00R9JVTQ3</t>
        </is>
      </c>
    </row>
    <row r="472">
      <c r="A472" t="inlineStr">
        <is>
          <t>BBG00R9JVVT5 Equity</t>
        </is>
      </c>
      <c r="B472" t="inlineStr">
        <is>
          <t>TSLA US 01/15/21 P181</t>
        </is>
      </c>
      <c r="C472" t="inlineStr">
        <is>
          <t>2021-01-15</t>
        </is>
      </c>
      <c r="D472" t="n">
        <v>181</v>
      </c>
      <c r="E472" t="inlineStr">
        <is>
          <t>BBG00R9JVVT5</t>
        </is>
      </c>
    </row>
    <row r="473">
      <c r="A473" t="inlineStr">
        <is>
          <t>BBG00RC1ZBB9 Equity</t>
        </is>
      </c>
      <c r="B473" t="inlineStr">
        <is>
          <t>TSLA US 01/15/21 P182</t>
        </is>
      </c>
      <c r="C473" t="inlineStr">
        <is>
          <t>2021-01-15</t>
        </is>
      </c>
      <c r="D473" t="n">
        <v>182</v>
      </c>
      <c r="E473" t="inlineStr">
        <is>
          <t>BBG00RC1ZBB9</t>
        </is>
      </c>
    </row>
    <row r="474">
      <c r="A474" t="inlineStr">
        <is>
          <t>BBG00RC1ZCF3 Equity</t>
        </is>
      </c>
      <c r="B474" t="inlineStr">
        <is>
          <t>TSLA US 01/15/21 P183</t>
        </is>
      </c>
      <c r="C474" t="inlineStr">
        <is>
          <t>2021-01-15</t>
        </is>
      </c>
      <c r="D474" t="n">
        <v>183</v>
      </c>
      <c r="E474" t="inlineStr">
        <is>
          <t>BBG00RC1ZCF3</t>
        </is>
      </c>
    </row>
    <row r="475">
      <c r="A475" t="inlineStr">
        <is>
          <t>BBG00RC1ZDK5 Equity</t>
        </is>
      </c>
      <c r="B475" t="inlineStr">
        <is>
          <t>TSLA US 01/15/21 P184</t>
        </is>
      </c>
      <c r="C475" t="inlineStr">
        <is>
          <t>2021-01-15</t>
        </is>
      </c>
      <c r="D475" t="n">
        <v>184</v>
      </c>
      <c r="E475" t="inlineStr">
        <is>
          <t>BBG00RC1ZDK5</t>
        </is>
      </c>
    </row>
    <row r="476">
      <c r="A476" t="inlineStr">
        <is>
          <t>BBG00RC1ZFN7 Equity</t>
        </is>
      </c>
      <c r="B476" t="inlineStr">
        <is>
          <t>TSLA US 01/15/21 P185</t>
        </is>
      </c>
      <c r="C476" t="inlineStr">
        <is>
          <t>2021-01-15</t>
        </is>
      </c>
      <c r="D476" t="n">
        <v>185</v>
      </c>
      <c r="E476" t="inlineStr">
        <is>
          <t>BBG00RC1ZFN7</t>
        </is>
      </c>
    </row>
    <row r="477">
      <c r="A477" t="inlineStr">
        <is>
          <t>BBG00RC1ZGR1 Equity</t>
        </is>
      </c>
      <c r="B477" t="inlineStr">
        <is>
          <t>TSLA US 01/15/21 P186</t>
        </is>
      </c>
      <c r="C477" t="inlineStr">
        <is>
          <t>2021-01-15</t>
        </is>
      </c>
      <c r="D477" t="n">
        <v>186</v>
      </c>
      <c r="E477" t="inlineStr">
        <is>
          <t>BBG00RC1ZGR1</t>
        </is>
      </c>
    </row>
    <row r="478">
      <c r="A478" t="inlineStr">
        <is>
          <t>BBG00RC1ZHW3 Equity</t>
        </is>
      </c>
      <c r="B478" t="inlineStr">
        <is>
          <t>TSLA US 01/15/21 P187</t>
        </is>
      </c>
      <c r="C478" t="inlineStr">
        <is>
          <t>2021-01-15</t>
        </is>
      </c>
      <c r="D478" t="n">
        <v>187</v>
      </c>
      <c r="E478" t="inlineStr">
        <is>
          <t>BBG00RC1ZHW3</t>
        </is>
      </c>
    </row>
    <row r="479">
      <c r="A479" t="inlineStr">
        <is>
          <t>BBG00RC1ZJZ6 Equity</t>
        </is>
      </c>
      <c r="B479" t="inlineStr">
        <is>
          <t>TSLA US 01/15/21 P188</t>
        </is>
      </c>
      <c r="C479" t="inlineStr">
        <is>
          <t>2021-01-15</t>
        </is>
      </c>
      <c r="D479" t="n">
        <v>188</v>
      </c>
      <c r="E479" t="inlineStr">
        <is>
          <t>BBG00RC1ZJZ6</t>
        </is>
      </c>
    </row>
    <row r="480">
      <c r="A480" t="inlineStr">
        <is>
          <t>BBG00RC1ZL27 Equity</t>
        </is>
      </c>
      <c r="B480" t="inlineStr">
        <is>
          <t>TSLA US 01/15/21 P189</t>
        </is>
      </c>
      <c r="C480" t="inlineStr">
        <is>
          <t>2021-01-15</t>
        </is>
      </c>
      <c r="D480" t="n">
        <v>189</v>
      </c>
      <c r="E480" t="inlineStr">
        <is>
          <t>BBG00RC1ZL27</t>
        </is>
      </c>
    </row>
    <row r="481">
      <c r="A481" t="inlineStr">
        <is>
          <t>BBG00RC1ZM61 Equity</t>
        </is>
      </c>
      <c r="B481" t="inlineStr">
        <is>
          <t>TSLA US 01/15/21 P190</t>
        </is>
      </c>
      <c r="C481" t="inlineStr">
        <is>
          <t>2021-01-15</t>
        </is>
      </c>
      <c r="D481" t="n">
        <v>190</v>
      </c>
      <c r="E481" t="inlineStr">
        <is>
          <t>BBG00RC1ZM61</t>
        </is>
      </c>
    </row>
    <row r="482">
      <c r="A482" t="inlineStr">
        <is>
          <t>BBG00RC1ZN96 Equity</t>
        </is>
      </c>
      <c r="B482" t="inlineStr">
        <is>
          <t>TSLA US 01/15/21 P191</t>
        </is>
      </c>
      <c r="C482" t="inlineStr">
        <is>
          <t>2021-01-15</t>
        </is>
      </c>
      <c r="D482" t="n">
        <v>191</v>
      </c>
      <c r="E482" t="inlineStr">
        <is>
          <t>BBG00RC1ZN96</t>
        </is>
      </c>
    </row>
    <row r="483">
      <c r="A483" t="inlineStr">
        <is>
          <t>BBG00RC1ZPD6 Equity</t>
        </is>
      </c>
      <c r="B483" t="inlineStr">
        <is>
          <t>TSLA US 01/15/21 P192</t>
        </is>
      </c>
      <c r="C483" t="inlineStr">
        <is>
          <t>2021-01-15</t>
        </is>
      </c>
      <c r="D483" t="n">
        <v>192</v>
      </c>
      <c r="E483" t="inlineStr">
        <is>
          <t>BBG00RC1ZPD6</t>
        </is>
      </c>
    </row>
    <row r="484">
      <c r="A484" t="inlineStr">
        <is>
          <t>BBG00RC1ZQJ8 Equity</t>
        </is>
      </c>
      <c r="B484" t="inlineStr">
        <is>
          <t>TSLA US 01/15/21 P193</t>
        </is>
      </c>
      <c r="C484" t="inlineStr">
        <is>
          <t>2021-01-15</t>
        </is>
      </c>
      <c r="D484" t="n">
        <v>193</v>
      </c>
      <c r="E484" t="inlineStr">
        <is>
          <t>BBG00RC1ZQJ8</t>
        </is>
      </c>
    </row>
    <row r="485">
      <c r="A485" t="inlineStr">
        <is>
          <t>BBG00RC1ZRM2 Equity</t>
        </is>
      </c>
      <c r="B485" t="inlineStr">
        <is>
          <t>TSLA US 01/15/21 P194</t>
        </is>
      </c>
      <c r="C485" t="inlineStr">
        <is>
          <t>2021-01-15</t>
        </is>
      </c>
      <c r="D485" t="n">
        <v>194</v>
      </c>
      <c r="E485" t="inlineStr">
        <is>
          <t>BBG00RC1ZRM2</t>
        </is>
      </c>
    </row>
    <row r="486">
      <c r="A486" t="inlineStr">
        <is>
          <t>BBG00YM13BM6 Equity</t>
        </is>
      </c>
      <c r="B486" t="inlineStr">
        <is>
          <t>TSLA US 02/19/21 P200</t>
        </is>
      </c>
      <c r="C486" t="inlineStr">
        <is>
          <t>2021-02-19</t>
        </is>
      </c>
      <c r="D486" t="n">
        <v>200</v>
      </c>
      <c r="E486" t="inlineStr">
        <is>
          <t>BBG00YM13BM6</t>
        </is>
      </c>
    </row>
    <row r="487">
      <c r="A487" t="inlineStr">
        <is>
          <t>BBG00YM13CQ0 Equity</t>
        </is>
      </c>
      <c r="B487" t="inlineStr">
        <is>
          <t>TSLA US 02/19/21 P210</t>
        </is>
      </c>
      <c r="C487" t="inlineStr">
        <is>
          <t>2021-02-19</t>
        </is>
      </c>
      <c r="D487" t="n">
        <v>210</v>
      </c>
      <c r="E487" t="inlineStr">
        <is>
          <t>BBG00YM13CQ0</t>
        </is>
      </c>
    </row>
    <row r="488">
      <c r="A488" t="inlineStr">
        <is>
          <t>BBG00YM13DV2 Equity</t>
        </is>
      </c>
      <c r="B488" t="inlineStr">
        <is>
          <t>TSLA US 02/19/21 P220</t>
        </is>
      </c>
      <c r="C488" t="inlineStr">
        <is>
          <t>2021-02-19</t>
        </is>
      </c>
      <c r="D488" t="n">
        <v>220</v>
      </c>
      <c r="E488" t="inlineStr">
        <is>
          <t>BBG00YM13DV2</t>
        </is>
      </c>
    </row>
    <row r="489">
      <c r="A489" t="inlineStr">
        <is>
          <t>BBG00YM13FY4 Equity</t>
        </is>
      </c>
      <c r="B489" t="inlineStr">
        <is>
          <t>TSLA US 02/19/21 P230</t>
        </is>
      </c>
      <c r="C489" t="inlineStr">
        <is>
          <t>2021-02-19</t>
        </is>
      </c>
      <c r="D489" t="n">
        <v>230</v>
      </c>
      <c r="E489" t="inlineStr">
        <is>
          <t>BBG00YM13FY4</t>
        </is>
      </c>
    </row>
    <row r="490">
      <c r="A490" t="inlineStr">
        <is>
          <t>BBG00XBC0X23 Equity</t>
        </is>
      </c>
      <c r="B490" t="inlineStr">
        <is>
          <t>TSLA US 02/19/21 P240</t>
        </is>
      </c>
      <c r="C490" t="inlineStr">
        <is>
          <t>2021-02-19</t>
        </is>
      </c>
      <c r="D490" t="n">
        <v>240</v>
      </c>
      <c r="E490" t="inlineStr">
        <is>
          <t>BBG00XBC0X23</t>
        </is>
      </c>
    </row>
    <row r="491">
      <c r="A491" t="inlineStr">
        <is>
          <t>BBG00XBC0Y58 Equity</t>
        </is>
      </c>
      <c r="B491" t="inlineStr">
        <is>
          <t>TSLA US 02/19/21 P250</t>
        </is>
      </c>
      <c r="C491" t="inlineStr">
        <is>
          <t>2021-02-19</t>
        </is>
      </c>
      <c r="D491" t="n">
        <v>250</v>
      </c>
      <c r="E491" t="inlineStr">
        <is>
          <t>BBG00XBC0Y58</t>
        </is>
      </c>
    </row>
    <row r="492">
      <c r="A492" t="inlineStr">
        <is>
          <t>BBG00XBC0Z82 Equity</t>
        </is>
      </c>
      <c r="B492" t="inlineStr">
        <is>
          <t>TSLA US 02/19/21 P260</t>
        </is>
      </c>
      <c r="C492" t="inlineStr">
        <is>
          <t>2021-02-19</t>
        </is>
      </c>
      <c r="D492" t="n">
        <v>260</v>
      </c>
      <c r="E492" t="inlineStr">
        <is>
          <t>BBG00XBC0Z82</t>
        </is>
      </c>
    </row>
    <row r="493">
      <c r="A493" t="inlineStr">
        <is>
          <t>BBG00XBC10D2 Equity</t>
        </is>
      </c>
      <c r="B493" t="inlineStr">
        <is>
          <t>TSLA US 02/19/21 P270</t>
        </is>
      </c>
      <c r="C493" t="inlineStr">
        <is>
          <t>2021-02-19</t>
        </is>
      </c>
      <c r="D493" t="n">
        <v>270</v>
      </c>
      <c r="E493" t="inlineStr">
        <is>
          <t>BBG00XBC10D2</t>
        </is>
      </c>
    </row>
    <row r="494">
      <c r="A494" t="inlineStr">
        <is>
          <t>BBG00WKWYSS7 Equity</t>
        </is>
      </c>
      <c r="B494" t="inlineStr">
        <is>
          <t>TSLA US 02/19/21 P272</t>
        </is>
      </c>
      <c r="C494" t="inlineStr">
        <is>
          <t>2021-02-19</t>
        </is>
      </c>
      <c r="D494" t="n">
        <v>272</v>
      </c>
      <c r="E494" t="inlineStr">
        <is>
          <t>BBG00WKWYSS7</t>
        </is>
      </c>
    </row>
    <row r="495">
      <c r="A495" t="inlineStr">
        <is>
          <t>BBG00WKWYTW0 Equity</t>
        </is>
      </c>
      <c r="B495" t="inlineStr">
        <is>
          <t>TSLA US 02/19/21 P273</t>
        </is>
      </c>
      <c r="C495" t="inlineStr">
        <is>
          <t>2021-02-19</t>
        </is>
      </c>
      <c r="D495" t="n">
        <v>273</v>
      </c>
      <c r="E495" t="inlineStr">
        <is>
          <t>BBG00WKWYTW0</t>
        </is>
      </c>
    </row>
    <row r="496">
      <c r="A496" t="inlineStr">
        <is>
          <t>BBG00WKWYW08 Equity</t>
        </is>
      </c>
      <c r="B496" t="inlineStr">
        <is>
          <t>TSLA US 02/19/21 P274</t>
        </is>
      </c>
      <c r="C496" t="inlineStr">
        <is>
          <t>2021-02-19</t>
        </is>
      </c>
      <c r="D496" t="n">
        <v>274</v>
      </c>
      <c r="E496" t="inlineStr">
        <is>
          <t>BBG00WKWYW08</t>
        </is>
      </c>
    </row>
    <row r="497">
      <c r="A497" t="inlineStr">
        <is>
          <t>BBG00WKWYX33 Equity</t>
        </is>
      </c>
      <c r="B497" t="inlineStr">
        <is>
          <t>TSLA US 02/19/21 P275</t>
        </is>
      </c>
      <c r="C497" t="inlineStr">
        <is>
          <t>2021-02-19</t>
        </is>
      </c>
      <c r="D497" t="n">
        <v>275</v>
      </c>
      <c r="E497" t="inlineStr">
        <is>
          <t>BBG00WKWYX33</t>
        </is>
      </c>
    </row>
    <row r="498">
      <c r="A498" t="inlineStr">
        <is>
          <t>BBG00WKWYY68 Equity</t>
        </is>
      </c>
      <c r="B498" t="inlineStr">
        <is>
          <t>TSLA US 02/19/21 P276</t>
        </is>
      </c>
      <c r="C498" t="inlineStr">
        <is>
          <t>2021-02-19</t>
        </is>
      </c>
      <c r="D498" t="n">
        <v>276</v>
      </c>
      <c r="E498" t="inlineStr">
        <is>
          <t>BBG00WKWYY68</t>
        </is>
      </c>
    </row>
    <row r="499">
      <c r="A499" t="inlineStr">
        <is>
          <t>BBG00WKWYZB9 Equity</t>
        </is>
      </c>
      <c r="B499" t="inlineStr">
        <is>
          <t>TSLA US 02/19/21 P277</t>
        </is>
      </c>
      <c r="C499" t="inlineStr">
        <is>
          <t>2021-02-19</t>
        </is>
      </c>
      <c r="D499" t="n">
        <v>277</v>
      </c>
      <c r="E499" t="inlineStr">
        <is>
          <t>BBG00WKWYZB9</t>
        </is>
      </c>
    </row>
    <row r="500">
      <c r="A500" t="inlineStr">
        <is>
          <t>BBG00WKWZ0F1 Equity</t>
        </is>
      </c>
      <c r="B500" t="inlineStr">
        <is>
          <t>TSLA US 02/19/21 P278</t>
        </is>
      </c>
      <c r="C500" t="inlineStr">
        <is>
          <t>2021-02-19</t>
        </is>
      </c>
      <c r="D500" t="n">
        <v>278</v>
      </c>
      <c r="E500" t="inlineStr">
        <is>
          <t>BBG00WKWZ0F1</t>
        </is>
      </c>
    </row>
    <row r="501">
      <c r="A501" t="inlineStr">
        <is>
          <t>BBG00WKWZ1J5 Equity</t>
        </is>
      </c>
      <c r="B501" t="inlineStr">
        <is>
          <t>TSLA US 02/19/21 P279</t>
        </is>
      </c>
      <c r="C501" t="inlineStr">
        <is>
          <t>2021-02-19</t>
        </is>
      </c>
      <c r="D501" t="n">
        <v>279</v>
      </c>
      <c r="E501" t="inlineStr">
        <is>
          <t>BBG00WKWZ1J5</t>
        </is>
      </c>
    </row>
    <row r="502">
      <c r="A502" t="inlineStr">
        <is>
          <t>BBG00WKWZ2N8 Equity</t>
        </is>
      </c>
      <c r="B502" t="inlineStr">
        <is>
          <t>TSLA US 02/19/21 P280</t>
        </is>
      </c>
      <c r="C502" t="inlineStr">
        <is>
          <t>2021-02-19</t>
        </is>
      </c>
      <c r="D502" t="n">
        <v>280</v>
      </c>
      <c r="E502" t="inlineStr">
        <is>
          <t>BBG00WKWZ2N8</t>
        </is>
      </c>
    </row>
    <row r="503">
      <c r="A503" t="inlineStr">
        <is>
          <t>BBG00WKWZ3R2 Equity</t>
        </is>
      </c>
      <c r="B503" t="inlineStr">
        <is>
          <t>TSLA US 02/19/21 P281</t>
        </is>
      </c>
      <c r="C503" t="inlineStr">
        <is>
          <t>2021-02-19</t>
        </is>
      </c>
      <c r="D503" t="n">
        <v>281</v>
      </c>
      <c r="E503" t="inlineStr">
        <is>
          <t>BBG00WKWZ3R2</t>
        </is>
      </c>
    </row>
    <row r="504">
      <c r="A504" t="inlineStr">
        <is>
          <t>BBG00WKWZ4V5 Equity</t>
        </is>
      </c>
      <c r="B504" t="inlineStr">
        <is>
          <t>TSLA US 02/19/21 P282</t>
        </is>
      </c>
      <c r="C504" t="inlineStr">
        <is>
          <t>2021-02-19</t>
        </is>
      </c>
      <c r="D504" t="n">
        <v>282</v>
      </c>
      <c r="E504" t="inlineStr">
        <is>
          <t>BBG00WKWZ4V5</t>
        </is>
      </c>
    </row>
    <row r="505">
      <c r="A505" t="inlineStr">
        <is>
          <t>BBG00WKWZ5Z8 Equity</t>
        </is>
      </c>
      <c r="B505" t="inlineStr">
        <is>
          <t>TSLA US 02/19/21 P283</t>
        </is>
      </c>
      <c r="C505" t="inlineStr">
        <is>
          <t>2021-02-19</t>
        </is>
      </c>
      <c r="D505" t="n">
        <v>283</v>
      </c>
      <c r="E505" t="inlineStr">
        <is>
          <t>BBG00WKWZ5Z8</t>
        </is>
      </c>
    </row>
    <row r="506">
      <c r="A506" t="inlineStr">
        <is>
          <t>BBG00WKWZ720 Equity</t>
        </is>
      </c>
      <c r="B506" t="inlineStr">
        <is>
          <t>TSLA US 02/19/21 P284</t>
        </is>
      </c>
      <c r="C506" t="inlineStr">
        <is>
          <t>2021-02-19</t>
        </is>
      </c>
      <c r="D506" t="n">
        <v>284</v>
      </c>
      <c r="E506" t="inlineStr">
        <is>
          <t>BBG00WKWZ720</t>
        </is>
      </c>
    </row>
    <row r="507">
      <c r="A507" t="inlineStr">
        <is>
          <t>BBG00WKWZ855 Equity</t>
        </is>
      </c>
      <c r="B507" t="inlineStr">
        <is>
          <t>TSLA US 02/19/21 P285</t>
        </is>
      </c>
      <c r="C507" t="inlineStr">
        <is>
          <t>2021-02-19</t>
        </is>
      </c>
      <c r="D507" t="n">
        <v>285</v>
      </c>
      <c r="E507" t="inlineStr">
        <is>
          <t>BBG00WKWZ855</t>
        </is>
      </c>
    </row>
    <row r="508">
      <c r="A508" t="inlineStr">
        <is>
          <t>BBG00WKWZ999 Equity</t>
        </is>
      </c>
      <c r="B508" t="inlineStr">
        <is>
          <t>TSLA US 02/19/21 P286</t>
        </is>
      </c>
      <c r="C508" t="inlineStr">
        <is>
          <t>2021-02-19</t>
        </is>
      </c>
      <c r="D508" t="n">
        <v>286</v>
      </c>
      <c r="E508" t="inlineStr">
        <is>
          <t>BBG00WKWZ999</t>
        </is>
      </c>
    </row>
    <row r="509">
      <c r="A509" t="inlineStr">
        <is>
          <t>BBG00WKWZBD9 Equity</t>
        </is>
      </c>
      <c r="B509" t="inlineStr">
        <is>
          <t>TSLA US 02/19/21 P287</t>
        </is>
      </c>
      <c r="C509" t="inlineStr">
        <is>
          <t>2021-02-19</t>
        </is>
      </c>
      <c r="D509" t="n">
        <v>287</v>
      </c>
      <c r="E509" t="inlineStr">
        <is>
          <t>BBG00WKWZBD9</t>
        </is>
      </c>
    </row>
    <row r="510">
      <c r="A510" t="inlineStr">
        <is>
          <t>BBG00WKWZCH3 Equity</t>
        </is>
      </c>
      <c r="B510" t="inlineStr">
        <is>
          <t>TSLA US 02/19/21 P288</t>
        </is>
      </c>
      <c r="C510" t="inlineStr">
        <is>
          <t>2021-02-19</t>
        </is>
      </c>
      <c r="D510" t="n">
        <v>288</v>
      </c>
      <c r="E510" t="inlineStr">
        <is>
          <t>BBG00WKWZCH3</t>
        </is>
      </c>
    </row>
    <row r="511">
      <c r="A511" t="inlineStr">
        <is>
          <t>BBG00WKWZDM5 Equity</t>
        </is>
      </c>
      <c r="B511" t="inlineStr">
        <is>
          <t>TSLA US 02/19/21 P289</t>
        </is>
      </c>
      <c r="C511" t="inlineStr">
        <is>
          <t>2021-02-19</t>
        </is>
      </c>
      <c r="D511" t="n">
        <v>289</v>
      </c>
      <c r="E511" t="inlineStr">
        <is>
          <t>BBG00WKWZDM5</t>
        </is>
      </c>
    </row>
    <row r="512">
      <c r="A512" t="inlineStr">
        <is>
          <t>BBG00WKWZFQ6 Equity</t>
        </is>
      </c>
      <c r="B512" t="inlineStr">
        <is>
          <t>TSLA US 02/19/21 P290</t>
        </is>
      </c>
      <c r="C512" t="inlineStr">
        <is>
          <t>2021-02-19</t>
        </is>
      </c>
      <c r="D512" t="n">
        <v>290</v>
      </c>
      <c r="E512" t="inlineStr">
        <is>
          <t>BBG00WKWZFQ6</t>
        </is>
      </c>
    </row>
    <row r="513">
      <c r="A513" t="inlineStr">
        <is>
          <t>BBG00WKWZGT1 Equity</t>
        </is>
      </c>
      <c r="B513" t="inlineStr">
        <is>
          <t>TSLA US 02/19/21 P291</t>
        </is>
      </c>
      <c r="C513" t="inlineStr">
        <is>
          <t>2021-02-19</t>
        </is>
      </c>
      <c r="D513" t="n">
        <v>291</v>
      </c>
      <c r="E513" t="inlineStr">
        <is>
          <t>BBG00WKWZGT1</t>
        </is>
      </c>
    </row>
    <row r="514">
      <c r="A514" t="inlineStr">
        <is>
          <t>BBG00WKWZHY3 Equity</t>
        </is>
      </c>
      <c r="B514" t="inlineStr">
        <is>
          <t>TSLA US 02/19/21 P292</t>
        </is>
      </c>
      <c r="C514" t="inlineStr">
        <is>
          <t>2021-02-19</t>
        </is>
      </c>
      <c r="D514" t="n">
        <v>292</v>
      </c>
      <c r="E514" t="inlineStr">
        <is>
          <t>BBG00WKWZHY3</t>
        </is>
      </c>
    </row>
    <row r="515">
      <c r="A515" t="inlineStr">
        <is>
          <t>BBG00WKF2JL6 Equity</t>
        </is>
      </c>
      <c r="B515" t="inlineStr">
        <is>
          <t>TSLA US 02/19/21 P293</t>
        </is>
      </c>
      <c r="C515" t="inlineStr">
        <is>
          <t>2021-02-19</t>
        </is>
      </c>
      <c r="D515" t="n">
        <v>293</v>
      </c>
      <c r="E515" t="inlineStr">
        <is>
          <t>BBG00WKF2JL6</t>
        </is>
      </c>
    </row>
    <row r="516">
      <c r="A516" t="inlineStr">
        <is>
          <t>BBG00WKF2KP9 Equity</t>
        </is>
      </c>
      <c r="B516" t="inlineStr">
        <is>
          <t>TSLA US 02/19/21 P294</t>
        </is>
      </c>
      <c r="C516" t="inlineStr">
        <is>
          <t>2021-02-19</t>
        </is>
      </c>
      <c r="D516" t="n">
        <v>294</v>
      </c>
      <c r="E516" t="inlineStr">
        <is>
          <t>BBG00WKF2KP9</t>
        </is>
      </c>
    </row>
    <row r="517">
      <c r="A517" t="inlineStr">
        <is>
          <t>BBG00WKF2LS4 Equity</t>
        </is>
      </c>
      <c r="B517" t="inlineStr">
        <is>
          <t>TSLA US 02/19/21 P295</t>
        </is>
      </c>
      <c r="C517" t="inlineStr">
        <is>
          <t>2021-02-19</t>
        </is>
      </c>
      <c r="D517" t="n">
        <v>295</v>
      </c>
      <c r="E517" t="inlineStr">
        <is>
          <t>BBG00WKF2LS4</t>
        </is>
      </c>
    </row>
    <row r="518">
      <c r="A518" t="inlineStr">
        <is>
          <t>BBG00WKF2N00 Equity</t>
        </is>
      </c>
      <c r="B518" t="inlineStr">
        <is>
          <t>TSLA US 02/19/21 P296</t>
        </is>
      </c>
      <c r="C518" t="inlineStr">
        <is>
          <t>2021-02-19</t>
        </is>
      </c>
      <c r="D518" t="n">
        <v>296</v>
      </c>
      <c r="E518" t="inlineStr">
        <is>
          <t>BBG00WKF2N00</t>
        </is>
      </c>
    </row>
    <row r="519">
      <c r="A519" t="inlineStr">
        <is>
          <t>BBG00WKF2P32 Equity</t>
        </is>
      </c>
      <c r="B519" t="inlineStr">
        <is>
          <t>TSLA US 02/19/21 P297</t>
        </is>
      </c>
      <c r="C519" t="inlineStr">
        <is>
          <t>2021-02-19</t>
        </is>
      </c>
      <c r="D519" t="n">
        <v>297</v>
      </c>
      <c r="E519" t="inlineStr">
        <is>
          <t>BBG00WKF2P32</t>
        </is>
      </c>
    </row>
    <row r="520">
      <c r="A520" t="inlineStr">
        <is>
          <t>BBG00WKF2Q67 Equity</t>
        </is>
      </c>
      <c r="B520" t="inlineStr">
        <is>
          <t>TSLA US 02/19/21 P298</t>
        </is>
      </c>
      <c r="C520" t="inlineStr">
        <is>
          <t>2021-02-19</t>
        </is>
      </c>
      <c r="D520" t="n">
        <v>298</v>
      </c>
      <c r="E520" t="inlineStr">
        <is>
          <t>BBG00WKF2Q67</t>
        </is>
      </c>
    </row>
    <row r="521">
      <c r="A521" t="inlineStr">
        <is>
          <t>BBG00WKF2RB9 Equity</t>
        </is>
      </c>
      <c r="B521" t="inlineStr">
        <is>
          <t>TSLA US 02/19/21 P299</t>
        </is>
      </c>
      <c r="C521" t="inlineStr">
        <is>
          <t>2021-02-19</t>
        </is>
      </c>
      <c r="D521" t="n">
        <v>299</v>
      </c>
      <c r="E521" t="inlineStr">
        <is>
          <t>BBG00WKF2RB9</t>
        </is>
      </c>
    </row>
    <row r="522">
      <c r="A522" t="inlineStr">
        <is>
          <t>BBG00WKF2SF3 Equity</t>
        </is>
      </c>
      <c r="B522" t="inlineStr">
        <is>
          <t>TSLA US 02/19/21 P300</t>
        </is>
      </c>
      <c r="C522" t="inlineStr">
        <is>
          <t>2021-02-19</t>
        </is>
      </c>
      <c r="D522" t="n">
        <v>300</v>
      </c>
      <c r="E522" t="inlineStr">
        <is>
          <t>BBG00WKF2SF3</t>
        </is>
      </c>
    </row>
    <row r="523">
      <c r="A523" t="inlineStr">
        <is>
          <t>BBG00WKF2TK5 Equity</t>
        </is>
      </c>
      <c r="B523" t="inlineStr">
        <is>
          <t>TSLA US 02/19/21 P301</t>
        </is>
      </c>
      <c r="C523" t="inlineStr">
        <is>
          <t>2021-02-19</t>
        </is>
      </c>
      <c r="D523" t="n">
        <v>301</v>
      </c>
      <c r="E523" t="inlineStr">
        <is>
          <t>BBG00WKF2TK5</t>
        </is>
      </c>
    </row>
    <row r="524">
      <c r="A524" t="inlineStr">
        <is>
          <t>BBG00WKF2VN7 Equity</t>
        </is>
      </c>
      <c r="B524" t="inlineStr">
        <is>
          <t>TSLA US 02/19/21 P302</t>
        </is>
      </c>
      <c r="C524" t="inlineStr">
        <is>
          <t>2021-02-19</t>
        </is>
      </c>
      <c r="D524" t="n">
        <v>302</v>
      </c>
      <c r="E524" t="inlineStr">
        <is>
          <t>BBG00WKF2VN7</t>
        </is>
      </c>
    </row>
    <row r="525">
      <c r="A525" t="inlineStr">
        <is>
          <t>BBG00WKF2WR1 Equity</t>
        </is>
      </c>
      <c r="B525" t="inlineStr">
        <is>
          <t>TSLA US 02/19/21 P303</t>
        </is>
      </c>
      <c r="C525" t="inlineStr">
        <is>
          <t>2021-02-19</t>
        </is>
      </c>
      <c r="D525" t="n">
        <v>303</v>
      </c>
      <c r="E525" t="inlineStr">
        <is>
          <t>BBG00WKF2WR1</t>
        </is>
      </c>
    </row>
    <row r="526">
      <c r="A526" t="inlineStr">
        <is>
          <t>BBG00WKWZK12 Equity</t>
        </is>
      </c>
      <c r="B526" t="inlineStr">
        <is>
          <t>TSLA US 02/19/21 P304</t>
        </is>
      </c>
      <c r="C526" t="inlineStr">
        <is>
          <t>2021-02-19</t>
        </is>
      </c>
      <c r="D526" t="n">
        <v>304</v>
      </c>
      <c r="E526" t="inlineStr">
        <is>
          <t>BBG00WKWZK12</t>
        </is>
      </c>
    </row>
    <row r="527">
      <c r="A527" t="inlineStr">
        <is>
          <t>BBG00WKWZL47 Equity</t>
        </is>
      </c>
      <c r="B527" t="inlineStr">
        <is>
          <t>TSLA US 02/19/21 P305</t>
        </is>
      </c>
      <c r="C527" t="inlineStr">
        <is>
          <t>2021-02-19</t>
        </is>
      </c>
      <c r="D527" t="n">
        <v>305</v>
      </c>
      <c r="E527" t="inlineStr">
        <is>
          <t>BBG00WKWZL47</t>
        </is>
      </c>
    </row>
    <row r="528">
      <c r="A528" t="inlineStr">
        <is>
          <t>BBG00QQCGWS9 Equity</t>
        </is>
      </c>
      <c r="B528" t="inlineStr">
        <is>
          <t>TSLA US 03/19/21 P120</t>
        </is>
      </c>
      <c r="C528" t="inlineStr">
        <is>
          <t>2021-03-19</t>
        </is>
      </c>
      <c r="D528" t="n">
        <v>120</v>
      </c>
      <c r="E528" t="inlineStr">
        <is>
          <t>BBG00QQCGWS9</t>
        </is>
      </c>
    </row>
    <row r="529">
      <c r="A529" t="inlineStr">
        <is>
          <t>BBG00QQCGXW2 Equity</t>
        </is>
      </c>
      <c r="B529" t="inlineStr">
        <is>
          <t>TSLA US 03/19/21 P122</t>
        </is>
      </c>
      <c r="C529" t="inlineStr">
        <is>
          <t>2021-03-19</t>
        </is>
      </c>
      <c r="D529" t="n">
        <v>122</v>
      </c>
      <c r="E529" t="inlineStr">
        <is>
          <t>BBG00QQCGXW2</t>
        </is>
      </c>
    </row>
    <row r="530">
      <c r="A530" t="inlineStr">
        <is>
          <t>BBG00QQCGZ02 Equity</t>
        </is>
      </c>
      <c r="B530" t="inlineStr">
        <is>
          <t>TSLA US 03/19/21 P124</t>
        </is>
      </c>
      <c r="C530" t="inlineStr">
        <is>
          <t>2021-03-19</t>
        </is>
      </c>
      <c r="D530" t="n">
        <v>124</v>
      </c>
      <c r="E530" t="inlineStr">
        <is>
          <t>BBG00QQCGZ02</t>
        </is>
      </c>
    </row>
    <row r="531">
      <c r="A531" t="inlineStr">
        <is>
          <t>BBG00QQCH035 Equity</t>
        </is>
      </c>
      <c r="B531" t="inlineStr">
        <is>
          <t>TSLA US 03/19/21 P126</t>
        </is>
      </c>
      <c r="C531" t="inlineStr">
        <is>
          <t>2021-03-19</t>
        </is>
      </c>
      <c r="D531" t="n">
        <v>126</v>
      </c>
      <c r="E531" t="inlineStr">
        <is>
          <t>BBG00QQCH035</t>
        </is>
      </c>
    </row>
    <row r="532">
      <c r="A532" t="inlineStr">
        <is>
          <t>BBG00QQCH160 Equity</t>
        </is>
      </c>
      <c r="B532" t="inlineStr">
        <is>
          <t>TSLA US 03/19/21 P128</t>
        </is>
      </c>
      <c r="C532" t="inlineStr">
        <is>
          <t>2021-03-19</t>
        </is>
      </c>
      <c r="D532" t="n">
        <v>128</v>
      </c>
      <c r="E532" t="inlineStr">
        <is>
          <t>BBG00QQCH160</t>
        </is>
      </c>
    </row>
    <row r="533">
      <c r="A533" t="inlineStr">
        <is>
          <t>BBG00R81M745 Equity</t>
        </is>
      </c>
      <c r="B533" t="inlineStr">
        <is>
          <t>TSLA US 03/19/21 P130</t>
        </is>
      </c>
      <c r="C533" t="inlineStr">
        <is>
          <t>2021-03-19</t>
        </is>
      </c>
      <c r="D533" t="n">
        <v>130</v>
      </c>
      <c r="E533" t="inlineStr">
        <is>
          <t>BBG00R81M745</t>
        </is>
      </c>
    </row>
    <row r="534">
      <c r="A534" t="inlineStr">
        <is>
          <t>BBG00R81M870 Equity</t>
        </is>
      </c>
      <c r="B534" t="inlineStr">
        <is>
          <t>TSLA US 03/19/21 P132</t>
        </is>
      </c>
      <c r="C534" t="inlineStr">
        <is>
          <t>2021-03-19</t>
        </is>
      </c>
      <c r="D534" t="n">
        <v>132</v>
      </c>
      <c r="E534" t="inlineStr">
        <is>
          <t>BBG00R81M870</t>
        </is>
      </c>
    </row>
    <row r="535">
      <c r="A535" t="inlineStr">
        <is>
          <t>BBG00R81M9C2 Equity</t>
        </is>
      </c>
      <c r="B535" t="inlineStr">
        <is>
          <t>TSLA US 03/19/21 P134</t>
        </is>
      </c>
      <c r="C535" t="inlineStr">
        <is>
          <t>2021-03-19</t>
        </is>
      </c>
      <c r="D535" t="n">
        <v>134</v>
      </c>
      <c r="E535" t="inlineStr">
        <is>
          <t>BBG00R81M9C2</t>
        </is>
      </c>
    </row>
    <row r="536">
      <c r="A536" t="inlineStr">
        <is>
          <t>BBG00R81MBG3 Equity</t>
        </is>
      </c>
      <c r="B536" t="inlineStr">
        <is>
          <t>TSLA US 03/19/21 P136</t>
        </is>
      </c>
      <c r="C536" t="inlineStr">
        <is>
          <t>2021-03-19</t>
        </is>
      </c>
      <c r="D536" t="n">
        <v>136</v>
      </c>
      <c r="E536" t="inlineStr">
        <is>
          <t>BBG00R81MBG3</t>
        </is>
      </c>
    </row>
    <row r="537">
      <c r="A537" t="inlineStr">
        <is>
          <t>BBG00R81MCL5 Equity</t>
        </is>
      </c>
      <c r="B537" t="inlineStr">
        <is>
          <t>TSLA US 03/19/21 P138</t>
        </is>
      </c>
      <c r="C537" t="inlineStr">
        <is>
          <t>2021-03-19</t>
        </is>
      </c>
      <c r="D537" t="n">
        <v>138</v>
      </c>
      <c r="E537" t="inlineStr">
        <is>
          <t>BBG00R81MCL5</t>
        </is>
      </c>
    </row>
    <row r="538">
      <c r="A538" t="inlineStr">
        <is>
          <t>BBG00R81MDP9 Equity</t>
        </is>
      </c>
      <c r="B538" t="inlineStr">
        <is>
          <t>TSLA US 03/19/21 P140</t>
        </is>
      </c>
      <c r="C538" t="inlineStr">
        <is>
          <t>2021-03-19</t>
        </is>
      </c>
      <c r="D538" t="n">
        <v>140</v>
      </c>
      <c r="E538" t="inlineStr">
        <is>
          <t>BBG00R81MDP9</t>
        </is>
      </c>
    </row>
    <row r="539">
      <c r="A539" t="inlineStr">
        <is>
          <t>BBG00RT65MH3 Equity</t>
        </is>
      </c>
      <c r="B539" t="inlineStr">
        <is>
          <t>TSLA US 03/19/21 P141</t>
        </is>
      </c>
      <c r="C539" t="inlineStr">
        <is>
          <t>2021-03-19</t>
        </is>
      </c>
      <c r="D539" t="n">
        <v>141</v>
      </c>
      <c r="E539" t="inlineStr">
        <is>
          <t>BBG00RT65MH3</t>
        </is>
      </c>
    </row>
    <row r="540">
      <c r="A540" t="inlineStr">
        <is>
          <t>BBG00R81MFS1 Equity</t>
        </is>
      </c>
      <c r="B540" t="inlineStr">
        <is>
          <t>TSLA US 03/19/21 P142</t>
        </is>
      </c>
      <c r="C540" t="inlineStr">
        <is>
          <t>2021-03-19</t>
        </is>
      </c>
      <c r="D540" t="n">
        <v>142</v>
      </c>
      <c r="E540" t="inlineStr">
        <is>
          <t>BBG00R81MFS1</t>
        </is>
      </c>
    </row>
    <row r="541">
      <c r="A541" t="inlineStr">
        <is>
          <t>BBG00RT65NM5 Equity</t>
        </is>
      </c>
      <c r="B541" t="inlineStr">
        <is>
          <t>TSLA US 03/19/21 P143</t>
        </is>
      </c>
      <c r="C541" t="inlineStr">
        <is>
          <t>2021-03-19</t>
        </is>
      </c>
      <c r="D541" t="n">
        <v>143</v>
      </c>
      <c r="E541" t="inlineStr">
        <is>
          <t>BBG00RT65NM5</t>
        </is>
      </c>
    </row>
    <row r="542">
      <c r="A542" t="inlineStr">
        <is>
          <t>BBG00R81MGX3 Equity</t>
        </is>
      </c>
      <c r="B542" t="inlineStr">
        <is>
          <t>TSLA US 03/19/21 P144</t>
        </is>
      </c>
      <c r="C542" t="inlineStr">
        <is>
          <t>2021-03-19</t>
        </is>
      </c>
      <c r="D542" t="n">
        <v>144</v>
      </c>
      <c r="E542" t="inlineStr">
        <is>
          <t>BBG00R81MGX3</t>
        </is>
      </c>
    </row>
    <row r="543">
      <c r="A543" t="inlineStr">
        <is>
          <t>BBG00RT65PQ6 Equity</t>
        </is>
      </c>
      <c r="B543" t="inlineStr">
        <is>
          <t>TSLA US 03/19/21 P145</t>
        </is>
      </c>
      <c r="C543" t="inlineStr">
        <is>
          <t>2021-03-19</t>
        </is>
      </c>
      <c r="D543" t="n">
        <v>145</v>
      </c>
      <c r="E543" t="inlineStr">
        <is>
          <t>BBG00RT65PQ6</t>
        </is>
      </c>
    </row>
    <row r="544">
      <c r="A544" t="inlineStr">
        <is>
          <t>BBG00R81MJ03 Equity</t>
        </is>
      </c>
      <c r="B544" t="inlineStr">
        <is>
          <t>TSLA US 03/19/21 P146</t>
        </is>
      </c>
      <c r="C544" t="inlineStr">
        <is>
          <t>2021-03-19</t>
        </is>
      </c>
      <c r="D544" t="n">
        <v>146</v>
      </c>
      <c r="E544" t="inlineStr">
        <is>
          <t>BBG00R81MJ03</t>
        </is>
      </c>
    </row>
    <row r="545">
      <c r="A545" t="inlineStr">
        <is>
          <t>BBG00RT65QT1 Equity</t>
        </is>
      </c>
      <c r="B545" t="inlineStr">
        <is>
          <t>TSLA US 03/19/21 P147</t>
        </is>
      </c>
      <c r="C545" t="inlineStr">
        <is>
          <t>2021-03-19</t>
        </is>
      </c>
      <c r="D545" t="n">
        <v>147</v>
      </c>
      <c r="E545" t="inlineStr">
        <is>
          <t>BBG00RT65QT1</t>
        </is>
      </c>
    </row>
    <row r="546">
      <c r="A546" t="inlineStr">
        <is>
          <t>BBG00R81MK37 Equity</t>
        </is>
      </c>
      <c r="B546" t="inlineStr">
        <is>
          <t>TSLA US 03/19/21 P148</t>
        </is>
      </c>
      <c r="C546" t="inlineStr">
        <is>
          <t>2021-03-19</t>
        </is>
      </c>
      <c r="D546" t="n">
        <v>148</v>
      </c>
      <c r="E546" t="inlineStr">
        <is>
          <t>BBG00R81MK37</t>
        </is>
      </c>
    </row>
    <row r="547">
      <c r="A547" t="inlineStr">
        <is>
          <t>BBG00RT65RY3 Equity</t>
        </is>
      </c>
      <c r="B547" t="inlineStr">
        <is>
          <t>TSLA US 03/19/21 P149</t>
        </is>
      </c>
      <c r="C547" t="inlineStr">
        <is>
          <t>2021-03-19</t>
        </is>
      </c>
      <c r="D547" t="n">
        <v>149</v>
      </c>
      <c r="E547" t="inlineStr">
        <is>
          <t>BBG00RT65RY3</t>
        </is>
      </c>
    </row>
    <row r="548">
      <c r="A548" t="inlineStr">
        <is>
          <t>BBG00R81ML71 Equity</t>
        </is>
      </c>
      <c r="B548" t="inlineStr">
        <is>
          <t>TSLA US 03/19/21 P150</t>
        </is>
      </c>
      <c r="C548" t="inlineStr">
        <is>
          <t>2021-03-19</t>
        </is>
      </c>
      <c r="D548" t="n">
        <v>150</v>
      </c>
      <c r="E548" t="inlineStr">
        <is>
          <t>BBG00R81ML71</t>
        </is>
      </c>
    </row>
    <row r="549">
      <c r="A549" t="inlineStr">
        <is>
          <t>BBG00RT65T15 Equity</t>
        </is>
      </c>
      <c r="B549" t="inlineStr">
        <is>
          <t>TSLA US 03/19/21 P151</t>
        </is>
      </c>
      <c r="C549" t="inlineStr">
        <is>
          <t>2021-03-19</t>
        </is>
      </c>
      <c r="D549" t="n">
        <v>151</v>
      </c>
      <c r="E549" t="inlineStr">
        <is>
          <t>BBG00RT65T15</t>
        </is>
      </c>
    </row>
    <row r="550">
      <c r="A550" t="inlineStr">
        <is>
          <t>BBG00R81MMB4 Equity</t>
        </is>
      </c>
      <c r="B550" t="inlineStr">
        <is>
          <t>TSLA US 03/19/21 P152</t>
        </is>
      </c>
      <c r="C550" t="inlineStr">
        <is>
          <t>2021-03-19</t>
        </is>
      </c>
      <c r="D550" t="n">
        <v>152</v>
      </c>
      <c r="E550" t="inlineStr">
        <is>
          <t>BBG00R81MMB4</t>
        </is>
      </c>
    </row>
    <row r="551">
      <c r="A551" t="inlineStr">
        <is>
          <t>BBG00RT65V47 Equity</t>
        </is>
      </c>
      <c r="B551" t="inlineStr">
        <is>
          <t>TSLA US 03/19/21 P153</t>
        </is>
      </c>
      <c r="C551" t="inlineStr">
        <is>
          <t>2021-03-19</t>
        </is>
      </c>
      <c r="D551" t="n">
        <v>153</v>
      </c>
      <c r="E551" t="inlineStr">
        <is>
          <t>BBG00RT65V47</t>
        </is>
      </c>
    </row>
    <row r="552">
      <c r="A552" t="inlineStr">
        <is>
          <t>BBG00R81MNF8 Equity</t>
        </is>
      </c>
      <c r="B552" t="inlineStr">
        <is>
          <t>TSLA US 03/19/21 P154</t>
        </is>
      </c>
      <c r="C552" t="inlineStr">
        <is>
          <t>2021-03-19</t>
        </is>
      </c>
      <c r="D552" t="n">
        <v>154</v>
      </c>
      <c r="E552" t="inlineStr">
        <is>
          <t>BBG00R81MNF8</t>
        </is>
      </c>
    </row>
    <row r="553">
      <c r="A553" t="inlineStr">
        <is>
          <t>BBG00RT65WB7 Equity</t>
        </is>
      </c>
      <c r="B553" t="inlineStr">
        <is>
          <t>TSLA US 03/19/21 P155</t>
        </is>
      </c>
      <c r="C553" t="inlineStr">
        <is>
          <t>2021-03-19</t>
        </is>
      </c>
      <c r="D553" t="n">
        <v>155</v>
      </c>
      <c r="E553" t="inlineStr">
        <is>
          <t>BBG00RT65WB7</t>
        </is>
      </c>
    </row>
    <row r="554">
      <c r="A554" t="inlineStr">
        <is>
          <t>BBG00R81MPK7 Equity</t>
        </is>
      </c>
      <c r="B554" t="inlineStr">
        <is>
          <t>TSLA US 03/19/21 P156</t>
        </is>
      </c>
      <c r="C554" t="inlineStr">
        <is>
          <t>2021-03-19</t>
        </is>
      </c>
      <c r="D554" t="n">
        <v>156</v>
      </c>
      <c r="E554" t="inlineStr">
        <is>
          <t>BBG00R81MPK7</t>
        </is>
      </c>
    </row>
    <row r="555">
      <c r="A555" t="inlineStr">
        <is>
          <t>BBG00RT65XF1 Equity</t>
        </is>
      </c>
      <c r="B555" t="inlineStr">
        <is>
          <t>TSLA US 03/19/21 P157</t>
        </is>
      </c>
      <c r="C555" t="inlineStr">
        <is>
          <t>2021-03-19</t>
        </is>
      </c>
      <c r="D555" t="n">
        <v>157</v>
      </c>
      <c r="E555" t="inlineStr">
        <is>
          <t>BBG00RT65XF1</t>
        </is>
      </c>
    </row>
    <row r="556">
      <c r="A556" t="inlineStr">
        <is>
          <t>BBG00R81MQN2 Equity</t>
        </is>
      </c>
      <c r="B556" t="inlineStr">
        <is>
          <t>TSLA US 03/19/21 P158</t>
        </is>
      </c>
      <c r="C556" t="inlineStr">
        <is>
          <t>2021-03-19</t>
        </is>
      </c>
      <c r="D556" t="n">
        <v>158</v>
      </c>
      <c r="E556" t="inlineStr">
        <is>
          <t>BBG00R81MQN2</t>
        </is>
      </c>
    </row>
    <row r="557">
      <c r="A557" t="inlineStr">
        <is>
          <t>BBG00RT65YJ5 Equity</t>
        </is>
      </c>
      <c r="B557" t="inlineStr">
        <is>
          <t>TSLA US 03/19/21 P159</t>
        </is>
      </c>
      <c r="C557" t="inlineStr">
        <is>
          <t>2021-03-19</t>
        </is>
      </c>
      <c r="D557" t="n">
        <v>159</v>
      </c>
      <c r="E557" t="inlineStr">
        <is>
          <t>BBG00RT65YJ5</t>
        </is>
      </c>
    </row>
    <row r="558">
      <c r="A558" t="inlineStr">
        <is>
          <t>BBG00R81MRR6 Equity</t>
        </is>
      </c>
      <c r="B558" t="inlineStr">
        <is>
          <t>TSLA US 03/19/21 P160</t>
        </is>
      </c>
      <c r="C558" t="inlineStr">
        <is>
          <t>2021-03-19</t>
        </is>
      </c>
      <c r="D558" t="n">
        <v>160</v>
      </c>
      <c r="E558" t="inlineStr">
        <is>
          <t>BBG00R81MRR6</t>
        </is>
      </c>
    </row>
    <row r="559">
      <c r="A559" t="inlineStr">
        <is>
          <t>BBG00RT65ZN7 Equity</t>
        </is>
      </c>
      <c r="B559" t="inlineStr">
        <is>
          <t>TSLA US 03/19/21 P161</t>
        </is>
      </c>
      <c r="C559" t="inlineStr">
        <is>
          <t>2021-03-19</t>
        </is>
      </c>
      <c r="D559" t="n">
        <v>161</v>
      </c>
      <c r="E559" t="inlineStr">
        <is>
          <t>BBG00RT65ZN7</t>
        </is>
      </c>
    </row>
    <row r="560">
      <c r="A560" t="inlineStr">
        <is>
          <t>BBG00R81MSW8 Equity</t>
        </is>
      </c>
      <c r="B560" t="inlineStr">
        <is>
          <t>TSLA US 03/19/21 P162</t>
        </is>
      </c>
      <c r="C560" t="inlineStr">
        <is>
          <t>2021-03-19</t>
        </is>
      </c>
      <c r="D560" t="n">
        <v>162</v>
      </c>
      <c r="E560" t="inlineStr">
        <is>
          <t>BBG00R81MSW8</t>
        </is>
      </c>
    </row>
    <row r="561">
      <c r="A561" t="inlineStr">
        <is>
          <t>BBG00RT660R9 Equity</t>
        </is>
      </c>
      <c r="B561" t="inlineStr">
        <is>
          <t>TSLA US 03/19/21 P163</t>
        </is>
      </c>
      <c r="C561" t="inlineStr">
        <is>
          <t>2021-03-19</t>
        </is>
      </c>
      <c r="D561" t="n">
        <v>163</v>
      </c>
      <c r="E561" t="inlineStr">
        <is>
          <t>BBG00RT660R9</t>
        </is>
      </c>
    </row>
    <row r="562">
      <c r="A562" t="inlineStr">
        <is>
          <t>BBG00R81MTZ3 Equity</t>
        </is>
      </c>
      <c r="B562" t="inlineStr">
        <is>
          <t>TSLA US 03/19/21 P164</t>
        </is>
      </c>
      <c r="C562" t="inlineStr">
        <is>
          <t>2021-03-19</t>
        </is>
      </c>
      <c r="D562" t="n">
        <v>164</v>
      </c>
      <c r="E562" t="inlineStr">
        <is>
          <t>BBG00R81MTZ3</t>
        </is>
      </c>
    </row>
    <row r="563">
      <c r="A563" t="inlineStr">
        <is>
          <t>BBG00RT661V2 Equity</t>
        </is>
      </c>
      <c r="B563" t="inlineStr">
        <is>
          <t>TSLA US 03/19/21 P165</t>
        </is>
      </c>
      <c r="C563" t="inlineStr">
        <is>
          <t>2021-03-19</t>
        </is>
      </c>
      <c r="D563" t="n">
        <v>165</v>
      </c>
      <c r="E563" t="inlineStr">
        <is>
          <t>BBG00RT661V2</t>
        </is>
      </c>
    </row>
    <row r="564">
      <c r="A564" t="inlineStr">
        <is>
          <t>BBG00R81MW22 Equity</t>
        </is>
      </c>
      <c r="B564" t="inlineStr">
        <is>
          <t>TSLA US 03/19/21 P166</t>
        </is>
      </c>
      <c r="C564" t="inlineStr">
        <is>
          <t>2021-03-19</t>
        </is>
      </c>
      <c r="D564" t="n">
        <v>166</v>
      </c>
      <c r="E564" t="inlineStr">
        <is>
          <t>BBG00R81MW22</t>
        </is>
      </c>
    </row>
    <row r="565">
      <c r="A565" t="inlineStr">
        <is>
          <t>BBG00RT662Z6 Equity</t>
        </is>
      </c>
      <c r="B565" t="inlineStr">
        <is>
          <t>TSLA US 03/19/21 P167</t>
        </is>
      </c>
      <c r="C565" t="inlineStr">
        <is>
          <t>2021-03-19</t>
        </is>
      </c>
      <c r="D565" t="n">
        <v>167</v>
      </c>
      <c r="E565" t="inlineStr">
        <is>
          <t>BBG00RT662Z6</t>
        </is>
      </c>
    </row>
    <row r="566">
      <c r="A566" t="inlineStr">
        <is>
          <t>BBG00R81MX66 Equity</t>
        </is>
      </c>
      <c r="B566" t="inlineStr">
        <is>
          <t>TSLA US 03/19/21 P168</t>
        </is>
      </c>
      <c r="C566" t="inlineStr">
        <is>
          <t>2021-03-19</t>
        </is>
      </c>
      <c r="D566" t="n">
        <v>168</v>
      </c>
      <c r="E566" t="inlineStr">
        <is>
          <t>BBG00R81MX66</t>
        </is>
      </c>
    </row>
    <row r="567">
      <c r="A567" t="inlineStr">
        <is>
          <t>BBG00RT66428 Equity</t>
        </is>
      </c>
      <c r="B567" t="inlineStr">
        <is>
          <t>TSLA US 03/19/21 P169</t>
        </is>
      </c>
      <c r="C567" t="inlineStr">
        <is>
          <t>2021-03-19</t>
        </is>
      </c>
      <c r="D567" t="n">
        <v>169</v>
      </c>
      <c r="E567" t="inlineStr">
        <is>
          <t>BBG00RT66428</t>
        </is>
      </c>
    </row>
    <row r="568">
      <c r="A568" t="inlineStr">
        <is>
          <t>BBG00R81MY91 Equity</t>
        </is>
      </c>
      <c r="B568" t="inlineStr">
        <is>
          <t>TSLA US 03/19/21 P170</t>
        </is>
      </c>
      <c r="C568" t="inlineStr">
        <is>
          <t>2021-03-19</t>
        </is>
      </c>
      <c r="D568" t="n">
        <v>170</v>
      </c>
      <c r="E568" t="inlineStr">
        <is>
          <t>BBG00R81MY91</t>
        </is>
      </c>
    </row>
    <row r="569">
      <c r="A569" t="inlineStr">
        <is>
          <t>BBG00RT66552 Equity</t>
        </is>
      </c>
      <c r="B569" t="inlineStr">
        <is>
          <t>TSLA US 03/19/21 P171</t>
        </is>
      </c>
      <c r="C569" t="inlineStr">
        <is>
          <t>2021-03-19</t>
        </is>
      </c>
      <c r="D569" t="n">
        <v>171</v>
      </c>
      <c r="E569" t="inlineStr">
        <is>
          <t>BBG00RT66552</t>
        </is>
      </c>
    </row>
    <row r="570">
      <c r="A570" t="inlineStr">
        <is>
          <t>BBG00R9XTT85 Equity</t>
        </is>
      </c>
      <c r="B570" t="inlineStr">
        <is>
          <t>TSLA US 03/19/21 P172</t>
        </is>
      </c>
      <c r="C570" t="inlineStr">
        <is>
          <t>2021-03-19</t>
        </is>
      </c>
      <c r="D570" t="n">
        <v>172</v>
      </c>
      <c r="E570" t="inlineStr">
        <is>
          <t>BBG00R9XTT85</t>
        </is>
      </c>
    </row>
    <row r="571">
      <c r="A571" t="inlineStr">
        <is>
          <t>BBG00RT66696 Equity</t>
        </is>
      </c>
      <c r="B571" t="inlineStr">
        <is>
          <t>TSLA US 03/19/21 P173</t>
        </is>
      </c>
      <c r="C571" t="inlineStr">
        <is>
          <t>2021-03-19</t>
        </is>
      </c>
      <c r="D571" t="n">
        <v>173</v>
      </c>
      <c r="E571" t="inlineStr">
        <is>
          <t>BBG00RT66696</t>
        </is>
      </c>
    </row>
    <row r="572">
      <c r="A572" t="inlineStr">
        <is>
          <t>BBG00R9XTVD4 Equity</t>
        </is>
      </c>
      <c r="B572" t="inlineStr">
        <is>
          <t>TSLA US 03/19/21 P174</t>
        </is>
      </c>
      <c r="C572" t="inlineStr">
        <is>
          <t>2021-03-19</t>
        </is>
      </c>
      <c r="D572" t="n">
        <v>174</v>
      </c>
      <c r="E572" t="inlineStr">
        <is>
          <t>BBG00R9XTVD4</t>
        </is>
      </c>
    </row>
    <row r="573">
      <c r="A573" t="inlineStr">
        <is>
          <t>BBG00RT667D9 Equity</t>
        </is>
      </c>
      <c r="B573" t="inlineStr">
        <is>
          <t>TSLA US 03/19/21 P175</t>
        </is>
      </c>
      <c r="C573" t="inlineStr">
        <is>
          <t>2021-03-19</t>
        </is>
      </c>
      <c r="D573" t="n">
        <v>175</v>
      </c>
      <c r="E573" t="inlineStr">
        <is>
          <t>BBG00RT667D9</t>
        </is>
      </c>
    </row>
    <row r="574">
      <c r="A574" t="inlineStr">
        <is>
          <t>BBG00R9XTWH8 Equity</t>
        </is>
      </c>
      <c r="B574" t="inlineStr">
        <is>
          <t>TSLA US 03/19/21 P176</t>
        </is>
      </c>
      <c r="C574" t="inlineStr">
        <is>
          <t>2021-03-19</t>
        </is>
      </c>
      <c r="D574" t="n">
        <v>176</v>
      </c>
      <c r="E574" t="inlineStr">
        <is>
          <t>BBG00R9XTWH8</t>
        </is>
      </c>
    </row>
    <row r="575">
      <c r="A575" t="inlineStr">
        <is>
          <t>BBG00RT668H3 Equity</t>
        </is>
      </c>
      <c r="B575" t="inlineStr">
        <is>
          <t>TSLA US 03/19/21 P177</t>
        </is>
      </c>
      <c r="C575" t="inlineStr">
        <is>
          <t>2021-03-19</t>
        </is>
      </c>
      <c r="D575" t="n">
        <v>177</v>
      </c>
      <c r="E575" t="inlineStr">
        <is>
          <t>BBG00RT668H3</t>
        </is>
      </c>
    </row>
    <row r="576">
      <c r="A576" t="inlineStr">
        <is>
          <t>BBG00R9XTXL1 Equity</t>
        </is>
      </c>
      <c r="B576" t="inlineStr">
        <is>
          <t>TSLA US 03/19/21 P178</t>
        </is>
      </c>
      <c r="C576" t="inlineStr">
        <is>
          <t>2021-03-19</t>
        </is>
      </c>
      <c r="D576" t="n">
        <v>178</v>
      </c>
      <c r="E576" t="inlineStr">
        <is>
          <t>BBG00R9XTXL1</t>
        </is>
      </c>
    </row>
    <row r="577">
      <c r="A577" t="inlineStr">
        <is>
          <t>BBG00RT669M5 Equity</t>
        </is>
      </c>
      <c r="B577" t="inlineStr">
        <is>
          <t>TSLA US 03/19/21 P179</t>
        </is>
      </c>
      <c r="C577" t="inlineStr">
        <is>
          <t>2021-03-19</t>
        </is>
      </c>
      <c r="D577" t="n">
        <v>179</v>
      </c>
      <c r="E577" t="inlineStr">
        <is>
          <t>BBG00RT669M5</t>
        </is>
      </c>
    </row>
    <row r="578">
      <c r="A578" t="inlineStr">
        <is>
          <t>BBG00R9XTYQ4 Equity</t>
        </is>
      </c>
      <c r="B578" t="inlineStr">
        <is>
          <t>TSLA US 03/19/21 P180</t>
        </is>
      </c>
      <c r="C578" t="inlineStr">
        <is>
          <t>2021-03-19</t>
        </is>
      </c>
      <c r="D578" t="n">
        <v>180</v>
      </c>
      <c r="E578" t="inlineStr">
        <is>
          <t>BBG00R9XTYQ4</t>
        </is>
      </c>
    </row>
    <row r="579">
      <c r="A579" t="inlineStr">
        <is>
          <t>BBG00RT66BQ6 Equity</t>
        </is>
      </c>
      <c r="B579" t="inlineStr">
        <is>
          <t>TSLA US 03/19/21 P181</t>
        </is>
      </c>
      <c r="C579" t="inlineStr">
        <is>
          <t>2021-03-19</t>
        </is>
      </c>
      <c r="D579" t="n">
        <v>181</v>
      </c>
      <c r="E579" t="inlineStr">
        <is>
          <t>BBG00RT66BQ6</t>
        </is>
      </c>
    </row>
    <row r="580">
      <c r="A580" t="inlineStr">
        <is>
          <t>BBG00RD4PGH6 Equity</t>
        </is>
      </c>
      <c r="B580" t="inlineStr">
        <is>
          <t>TSLA US 03/19/21 P182</t>
        </is>
      </c>
      <c r="C580" t="inlineStr">
        <is>
          <t>2021-03-19</t>
        </is>
      </c>
      <c r="D580" t="n">
        <v>182</v>
      </c>
      <c r="E580" t="inlineStr">
        <is>
          <t>BBG00RD4PGH6</t>
        </is>
      </c>
    </row>
    <row r="581">
      <c r="A581" t="inlineStr">
        <is>
          <t>BBG00RT66CT1 Equity</t>
        </is>
      </c>
      <c r="B581" t="inlineStr">
        <is>
          <t>TSLA US 03/19/21 P183</t>
        </is>
      </c>
      <c r="C581" t="inlineStr">
        <is>
          <t>2021-03-19</t>
        </is>
      </c>
      <c r="D581" t="n">
        <v>183</v>
      </c>
      <c r="E581" t="inlineStr">
        <is>
          <t>BBG00RT66CT1</t>
        </is>
      </c>
    </row>
    <row r="582">
      <c r="A582" t="inlineStr">
        <is>
          <t>BBG00RD4PHL9 Equity</t>
        </is>
      </c>
      <c r="B582" t="inlineStr">
        <is>
          <t>TSLA US 03/19/21 P184</t>
        </is>
      </c>
      <c r="C582" t="inlineStr">
        <is>
          <t>2021-03-19</t>
        </is>
      </c>
      <c r="D582" t="n">
        <v>184</v>
      </c>
      <c r="E582" t="inlineStr">
        <is>
          <t>BBG00RD4PHL9</t>
        </is>
      </c>
    </row>
    <row r="583">
      <c r="A583" t="inlineStr">
        <is>
          <t>BBG00RT66DY3 Equity</t>
        </is>
      </c>
      <c r="B583" t="inlineStr">
        <is>
          <t>TSLA US 03/19/21 P185</t>
        </is>
      </c>
      <c r="C583" t="inlineStr">
        <is>
          <t>2021-03-19</t>
        </is>
      </c>
      <c r="D583" t="n">
        <v>185</v>
      </c>
      <c r="E583" t="inlineStr">
        <is>
          <t>BBG00RT66DY3</t>
        </is>
      </c>
    </row>
    <row r="584">
      <c r="A584" t="inlineStr">
        <is>
          <t>BBG00RD4PJP1 Equity</t>
        </is>
      </c>
      <c r="B584" t="inlineStr">
        <is>
          <t>TSLA US 03/19/21 P186</t>
        </is>
      </c>
      <c r="C584" t="inlineStr">
        <is>
          <t>2021-03-19</t>
        </is>
      </c>
      <c r="D584" t="n">
        <v>186</v>
      </c>
      <c r="E584" t="inlineStr">
        <is>
          <t>BBG00RD4PJP1</t>
        </is>
      </c>
    </row>
    <row r="585">
      <c r="A585" t="inlineStr">
        <is>
          <t>BBG00RT66G12 Equity</t>
        </is>
      </c>
      <c r="B585" t="inlineStr">
        <is>
          <t>TSLA US 03/19/21 P187</t>
        </is>
      </c>
      <c r="C585" t="inlineStr">
        <is>
          <t>2021-03-19</t>
        </is>
      </c>
      <c r="D585" t="n">
        <v>187</v>
      </c>
      <c r="E585" t="inlineStr">
        <is>
          <t>BBG00RT66G12</t>
        </is>
      </c>
    </row>
    <row r="586">
      <c r="A586" t="inlineStr">
        <is>
          <t>BBG00RD4PKT4 Equity</t>
        </is>
      </c>
      <c r="B586" t="inlineStr">
        <is>
          <t>TSLA US 03/19/21 P188</t>
        </is>
      </c>
      <c r="C586" t="inlineStr">
        <is>
          <t>2021-03-19</t>
        </is>
      </c>
      <c r="D586" t="n">
        <v>188</v>
      </c>
      <c r="E586" t="inlineStr">
        <is>
          <t>BBG00RD4PKT4</t>
        </is>
      </c>
    </row>
    <row r="587">
      <c r="A587" t="inlineStr">
        <is>
          <t>BBG00RT66H56 Equity</t>
        </is>
      </c>
      <c r="B587" t="inlineStr">
        <is>
          <t>TSLA US 03/19/21 P189</t>
        </is>
      </c>
      <c r="C587" t="inlineStr">
        <is>
          <t>2021-03-19</t>
        </is>
      </c>
      <c r="D587" t="n">
        <v>189</v>
      </c>
      <c r="E587" t="inlineStr">
        <is>
          <t>BBG00RT66H56</t>
        </is>
      </c>
    </row>
    <row r="588">
      <c r="A588" t="inlineStr">
        <is>
          <t>BBG00RD4PLX7 Equity</t>
        </is>
      </c>
      <c r="B588" t="inlineStr">
        <is>
          <t>TSLA US 03/19/21 P190</t>
        </is>
      </c>
      <c r="C588" t="inlineStr">
        <is>
          <t>2021-03-19</t>
        </is>
      </c>
      <c r="D588" t="n">
        <v>190</v>
      </c>
      <c r="E588" t="inlineStr">
        <is>
          <t>BBG00RD4PLX7</t>
        </is>
      </c>
    </row>
    <row r="589">
      <c r="A589" t="inlineStr">
        <is>
          <t>BBG00RD4PN09 Equity</t>
        </is>
      </c>
      <c r="B589" t="inlineStr">
        <is>
          <t>TSLA US 03/19/21 P192</t>
        </is>
      </c>
      <c r="C589" t="inlineStr">
        <is>
          <t>2021-03-19</t>
        </is>
      </c>
      <c r="D589" t="n">
        <v>192</v>
      </c>
      <c r="E589" t="inlineStr">
        <is>
          <t>BBG00RD4PN09</t>
        </is>
      </c>
    </row>
    <row r="590">
      <c r="A590" t="inlineStr">
        <is>
          <t>BBG00RD4PP40 Equity</t>
        </is>
      </c>
      <c r="B590" t="inlineStr">
        <is>
          <t>TSLA US 03/19/21 P194</t>
        </is>
      </c>
      <c r="C590" t="inlineStr">
        <is>
          <t>2021-03-19</t>
        </is>
      </c>
      <c r="D590" t="n">
        <v>194</v>
      </c>
      <c r="E590" t="inlineStr">
        <is>
          <t>BBG00RD4PP40</t>
        </is>
      </c>
    </row>
    <row r="591">
      <c r="A591" t="inlineStr">
        <is>
          <t>BBG00RD4PQ75 Equity</t>
        </is>
      </c>
      <c r="B591" t="inlineStr">
        <is>
          <t>TSLA US 03/19/21 P196</t>
        </is>
      </c>
      <c r="C591" t="inlineStr">
        <is>
          <t>2021-03-19</t>
        </is>
      </c>
      <c r="D591" t="n">
        <v>196</v>
      </c>
      <c r="E591" t="inlineStr">
        <is>
          <t>BBG00RD4PQ75</t>
        </is>
      </c>
    </row>
    <row r="592">
      <c r="A592" t="inlineStr">
        <is>
          <t>BBG00RD4PRC7 Equity</t>
        </is>
      </c>
      <c r="B592" t="inlineStr">
        <is>
          <t>TSLA US 03/19/21 P198</t>
        </is>
      </c>
      <c r="C592" t="inlineStr">
        <is>
          <t>2021-03-19</t>
        </is>
      </c>
      <c r="D592" t="n">
        <v>198</v>
      </c>
      <c r="E592" t="inlineStr">
        <is>
          <t>BBG00RD4PRC7</t>
        </is>
      </c>
    </row>
    <row r="593">
      <c r="A593" t="inlineStr">
        <is>
          <t>BBG00RD4PSG1 Equity</t>
        </is>
      </c>
      <c r="B593" t="inlineStr">
        <is>
          <t>TSLA US 03/19/21 P199</t>
        </is>
      </c>
      <c r="C593" t="inlineStr">
        <is>
          <t>2021-03-19</t>
        </is>
      </c>
      <c r="D593" t="n">
        <v>199</v>
      </c>
      <c r="E593" t="inlineStr">
        <is>
          <t>BBG00RD4PSG1</t>
        </is>
      </c>
    </row>
    <row r="594">
      <c r="A594" t="inlineStr">
        <is>
          <t>BBG00RD4PTK4 Equity</t>
        </is>
      </c>
      <c r="B594" t="inlineStr">
        <is>
          <t>TSLA US 03/19/21 P200</t>
        </is>
      </c>
      <c r="C594" t="inlineStr">
        <is>
          <t>2021-03-19</t>
        </is>
      </c>
      <c r="D594" t="n">
        <v>200</v>
      </c>
      <c r="E594" t="inlineStr">
        <is>
          <t>BBG00RD4PTK4</t>
        </is>
      </c>
    </row>
    <row r="595">
      <c r="A595" t="inlineStr">
        <is>
          <t>BBG00RD4PVP4 Equity</t>
        </is>
      </c>
      <c r="B595" t="inlineStr">
        <is>
          <t>TSLA US 03/19/21 P201</t>
        </is>
      </c>
      <c r="C595" t="inlineStr">
        <is>
          <t>2021-03-19</t>
        </is>
      </c>
      <c r="D595" t="n">
        <v>201</v>
      </c>
      <c r="E595" t="inlineStr">
        <is>
          <t>BBG00RD4PVP4</t>
        </is>
      </c>
    </row>
    <row r="596">
      <c r="A596" t="inlineStr">
        <is>
          <t>BBG00RD4PWS9 Equity</t>
        </is>
      </c>
      <c r="B596" t="inlineStr">
        <is>
          <t>TSLA US 03/19/21 P202</t>
        </is>
      </c>
      <c r="C596" t="inlineStr">
        <is>
          <t>2021-03-19</t>
        </is>
      </c>
      <c r="D596" t="n">
        <v>202</v>
      </c>
      <c r="E596" t="inlineStr">
        <is>
          <t>BBG00RD4PWS9</t>
        </is>
      </c>
    </row>
    <row r="597">
      <c r="A597" t="inlineStr">
        <is>
          <t>BBG00RD4PXW2 Equity</t>
        </is>
      </c>
      <c r="B597" t="inlineStr">
        <is>
          <t>TSLA US 03/19/21 P203</t>
        </is>
      </c>
      <c r="C597" t="inlineStr">
        <is>
          <t>2021-03-19</t>
        </is>
      </c>
      <c r="D597" t="n">
        <v>203</v>
      </c>
      <c r="E597" t="inlineStr">
        <is>
          <t>BBG00RD4PXW2</t>
        </is>
      </c>
    </row>
    <row r="598">
      <c r="A598" t="inlineStr">
        <is>
          <t>BBG00RMPJKY8 Equity</t>
        </is>
      </c>
      <c r="B598" t="inlineStr">
        <is>
          <t>TSLA US 03/19/21 P204</t>
        </is>
      </c>
      <c r="C598" t="inlineStr">
        <is>
          <t>2021-03-19</t>
        </is>
      </c>
      <c r="D598" t="n">
        <v>204</v>
      </c>
      <c r="E598" t="inlineStr">
        <is>
          <t>BBG00RMPJKY8</t>
        </is>
      </c>
    </row>
    <row r="599">
      <c r="A599" t="inlineStr">
        <is>
          <t>BBG00VXXPXN7 Equity</t>
        </is>
      </c>
      <c r="B599" t="inlineStr">
        <is>
          <t>TSLA US 03/19/21 P206</t>
        </is>
      </c>
      <c r="C599" t="inlineStr">
        <is>
          <t>2021-03-19</t>
        </is>
      </c>
      <c r="D599" t="n">
        <v>206</v>
      </c>
      <c r="E599" t="inlineStr">
        <is>
          <t>BBG00VXXPXN7</t>
        </is>
      </c>
    </row>
    <row r="600">
      <c r="A600" t="inlineStr">
        <is>
          <t>BBG00RMPJM10 Equity</t>
        </is>
      </c>
      <c r="B600" t="inlineStr">
        <is>
          <t>TSLA US 03/19/21 P208</t>
        </is>
      </c>
      <c r="C600" t="inlineStr">
        <is>
          <t>2021-03-19</t>
        </is>
      </c>
      <c r="D600" t="n">
        <v>208</v>
      </c>
      <c r="E600" t="inlineStr">
        <is>
          <t>BBG00RMPJM10</t>
        </is>
      </c>
    </row>
    <row r="601">
      <c r="A601" t="inlineStr">
        <is>
          <t>BBG00RMPJN54 Equity</t>
        </is>
      </c>
      <c r="B601" t="inlineStr">
        <is>
          <t>TSLA US 03/19/21 P210</t>
        </is>
      </c>
      <c r="C601" t="inlineStr">
        <is>
          <t>2021-03-19</t>
        </is>
      </c>
      <c r="D601" t="n">
        <v>210</v>
      </c>
      <c r="E601" t="inlineStr">
        <is>
          <t>BBG00RMPJN54</t>
        </is>
      </c>
    </row>
    <row r="602">
      <c r="A602" t="inlineStr">
        <is>
          <t>BBG00RMPJP86 Equity</t>
        </is>
      </c>
      <c r="B602" t="inlineStr">
        <is>
          <t>TSLA US 03/19/21 P212</t>
        </is>
      </c>
      <c r="C602" t="inlineStr">
        <is>
          <t>2021-03-19</t>
        </is>
      </c>
      <c r="D602" t="n">
        <v>212</v>
      </c>
      <c r="E602" t="inlineStr">
        <is>
          <t>BBG00RMPJP86</t>
        </is>
      </c>
    </row>
    <row r="603">
      <c r="A603" t="inlineStr">
        <is>
          <t>BBG00VXXPYR1 Equity</t>
        </is>
      </c>
      <c r="B603" t="inlineStr">
        <is>
          <t>TSLA US 03/19/21 P214</t>
        </is>
      </c>
      <c r="C603" t="inlineStr">
        <is>
          <t>2021-03-19</t>
        </is>
      </c>
      <c r="D603" t="n">
        <v>214</v>
      </c>
      <c r="E603" t="inlineStr">
        <is>
          <t>BBG00VXXPYR1</t>
        </is>
      </c>
    </row>
    <row r="604">
      <c r="A604" t="inlineStr">
        <is>
          <t>BBG00RMYLJQ8 Equity</t>
        </is>
      </c>
      <c r="B604" t="inlineStr">
        <is>
          <t>TSLA US 03/19/21 P216</t>
        </is>
      </c>
      <c r="C604" t="inlineStr">
        <is>
          <t>2021-03-19</t>
        </is>
      </c>
      <c r="D604" t="n">
        <v>216</v>
      </c>
      <c r="E604" t="inlineStr">
        <is>
          <t>BBG00RMYLJQ8</t>
        </is>
      </c>
    </row>
    <row r="605">
      <c r="A605" t="inlineStr">
        <is>
          <t>BBG00VXXPZV3 Equity</t>
        </is>
      </c>
      <c r="B605" t="inlineStr">
        <is>
          <t>TSLA US 03/19/21 P218</t>
        </is>
      </c>
      <c r="C605" t="inlineStr">
        <is>
          <t>2021-03-19</t>
        </is>
      </c>
      <c r="D605" t="n">
        <v>218</v>
      </c>
      <c r="E605" t="inlineStr">
        <is>
          <t>BBG00VXXPZV3</t>
        </is>
      </c>
    </row>
    <row r="606">
      <c r="A606" t="inlineStr">
        <is>
          <t>BBG00RMPJQC9 Equity</t>
        </is>
      </c>
      <c r="B606" t="inlineStr">
        <is>
          <t>TSLA US 03/19/21 P220</t>
        </is>
      </c>
      <c r="C606" t="inlineStr">
        <is>
          <t>2021-03-19</t>
        </is>
      </c>
      <c r="D606" t="n">
        <v>220</v>
      </c>
      <c r="E606" t="inlineStr">
        <is>
          <t>BBG00RMPJQC9</t>
        </is>
      </c>
    </row>
    <row r="607">
      <c r="A607" t="inlineStr">
        <is>
          <t>BBG00VXXQ0Z5 Equity</t>
        </is>
      </c>
      <c r="B607" t="inlineStr">
        <is>
          <t>TSLA US 03/19/21 P222</t>
        </is>
      </c>
      <c r="C607" t="inlineStr">
        <is>
          <t>2021-03-19</t>
        </is>
      </c>
      <c r="D607" t="n">
        <v>222</v>
      </c>
      <c r="E607" t="inlineStr">
        <is>
          <t>BBG00VXXQ0Z5</t>
        </is>
      </c>
    </row>
    <row r="608">
      <c r="A608" t="inlineStr">
        <is>
          <t>BBG00RMYLKT2 Equity</t>
        </is>
      </c>
      <c r="B608" t="inlineStr">
        <is>
          <t>TSLA US 03/19/21 P224</t>
        </is>
      </c>
      <c r="C608" t="inlineStr">
        <is>
          <t>2021-03-19</t>
        </is>
      </c>
      <c r="D608" t="n">
        <v>224</v>
      </c>
      <c r="E608" t="inlineStr">
        <is>
          <t>BBG00RMYLKT2</t>
        </is>
      </c>
    </row>
    <row r="609">
      <c r="A609" t="inlineStr">
        <is>
          <t>BBG00VXXQ227 Equity</t>
        </is>
      </c>
      <c r="B609" t="inlineStr">
        <is>
          <t>TSLA US 03/19/21 P226</t>
        </is>
      </c>
      <c r="C609" t="inlineStr">
        <is>
          <t>2021-03-19</t>
        </is>
      </c>
      <c r="D609" t="n">
        <v>226</v>
      </c>
      <c r="E609" t="inlineStr">
        <is>
          <t>BBG00VXXQ227</t>
        </is>
      </c>
    </row>
    <row r="610">
      <c r="A610" t="inlineStr">
        <is>
          <t>BBG00RMYLLX5 Equity</t>
        </is>
      </c>
      <c r="B610" t="inlineStr">
        <is>
          <t>TSLA US 03/19/21 P228</t>
        </is>
      </c>
      <c r="C610" t="inlineStr">
        <is>
          <t>2021-03-19</t>
        </is>
      </c>
      <c r="D610" t="n">
        <v>228</v>
      </c>
      <c r="E610" t="inlineStr">
        <is>
          <t>BBG00RMYLLX5</t>
        </is>
      </c>
    </row>
    <row r="611">
      <c r="A611" t="inlineStr">
        <is>
          <t>BBG00RMPJRH2 Equity</t>
        </is>
      </c>
      <c r="B611" t="inlineStr">
        <is>
          <t>TSLA US 03/19/21 P230</t>
        </is>
      </c>
      <c r="C611" t="inlineStr">
        <is>
          <t>2021-03-19</t>
        </is>
      </c>
      <c r="D611" t="n">
        <v>230</v>
      </c>
      <c r="E611" t="inlineStr">
        <is>
          <t>BBG00RMPJRH2</t>
        </is>
      </c>
    </row>
    <row r="612">
      <c r="A612" t="inlineStr">
        <is>
          <t>BBG00RMYLN16 Equity</t>
        </is>
      </c>
      <c r="B612" t="inlineStr">
        <is>
          <t>TSLA US 03/19/21 P232</t>
        </is>
      </c>
      <c r="C612" t="inlineStr">
        <is>
          <t>2021-03-19</t>
        </is>
      </c>
      <c r="D612" t="n">
        <v>232</v>
      </c>
      <c r="E612" t="inlineStr">
        <is>
          <t>BBG00RMYLN16</t>
        </is>
      </c>
    </row>
    <row r="613">
      <c r="A613" t="inlineStr">
        <is>
          <t>BBG00VXXQ352 Equity</t>
        </is>
      </c>
      <c r="B613" t="inlineStr">
        <is>
          <t>TSLA US 03/19/21 P234</t>
        </is>
      </c>
      <c r="C613" t="inlineStr">
        <is>
          <t>2021-03-19</t>
        </is>
      </c>
      <c r="D613" t="n">
        <v>234</v>
      </c>
      <c r="E613" t="inlineStr">
        <is>
          <t>BBG00VXXQ352</t>
        </is>
      </c>
    </row>
    <row r="614">
      <c r="A614" t="inlineStr">
        <is>
          <t>BBG00RMYLP48 Equity</t>
        </is>
      </c>
      <c r="B614" t="inlineStr">
        <is>
          <t>TSLA US 03/19/21 P236</t>
        </is>
      </c>
      <c r="C614" t="inlineStr">
        <is>
          <t>2021-03-19</t>
        </is>
      </c>
      <c r="D614" t="n">
        <v>236</v>
      </c>
      <c r="E614" t="inlineStr">
        <is>
          <t>BBG00RMYLP48</t>
        </is>
      </c>
    </row>
    <row r="615">
      <c r="A615" t="inlineStr">
        <is>
          <t>BBG00VXXQ496 Equity</t>
        </is>
      </c>
      <c r="B615" t="inlineStr">
        <is>
          <t>TSLA US 03/19/21 P238</t>
        </is>
      </c>
      <c r="C615" t="inlineStr">
        <is>
          <t>2021-03-19</t>
        </is>
      </c>
      <c r="D615" t="n">
        <v>238</v>
      </c>
      <c r="E615" t="inlineStr">
        <is>
          <t>BBG00VXXQ496</t>
        </is>
      </c>
    </row>
    <row r="616">
      <c r="A616" t="inlineStr">
        <is>
          <t>BBG00RMPJSL5 Equity</t>
        </is>
      </c>
      <c r="B616" t="inlineStr">
        <is>
          <t>TSLA US 03/19/21 P240</t>
        </is>
      </c>
      <c r="C616" t="inlineStr">
        <is>
          <t>2021-03-19</t>
        </is>
      </c>
      <c r="D616" t="n">
        <v>240</v>
      </c>
      <c r="E616" t="inlineStr">
        <is>
          <t>BBG00RMPJSL5</t>
        </is>
      </c>
    </row>
    <row r="617">
      <c r="A617" t="inlineStr">
        <is>
          <t>BBG00VXXQ5D8 Equity</t>
        </is>
      </c>
      <c r="B617" t="inlineStr">
        <is>
          <t>TSLA US 03/19/21 P242</t>
        </is>
      </c>
      <c r="C617" t="inlineStr">
        <is>
          <t>2021-03-19</t>
        </is>
      </c>
      <c r="D617" t="n">
        <v>242</v>
      </c>
      <c r="E617" t="inlineStr">
        <is>
          <t>BBG00VXXQ5D8</t>
        </is>
      </c>
    </row>
    <row r="618">
      <c r="A618" t="inlineStr">
        <is>
          <t>BBG00RMYLQ73 Equity</t>
        </is>
      </c>
      <c r="B618" t="inlineStr">
        <is>
          <t>TSLA US 03/19/21 P244</t>
        </is>
      </c>
      <c r="C618" t="inlineStr">
        <is>
          <t>2021-03-19</t>
        </is>
      </c>
      <c r="D618" t="n">
        <v>244</v>
      </c>
      <c r="E618" t="inlineStr">
        <is>
          <t>BBG00RMYLQ73</t>
        </is>
      </c>
    </row>
    <row r="619">
      <c r="A619" t="inlineStr">
        <is>
          <t>BBG00VXXQ6H2 Equity</t>
        </is>
      </c>
      <c r="B619" t="inlineStr">
        <is>
          <t>TSLA US 03/19/21 P246</t>
        </is>
      </c>
      <c r="C619" t="inlineStr">
        <is>
          <t>2021-03-19</t>
        </is>
      </c>
      <c r="D619" t="n">
        <v>246</v>
      </c>
      <c r="E619" t="inlineStr">
        <is>
          <t>BBG00VXXQ6H2</t>
        </is>
      </c>
    </row>
    <row r="620">
      <c r="A620" t="inlineStr">
        <is>
          <t>BBG00RMYLRC5 Equity</t>
        </is>
      </c>
      <c r="B620" t="inlineStr">
        <is>
          <t>TSLA US 03/19/21 P248</t>
        </is>
      </c>
      <c r="C620" t="inlineStr">
        <is>
          <t>2021-03-19</t>
        </is>
      </c>
      <c r="D620" t="n">
        <v>248</v>
      </c>
      <c r="E620" t="inlineStr">
        <is>
          <t>BBG00RMYLRC5</t>
        </is>
      </c>
    </row>
    <row r="621">
      <c r="A621" t="inlineStr">
        <is>
          <t>BBG00RMPJTP9 Equity</t>
        </is>
      </c>
      <c r="B621" t="inlineStr">
        <is>
          <t>TSLA US 03/19/21 P250</t>
        </is>
      </c>
      <c r="C621" t="inlineStr">
        <is>
          <t>2021-03-19</t>
        </is>
      </c>
      <c r="D621" t="n">
        <v>250</v>
      </c>
      <c r="E621" t="inlineStr">
        <is>
          <t>BBG00RMPJTP9</t>
        </is>
      </c>
    </row>
    <row r="622">
      <c r="A622" t="inlineStr">
        <is>
          <t>BBG00RMYLSG9 Equity</t>
        </is>
      </c>
      <c r="B622" t="inlineStr">
        <is>
          <t>TSLA US 03/19/21 P252</t>
        </is>
      </c>
      <c r="C622" t="inlineStr">
        <is>
          <t>2021-03-19</t>
        </is>
      </c>
      <c r="D622" t="n">
        <v>252</v>
      </c>
      <c r="E622" t="inlineStr">
        <is>
          <t>BBG00RMYLSG9</t>
        </is>
      </c>
    </row>
    <row r="623">
      <c r="A623" t="inlineStr">
        <is>
          <t>BBG00VXXQ7M4 Equity</t>
        </is>
      </c>
      <c r="B623" t="inlineStr">
        <is>
          <t>TSLA US 03/19/21 P254</t>
        </is>
      </c>
      <c r="C623" t="inlineStr">
        <is>
          <t>2021-03-19</t>
        </is>
      </c>
      <c r="D623" t="n">
        <v>254</v>
      </c>
      <c r="E623" t="inlineStr">
        <is>
          <t>BBG00VXXQ7M4</t>
        </is>
      </c>
    </row>
    <row r="624">
      <c r="A624" t="inlineStr">
        <is>
          <t>BBG00RMYLTK2 Equity</t>
        </is>
      </c>
      <c r="B624" t="inlineStr">
        <is>
          <t>TSLA US 03/19/21 P256</t>
        </is>
      </c>
      <c r="C624" t="inlineStr">
        <is>
          <t>2021-03-19</t>
        </is>
      </c>
      <c r="D624" t="n">
        <v>256</v>
      </c>
      <c r="E624" t="inlineStr">
        <is>
          <t>BBG00RMYLTK2</t>
        </is>
      </c>
    </row>
    <row r="625">
      <c r="A625" t="inlineStr">
        <is>
          <t>BBG00VXXQ8Q8 Equity</t>
        </is>
      </c>
      <c r="B625" t="inlineStr">
        <is>
          <t>TSLA US 03/19/21 P258</t>
        </is>
      </c>
      <c r="C625" t="inlineStr">
        <is>
          <t>2021-03-19</t>
        </is>
      </c>
      <c r="D625" t="n">
        <v>258</v>
      </c>
      <c r="E625" t="inlineStr">
        <is>
          <t>BBG00VXXQ8Q8</t>
        </is>
      </c>
    </row>
    <row r="626">
      <c r="A626" t="inlineStr">
        <is>
          <t>BBG00RMPJVT0 Equity</t>
        </is>
      </c>
      <c r="B626" t="inlineStr">
        <is>
          <t>TSLA US 03/19/21 P260</t>
        </is>
      </c>
      <c r="C626" t="inlineStr">
        <is>
          <t>2021-03-19</t>
        </is>
      </c>
      <c r="D626" t="n">
        <v>260</v>
      </c>
      <c r="E626" t="inlineStr">
        <is>
          <t>BBG00RMPJVT0</t>
        </is>
      </c>
    </row>
    <row r="627">
      <c r="A627" t="inlineStr">
        <is>
          <t>BBG00VXXQ9T3 Equity</t>
        </is>
      </c>
      <c r="B627" t="inlineStr">
        <is>
          <t>TSLA US 03/19/21 P262</t>
        </is>
      </c>
      <c r="C627" t="inlineStr">
        <is>
          <t>2021-03-19</t>
        </is>
      </c>
      <c r="D627" t="n">
        <v>262</v>
      </c>
      <c r="E627" t="inlineStr">
        <is>
          <t>BBG00VXXQ9T3</t>
        </is>
      </c>
    </row>
    <row r="628">
      <c r="A628" t="inlineStr">
        <is>
          <t>BBG00VXXQBY2 Equity</t>
        </is>
      </c>
      <c r="B628" t="inlineStr">
        <is>
          <t>TSLA US 03/19/21 P264</t>
        </is>
      </c>
      <c r="C628" t="inlineStr">
        <is>
          <t>2021-03-19</t>
        </is>
      </c>
      <c r="D628" t="n">
        <v>264</v>
      </c>
      <c r="E628" t="inlineStr">
        <is>
          <t>BBG00VXXQBY2</t>
        </is>
      </c>
    </row>
    <row r="629">
      <c r="A629" t="inlineStr">
        <is>
          <t>BBG00VXXQD14 Equity</t>
        </is>
      </c>
      <c r="B629" t="inlineStr">
        <is>
          <t>TSLA US 03/19/21 P266</t>
        </is>
      </c>
      <c r="C629" t="inlineStr">
        <is>
          <t>2021-03-19</t>
        </is>
      </c>
      <c r="D629" t="n">
        <v>266</v>
      </c>
      <c r="E629" t="inlineStr">
        <is>
          <t>BBG00VXXQD14</t>
        </is>
      </c>
    </row>
    <row r="630">
      <c r="A630" t="inlineStr">
        <is>
          <t>BBG00VXXQF46 Equity</t>
        </is>
      </c>
      <c r="B630" t="inlineStr">
        <is>
          <t>TSLA US 03/19/21 P268</t>
        </is>
      </c>
      <c r="C630" t="inlineStr">
        <is>
          <t>2021-03-19</t>
        </is>
      </c>
      <c r="D630" t="n">
        <v>268</v>
      </c>
      <c r="E630" t="inlineStr">
        <is>
          <t>BBG00VXXQF46</t>
        </is>
      </c>
    </row>
    <row r="631">
      <c r="A631" t="inlineStr">
        <is>
          <t>BBG00RMPJWX3 Equity</t>
        </is>
      </c>
      <c r="B631" t="inlineStr">
        <is>
          <t>TSLA US 03/19/21 P270</t>
        </is>
      </c>
      <c r="C631" t="inlineStr">
        <is>
          <t>2021-03-19</t>
        </is>
      </c>
      <c r="D631" t="n">
        <v>270</v>
      </c>
      <c r="E631" t="inlineStr">
        <is>
          <t>BBG00RMPJWX3</t>
        </is>
      </c>
    </row>
    <row r="632">
      <c r="A632" t="inlineStr">
        <is>
          <t>BBG00VXXQG80 Equity</t>
        </is>
      </c>
      <c r="B632" t="inlineStr">
        <is>
          <t>TSLA US 03/19/21 P272</t>
        </is>
      </c>
      <c r="C632" t="inlineStr">
        <is>
          <t>2021-03-19</t>
        </is>
      </c>
      <c r="D632" t="n">
        <v>272</v>
      </c>
      <c r="E632" t="inlineStr">
        <is>
          <t>BBG00VXXQG80</t>
        </is>
      </c>
    </row>
    <row r="633">
      <c r="A633" t="inlineStr">
        <is>
          <t>BBG00VXXQHC3 Equity</t>
        </is>
      </c>
      <c r="B633" t="inlineStr">
        <is>
          <t>TSLA US 03/19/21 P274</t>
        </is>
      </c>
      <c r="C633" t="inlineStr">
        <is>
          <t>2021-03-19</t>
        </is>
      </c>
      <c r="D633" t="n">
        <v>274</v>
      </c>
      <c r="E633" t="inlineStr">
        <is>
          <t>BBG00VXXQHC3</t>
        </is>
      </c>
    </row>
    <row r="634">
      <c r="A634" t="inlineStr">
        <is>
          <t>BBG00VXXQJG5 Equity</t>
        </is>
      </c>
      <c r="B634" t="inlineStr">
        <is>
          <t>TSLA US 03/19/21 P276</t>
        </is>
      </c>
      <c r="C634" t="inlineStr">
        <is>
          <t>2021-03-19</t>
        </is>
      </c>
      <c r="D634" t="n">
        <v>276</v>
      </c>
      <c r="E634" t="inlineStr">
        <is>
          <t>BBG00VXXQJG5</t>
        </is>
      </c>
    </row>
    <row r="635">
      <c r="A635" t="inlineStr">
        <is>
          <t>BBG00VXXQKL6 Equity</t>
        </is>
      </c>
      <c r="B635" t="inlineStr">
        <is>
          <t>TSLA US 03/19/21 P278</t>
        </is>
      </c>
      <c r="C635" t="inlineStr">
        <is>
          <t>2021-03-19</t>
        </is>
      </c>
      <c r="D635" t="n">
        <v>278</v>
      </c>
      <c r="E635" t="inlineStr">
        <is>
          <t>BBG00VXXQKL6</t>
        </is>
      </c>
    </row>
    <row r="636">
      <c r="A636" t="inlineStr">
        <is>
          <t>BBG00RMPJY05 Equity</t>
        </is>
      </c>
      <c r="B636" t="inlineStr">
        <is>
          <t>TSLA US 03/19/21 P280</t>
        </is>
      </c>
      <c r="C636" t="inlineStr">
        <is>
          <t>2021-03-19</t>
        </is>
      </c>
      <c r="D636" t="n">
        <v>280</v>
      </c>
      <c r="E636" t="inlineStr">
        <is>
          <t>BBG00RMPJY05</t>
        </is>
      </c>
    </row>
    <row r="637">
      <c r="A637" t="inlineStr">
        <is>
          <t>BBG00VXXQLP0 Equity</t>
        </is>
      </c>
      <c r="B637" t="inlineStr">
        <is>
          <t>TSLA US 03/19/21 P282</t>
        </is>
      </c>
      <c r="C637" t="inlineStr">
        <is>
          <t>2021-03-19</t>
        </is>
      </c>
      <c r="D637" t="n">
        <v>282</v>
      </c>
      <c r="E637" t="inlineStr">
        <is>
          <t>BBG00VXXQLP0</t>
        </is>
      </c>
    </row>
    <row r="638">
      <c r="A638" t="inlineStr">
        <is>
          <t>BBG00W4DBQV2 Equity</t>
        </is>
      </c>
      <c r="B638" t="inlineStr">
        <is>
          <t>TSLA US 03/19/21 P283</t>
        </is>
      </c>
      <c r="C638" t="inlineStr">
        <is>
          <t>2021-03-19</t>
        </is>
      </c>
      <c r="D638" t="n">
        <v>283</v>
      </c>
      <c r="E638" t="inlineStr">
        <is>
          <t>BBG00W4DBQV2</t>
        </is>
      </c>
    </row>
    <row r="639">
      <c r="A639" t="inlineStr">
        <is>
          <t>BBG00VXXQMS5 Equity</t>
        </is>
      </c>
      <c r="B639" t="inlineStr">
        <is>
          <t>TSLA US 03/19/21 P284</t>
        </is>
      </c>
      <c r="C639" t="inlineStr">
        <is>
          <t>2021-03-19</t>
        </is>
      </c>
      <c r="D639" t="n">
        <v>284</v>
      </c>
      <c r="E639" t="inlineStr">
        <is>
          <t>BBG00VXXQMS5</t>
        </is>
      </c>
    </row>
    <row r="640">
      <c r="A640" t="inlineStr">
        <is>
          <t>BBG00W4DBRY7 Equity</t>
        </is>
      </c>
      <c r="B640" t="inlineStr">
        <is>
          <t>TSLA US 03/19/21 P285</t>
        </is>
      </c>
      <c r="C640" t="inlineStr">
        <is>
          <t>2021-03-19</t>
        </is>
      </c>
      <c r="D640" t="n">
        <v>285</v>
      </c>
      <c r="E640" t="inlineStr">
        <is>
          <t>BBG00W4DBRY7</t>
        </is>
      </c>
    </row>
    <row r="641">
      <c r="A641" t="inlineStr">
        <is>
          <t>BBG00VXXQNX7 Equity</t>
        </is>
      </c>
      <c r="B641" t="inlineStr">
        <is>
          <t>TSLA US 03/19/21 P286</t>
        </is>
      </c>
      <c r="C641" t="inlineStr">
        <is>
          <t>2021-03-19</t>
        </is>
      </c>
      <c r="D641" t="n">
        <v>286</v>
      </c>
      <c r="E641" t="inlineStr">
        <is>
          <t>BBG00VXXQNX7</t>
        </is>
      </c>
    </row>
    <row r="642">
      <c r="A642" t="inlineStr">
        <is>
          <t>BBG00W4DBT19 Equity</t>
        </is>
      </c>
      <c r="B642" t="inlineStr">
        <is>
          <t>TSLA US 03/19/21 P287</t>
        </is>
      </c>
      <c r="C642" t="inlineStr">
        <is>
          <t>2021-03-19</t>
        </is>
      </c>
      <c r="D642" t="n">
        <v>287</v>
      </c>
      <c r="E642" t="inlineStr">
        <is>
          <t>BBG00W4DBT19</t>
        </is>
      </c>
    </row>
    <row r="643">
      <c r="A643" t="inlineStr">
        <is>
          <t>BBG00VXXQQ06 Equity</t>
        </is>
      </c>
      <c r="B643" t="inlineStr">
        <is>
          <t>TSLA US 03/19/21 P288</t>
        </is>
      </c>
      <c r="C643" t="inlineStr">
        <is>
          <t>2021-03-19</t>
        </is>
      </c>
      <c r="D643" t="n">
        <v>288</v>
      </c>
      <c r="E643" t="inlineStr">
        <is>
          <t>BBG00VXXQQ06</t>
        </is>
      </c>
    </row>
    <row r="644">
      <c r="A644" t="inlineStr">
        <is>
          <t>BBG00W4DBV50 Equity</t>
        </is>
      </c>
      <c r="B644" t="inlineStr">
        <is>
          <t>TSLA US 03/19/21 P289</t>
        </is>
      </c>
      <c r="C644" t="inlineStr">
        <is>
          <t>2021-03-19</t>
        </is>
      </c>
      <c r="D644" t="n">
        <v>289</v>
      </c>
      <c r="E644" t="inlineStr">
        <is>
          <t>BBG00W4DBV50</t>
        </is>
      </c>
    </row>
    <row r="645">
      <c r="A645" t="inlineStr">
        <is>
          <t>BBG00RMPJZ48 Equity</t>
        </is>
      </c>
      <c r="B645" t="inlineStr">
        <is>
          <t>TSLA US 03/19/21 P290</t>
        </is>
      </c>
      <c r="C645" t="inlineStr">
        <is>
          <t>2021-03-19</t>
        </is>
      </c>
      <c r="D645" t="n">
        <v>290</v>
      </c>
      <c r="E645" t="inlineStr">
        <is>
          <t>BBG00RMPJZ48</t>
        </is>
      </c>
    </row>
    <row r="646">
      <c r="A646" t="inlineStr">
        <is>
          <t>BBG00W4DBW85 Equity</t>
        </is>
      </c>
      <c r="B646" t="inlineStr">
        <is>
          <t>TSLA US 03/19/21 P291</t>
        </is>
      </c>
      <c r="C646" t="inlineStr">
        <is>
          <t>2021-03-19</t>
        </is>
      </c>
      <c r="D646" t="n">
        <v>291</v>
      </c>
      <c r="E646" t="inlineStr">
        <is>
          <t>BBG00W4DBW85</t>
        </is>
      </c>
    </row>
    <row r="647">
      <c r="A647" t="inlineStr">
        <is>
          <t>BBG00VXXQR31 Equity</t>
        </is>
      </c>
      <c r="B647" t="inlineStr">
        <is>
          <t>TSLA US 03/19/21 P292</t>
        </is>
      </c>
      <c r="C647" t="inlineStr">
        <is>
          <t>2021-03-19</t>
        </is>
      </c>
      <c r="D647" t="n">
        <v>292</v>
      </c>
      <c r="E647" t="inlineStr">
        <is>
          <t>BBG00VXXQR31</t>
        </is>
      </c>
    </row>
    <row r="648">
      <c r="A648" t="inlineStr">
        <is>
          <t>BBG00W4DBXC8 Equity</t>
        </is>
      </c>
      <c r="B648" t="inlineStr">
        <is>
          <t>TSLA US 03/19/21 P293</t>
        </is>
      </c>
      <c r="C648" t="inlineStr">
        <is>
          <t>2021-03-19</t>
        </is>
      </c>
      <c r="D648" t="n">
        <v>293</v>
      </c>
      <c r="E648" t="inlineStr">
        <is>
          <t>BBG00W4DBXC8</t>
        </is>
      </c>
    </row>
    <row r="649">
      <c r="A649" t="inlineStr">
        <is>
          <t>BBG00VXXQS75 Equity</t>
        </is>
      </c>
      <c r="B649" t="inlineStr">
        <is>
          <t>TSLA US 03/19/21 P294</t>
        </is>
      </c>
      <c r="C649" t="inlineStr">
        <is>
          <t>2021-03-19</t>
        </is>
      </c>
      <c r="D649" t="n">
        <v>294</v>
      </c>
      <c r="E649" t="inlineStr">
        <is>
          <t>BBG00VXXQS75</t>
        </is>
      </c>
    </row>
    <row r="650">
      <c r="A650" t="inlineStr">
        <is>
          <t>BBG00W4DBYH1 Equity</t>
        </is>
      </c>
      <c r="B650" t="inlineStr">
        <is>
          <t>TSLA US 03/19/21 P295</t>
        </is>
      </c>
      <c r="C650" t="inlineStr">
        <is>
          <t>2021-03-19</t>
        </is>
      </c>
      <c r="D650" t="n">
        <v>295</v>
      </c>
      <c r="E650" t="inlineStr">
        <is>
          <t>BBG00W4DBYH1</t>
        </is>
      </c>
    </row>
    <row r="651">
      <c r="A651" t="inlineStr">
        <is>
          <t>BBG00VXXQTB8 Equity</t>
        </is>
      </c>
      <c r="B651" t="inlineStr">
        <is>
          <t>TSLA US 03/19/21 P296</t>
        </is>
      </c>
      <c r="C651" t="inlineStr">
        <is>
          <t>2021-03-19</t>
        </is>
      </c>
      <c r="D651" t="n">
        <v>296</v>
      </c>
      <c r="E651" t="inlineStr">
        <is>
          <t>BBG00VXXQTB8</t>
        </is>
      </c>
    </row>
    <row r="652">
      <c r="A652" t="inlineStr">
        <is>
          <t>BBG00W4DBZL3 Equity</t>
        </is>
      </c>
      <c r="B652" t="inlineStr">
        <is>
          <t>TSLA US 03/19/21 P297</t>
        </is>
      </c>
      <c r="C652" t="inlineStr">
        <is>
          <t>2021-03-19</t>
        </is>
      </c>
      <c r="D652" t="n">
        <v>297</v>
      </c>
      <c r="E652" t="inlineStr">
        <is>
          <t>BBG00W4DBZL3</t>
        </is>
      </c>
    </row>
    <row r="653">
      <c r="A653" t="inlineStr">
        <is>
          <t>BBG00VXXQVF9 Equity</t>
        </is>
      </c>
      <c r="B653" t="inlineStr">
        <is>
          <t>TSLA US 03/19/21 P298</t>
        </is>
      </c>
      <c r="C653" t="inlineStr">
        <is>
          <t>2021-03-19</t>
        </is>
      </c>
      <c r="D653" t="n">
        <v>298</v>
      </c>
      <c r="E653" t="inlineStr">
        <is>
          <t>BBG00VXXQVF9</t>
        </is>
      </c>
    </row>
    <row r="654">
      <c r="A654" t="inlineStr">
        <is>
          <t>BBG00W4DC0P5 Equity</t>
        </is>
      </c>
      <c r="B654" t="inlineStr">
        <is>
          <t>TSLA US 03/19/21 P299</t>
        </is>
      </c>
      <c r="C654" t="inlineStr">
        <is>
          <t>2021-03-19</t>
        </is>
      </c>
      <c r="D654" t="n">
        <v>299</v>
      </c>
      <c r="E654" t="inlineStr">
        <is>
          <t>BBG00W4DC0P5</t>
        </is>
      </c>
    </row>
    <row r="655">
      <c r="A655" t="inlineStr">
        <is>
          <t>BBG00RMPK070 Equity</t>
        </is>
      </c>
      <c r="B655" t="inlineStr">
        <is>
          <t>TSLA US 03/19/21 P300</t>
        </is>
      </c>
      <c r="C655" t="inlineStr">
        <is>
          <t>2021-03-19</t>
        </is>
      </c>
      <c r="D655" t="n">
        <v>300</v>
      </c>
      <c r="E655" t="inlineStr">
        <is>
          <t>BBG00RMPK070</t>
        </is>
      </c>
    </row>
    <row r="656">
      <c r="A656" t="inlineStr">
        <is>
          <t>BBG00W4DC1T9 Equity</t>
        </is>
      </c>
      <c r="B656" t="inlineStr">
        <is>
          <t>TSLA US 03/19/21 P301</t>
        </is>
      </c>
      <c r="C656" t="inlineStr">
        <is>
          <t>2021-03-19</t>
        </is>
      </c>
      <c r="D656" t="n">
        <v>301</v>
      </c>
      <c r="E656" t="inlineStr">
        <is>
          <t>BBG00W4DC1T9</t>
        </is>
      </c>
    </row>
    <row r="657">
      <c r="A657" t="inlineStr">
        <is>
          <t>BBG00VXXQWK1 Equity</t>
        </is>
      </c>
      <c r="B657" t="inlineStr">
        <is>
          <t>TSLA US 03/19/21 P302</t>
        </is>
      </c>
      <c r="C657" t="inlineStr">
        <is>
          <t>2021-03-19</t>
        </is>
      </c>
      <c r="D657" t="n">
        <v>302</v>
      </c>
      <c r="E657" t="inlineStr">
        <is>
          <t>BBG00VXXQWK1</t>
        </is>
      </c>
    </row>
    <row r="658">
      <c r="A658" t="inlineStr">
        <is>
          <t>BBG00W4DC2X2 Equity</t>
        </is>
      </c>
      <c r="B658" t="inlineStr">
        <is>
          <t>TSLA US 03/19/21 P303</t>
        </is>
      </c>
      <c r="C658" t="inlineStr">
        <is>
          <t>2021-03-19</t>
        </is>
      </c>
      <c r="D658" t="n">
        <v>303</v>
      </c>
      <c r="E658" t="inlineStr">
        <is>
          <t>BBG00W4DC2X2</t>
        </is>
      </c>
    </row>
    <row r="659">
      <c r="A659" t="inlineStr">
        <is>
          <t>BBG00RMYLVP2 Equity</t>
        </is>
      </c>
      <c r="B659" t="inlineStr">
        <is>
          <t>TSLA US 03/19/21 P304</t>
        </is>
      </c>
      <c r="C659" t="inlineStr">
        <is>
          <t>2021-03-19</t>
        </is>
      </c>
      <c r="D659" t="n">
        <v>304</v>
      </c>
      <c r="E659" t="inlineStr">
        <is>
          <t>BBG00RMYLVP2</t>
        </is>
      </c>
    </row>
    <row r="660">
      <c r="A660" t="inlineStr">
        <is>
          <t>BBG00W4DC404 Equity</t>
        </is>
      </c>
      <c r="B660" t="inlineStr">
        <is>
          <t>TSLA US 03/19/21 P305</t>
        </is>
      </c>
      <c r="C660" t="inlineStr">
        <is>
          <t>2021-03-19</t>
        </is>
      </c>
      <c r="D660" t="n">
        <v>305</v>
      </c>
      <c r="E660" t="inlineStr">
        <is>
          <t>BBG00W4DC404</t>
        </is>
      </c>
    </row>
    <row r="661">
      <c r="A661" t="inlineStr">
        <is>
          <t>BBG00ZGTDL64 Equity</t>
        </is>
      </c>
      <c r="B661" t="inlineStr">
        <is>
          <t>TSLA US 04/16/21 P200</t>
        </is>
      </c>
      <c r="C661" t="inlineStr">
        <is>
          <t>2021-04-16</t>
        </is>
      </c>
      <c r="D661" t="n">
        <v>200</v>
      </c>
      <c r="E661" t="inlineStr">
        <is>
          <t>BBG00ZGTDL64</t>
        </is>
      </c>
    </row>
    <row r="662">
      <c r="A662" t="inlineStr">
        <is>
          <t>BBG00ZGTDM99 Equity</t>
        </is>
      </c>
      <c r="B662" t="inlineStr">
        <is>
          <t>TSLA US 04/16/21 P250</t>
        </is>
      </c>
      <c r="C662" t="inlineStr">
        <is>
          <t>2021-04-16</t>
        </is>
      </c>
      <c r="D662" t="n">
        <v>250</v>
      </c>
      <c r="E662" t="inlineStr">
        <is>
          <t>BBG00ZGTDM99</t>
        </is>
      </c>
    </row>
    <row r="663">
      <c r="A663" t="inlineStr">
        <is>
          <t>BBG00ZGTDNG9 Equity</t>
        </is>
      </c>
      <c r="B663" t="inlineStr">
        <is>
          <t>TSLA US 04/16/21 P300</t>
        </is>
      </c>
      <c r="C663" t="inlineStr">
        <is>
          <t>2021-04-16</t>
        </is>
      </c>
      <c r="D663" t="n">
        <v>300</v>
      </c>
      <c r="E663" t="inlineStr">
        <is>
          <t>BBG00ZGTDNG9</t>
        </is>
      </c>
    </row>
    <row r="664">
      <c r="A664" t="inlineStr">
        <is>
          <t>BBG00ZGTDV08 Equity</t>
        </is>
      </c>
      <c r="B664" t="inlineStr">
        <is>
          <t>TSLA US 05/21/21 P200</t>
        </is>
      </c>
      <c r="C664" t="inlineStr">
        <is>
          <t>2021-05-21</t>
        </is>
      </c>
      <c r="D664" t="n">
        <v>200</v>
      </c>
      <c r="E664" t="inlineStr">
        <is>
          <t>BBG00ZGTDV08</t>
        </is>
      </c>
    </row>
    <row r="665">
      <c r="A665" t="inlineStr">
        <is>
          <t>BBG00ZGTDW42 Equity</t>
        </is>
      </c>
      <c r="B665" t="inlineStr">
        <is>
          <t>TSLA US 05/21/21 P250</t>
        </is>
      </c>
      <c r="C665" t="inlineStr">
        <is>
          <t>2021-05-21</t>
        </is>
      </c>
      <c r="D665" t="n">
        <v>250</v>
      </c>
      <c r="E665" t="inlineStr">
        <is>
          <t>BBG00ZGTDW42</t>
        </is>
      </c>
    </row>
    <row r="666">
      <c r="A666" t="inlineStr">
        <is>
          <t>BBG00ZGTDX77 Equity</t>
        </is>
      </c>
      <c r="B666" t="inlineStr">
        <is>
          <t>TSLA US 05/21/21 P300</t>
        </is>
      </c>
      <c r="C666" t="inlineStr">
        <is>
          <t>2021-05-21</t>
        </is>
      </c>
      <c r="D666" t="n">
        <v>300</v>
      </c>
      <c r="E666" t="inlineStr">
        <is>
          <t>BBG00ZGTDX77</t>
        </is>
      </c>
    </row>
    <row r="667">
      <c r="A667" t="inlineStr">
        <is>
          <t>BBG00R9XV343 Equity</t>
        </is>
      </c>
      <c r="B667" t="inlineStr">
        <is>
          <t>TSLA US 06/18/21 P178</t>
        </is>
      </c>
      <c r="C667" t="inlineStr">
        <is>
          <t>2021-06-18</t>
        </is>
      </c>
      <c r="D667" t="n">
        <v>178</v>
      </c>
      <c r="E667" t="inlineStr">
        <is>
          <t>BBG00R9XV343</t>
        </is>
      </c>
    </row>
    <row r="668">
      <c r="A668" t="inlineStr">
        <is>
          <t>BBG00R9XV487 Equity</t>
        </is>
      </c>
      <c r="B668" t="inlineStr">
        <is>
          <t>TSLA US 06/18/21 P180</t>
        </is>
      </c>
      <c r="C668" t="inlineStr">
        <is>
          <t>2021-06-18</t>
        </is>
      </c>
      <c r="D668" t="n">
        <v>180</v>
      </c>
      <c r="E668" t="inlineStr">
        <is>
          <t>BBG00R9XV487</t>
        </is>
      </c>
    </row>
    <row r="669">
      <c r="A669" t="inlineStr">
        <is>
          <t>BBG00RD4PZ02 Equity</t>
        </is>
      </c>
      <c r="B669" t="inlineStr">
        <is>
          <t>TSLA US 06/18/21 P182</t>
        </is>
      </c>
      <c r="C669" t="inlineStr">
        <is>
          <t>2021-06-18</t>
        </is>
      </c>
      <c r="D669" t="n">
        <v>182</v>
      </c>
      <c r="E669" t="inlineStr">
        <is>
          <t>BBG00RD4PZ02</t>
        </is>
      </c>
    </row>
    <row r="670">
      <c r="A670" t="inlineStr">
        <is>
          <t>BBG00RD4Q035 Equity</t>
        </is>
      </c>
      <c r="B670" t="inlineStr">
        <is>
          <t>TSLA US 06/18/21 P184</t>
        </is>
      </c>
      <c r="C670" t="inlineStr">
        <is>
          <t>2021-06-18</t>
        </is>
      </c>
      <c r="D670" t="n">
        <v>184</v>
      </c>
      <c r="E670" t="inlineStr">
        <is>
          <t>BBG00RD4Q035</t>
        </is>
      </c>
    </row>
    <row r="671">
      <c r="A671" t="inlineStr">
        <is>
          <t>BBG00RD4Q160 Equity</t>
        </is>
      </c>
      <c r="B671" t="inlineStr">
        <is>
          <t>TSLA US 06/18/21 P186</t>
        </is>
      </c>
      <c r="C671" t="inlineStr">
        <is>
          <t>2021-06-18</t>
        </is>
      </c>
      <c r="D671" t="n">
        <v>186</v>
      </c>
      <c r="E671" t="inlineStr">
        <is>
          <t>BBG00RD4Q160</t>
        </is>
      </c>
    </row>
    <row r="672">
      <c r="A672" t="inlineStr">
        <is>
          <t>BBG00RD4Q2B2 Equity</t>
        </is>
      </c>
      <c r="B672" t="inlineStr">
        <is>
          <t>TSLA US 06/18/21 P188</t>
        </is>
      </c>
      <c r="C672" t="inlineStr">
        <is>
          <t>2021-06-18</t>
        </is>
      </c>
      <c r="D672" t="n">
        <v>188</v>
      </c>
      <c r="E672" t="inlineStr">
        <is>
          <t>BBG00RD4Q2B2</t>
        </is>
      </c>
    </row>
    <row r="673">
      <c r="A673" t="inlineStr">
        <is>
          <t>BBG00RD4Q3F6 Equity</t>
        </is>
      </c>
      <c r="B673" t="inlineStr">
        <is>
          <t>TSLA US 06/18/21 P190</t>
        </is>
      </c>
      <c r="C673" t="inlineStr">
        <is>
          <t>2021-06-18</t>
        </is>
      </c>
      <c r="D673" t="n">
        <v>190</v>
      </c>
      <c r="E673" t="inlineStr">
        <is>
          <t>BBG00RD4Q3F6</t>
        </is>
      </c>
    </row>
    <row r="674">
      <c r="A674" t="inlineStr">
        <is>
          <t>BBG00RD4Q4J0 Equity</t>
        </is>
      </c>
      <c r="B674" t="inlineStr">
        <is>
          <t>TSLA US 06/18/21 P192</t>
        </is>
      </c>
      <c r="C674" t="inlineStr">
        <is>
          <t>2021-06-18</t>
        </is>
      </c>
      <c r="D674" t="n">
        <v>192</v>
      </c>
      <c r="E674" t="inlineStr">
        <is>
          <t>BBG00RD4Q4J0</t>
        </is>
      </c>
    </row>
    <row r="675">
      <c r="A675" t="inlineStr">
        <is>
          <t>BBG00RD4Q5N2 Equity</t>
        </is>
      </c>
      <c r="B675" t="inlineStr">
        <is>
          <t>TSLA US 06/18/21 P194</t>
        </is>
      </c>
      <c r="C675" t="inlineStr">
        <is>
          <t>2021-06-18</t>
        </is>
      </c>
      <c r="D675" t="n">
        <v>194</v>
      </c>
      <c r="E675" t="inlineStr">
        <is>
          <t>BBG00RD4Q5N2</t>
        </is>
      </c>
    </row>
    <row r="676">
      <c r="A676" t="inlineStr">
        <is>
          <t>BBG00RD4Q6R6 Equity</t>
        </is>
      </c>
      <c r="B676" t="inlineStr">
        <is>
          <t>TSLA US 06/18/21 P196</t>
        </is>
      </c>
      <c r="C676" t="inlineStr">
        <is>
          <t>2021-06-18</t>
        </is>
      </c>
      <c r="D676" t="n">
        <v>196</v>
      </c>
      <c r="E676" t="inlineStr">
        <is>
          <t>BBG00RD4Q6R6</t>
        </is>
      </c>
    </row>
    <row r="677">
      <c r="A677" t="inlineStr">
        <is>
          <t>BBG00RD4Q7V9 Equity</t>
        </is>
      </c>
      <c r="B677" t="inlineStr">
        <is>
          <t>TSLA US 06/18/21 P198</t>
        </is>
      </c>
      <c r="C677" t="inlineStr">
        <is>
          <t>2021-06-18</t>
        </is>
      </c>
      <c r="D677" t="n">
        <v>198</v>
      </c>
      <c r="E677" t="inlineStr">
        <is>
          <t>BBG00RD4Q7V9</t>
        </is>
      </c>
    </row>
    <row r="678">
      <c r="A678" t="inlineStr">
        <is>
          <t>BBG00RD4Q8Z3 Equity</t>
        </is>
      </c>
      <c r="B678" t="inlineStr">
        <is>
          <t>TSLA US 06/18/21 P199</t>
        </is>
      </c>
      <c r="C678" t="inlineStr">
        <is>
          <t>2021-06-18</t>
        </is>
      </c>
      <c r="D678" t="n">
        <v>199</v>
      </c>
      <c r="E678" t="inlineStr">
        <is>
          <t>BBG00RD4Q8Z3</t>
        </is>
      </c>
    </row>
    <row r="679">
      <c r="A679" t="inlineStr">
        <is>
          <t>BBG00RD4QB22 Equity</t>
        </is>
      </c>
      <c r="B679" t="inlineStr">
        <is>
          <t>TSLA US 06/18/21 P200</t>
        </is>
      </c>
      <c r="C679" t="inlineStr">
        <is>
          <t>2021-06-18</t>
        </is>
      </c>
      <c r="D679" t="n">
        <v>200</v>
      </c>
      <c r="E679" t="inlineStr">
        <is>
          <t>BBG00RD4QB22</t>
        </is>
      </c>
    </row>
    <row r="680">
      <c r="A680" t="inlineStr">
        <is>
          <t>BBG00RD4QC57 Equity</t>
        </is>
      </c>
      <c r="B680" t="inlineStr">
        <is>
          <t>TSLA US 06/18/21 P201</t>
        </is>
      </c>
      <c r="C680" t="inlineStr">
        <is>
          <t>2021-06-18</t>
        </is>
      </c>
      <c r="D680" t="n">
        <v>201</v>
      </c>
      <c r="E680" t="inlineStr">
        <is>
          <t>BBG00RD4QC57</t>
        </is>
      </c>
    </row>
    <row r="681">
      <c r="A681" t="inlineStr">
        <is>
          <t>BBG00RD4QD91 Equity</t>
        </is>
      </c>
      <c r="B681" t="inlineStr">
        <is>
          <t>TSLA US 06/18/21 P202</t>
        </is>
      </c>
      <c r="C681" t="inlineStr">
        <is>
          <t>2021-06-18</t>
        </is>
      </c>
      <c r="D681" t="n">
        <v>202</v>
      </c>
      <c r="E681" t="inlineStr">
        <is>
          <t>BBG00RD4QD91</t>
        </is>
      </c>
    </row>
    <row r="682">
      <c r="A682" t="inlineStr">
        <is>
          <t>BBG00RD4QFD1 Equity</t>
        </is>
      </c>
      <c r="B682" t="inlineStr">
        <is>
          <t>TSLA US 06/18/21 P203</t>
        </is>
      </c>
      <c r="C682" t="inlineStr">
        <is>
          <t>2021-06-18</t>
        </is>
      </c>
      <c r="D682" t="n">
        <v>203</v>
      </c>
      <c r="E682" t="inlineStr">
        <is>
          <t>BBG00RD4QFD1</t>
        </is>
      </c>
    </row>
    <row r="683">
      <c r="A683" t="inlineStr">
        <is>
          <t>BBG00RMPK1B3 Equity</t>
        </is>
      </c>
      <c r="B683" t="inlineStr">
        <is>
          <t>TSLA US 06/18/21 P204</t>
        </is>
      </c>
      <c r="C683" t="inlineStr">
        <is>
          <t>2021-06-18</t>
        </is>
      </c>
      <c r="D683" t="n">
        <v>204</v>
      </c>
      <c r="E683" t="inlineStr">
        <is>
          <t>BBG00RMPK1B3</t>
        </is>
      </c>
    </row>
    <row r="684">
      <c r="A684" t="inlineStr">
        <is>
          <t>BBG00RMPK2H5 Equity</t>
        </is>
      </c>
      <c r="B684" t="inlineStr">
        <is>
          <t>TSLA US 06/18/21 P208</t>
        </is>
      </c>
      <c r="C684" t="inlineStr">
        <is>
          <t>2021-06-18</t>
        </is>
      </c>
      <c r="D684" t="n">
        <v>208</v>
      </c>
      <c r="E684" t="inlineStr">
        <is>
          <t>BBG00RMPK2H5</t>
        </is>
      </c>
    </row>
    <row r="685">
      <c r="A685" t="inlineStr">
        <is>
          <t>BBG00RMPK3L8 Equity</t>
        </is>
      </c>
      <c r="B685" t="inlineStr">
        <is>
          <t>TSLA US 06/18/21 P210</t>
        </is>
      </c>
      <c r="C685" t="inlineStr">
        <is>
          <t>2021-06-18</t>
        </is>
      </c>
      <c r="D685" t="n">
        <v>210</v>
      </c>
      <c r="E685" t="inlineStr">
        <is>
          <t>BBG00RMPK3L8</t>
        </is>
      </c>
    </row>
    <row r="686">
      <c r="A686" t="inlineStr">
        <is>
          <t>BBG00RMPK4Q1 Equity</t>
        </is>
      </c>
      <c r="B686" t="inlineStr">
        <is>
          <t>TSLA US 06/18/21 P212</t>
        </is>
      </c>
      <c r="C686" t="inlineStr">
        <is>
          <t>2021-06-18</t>
        </is>
      </c>
      <c r="D686" t="n">
        <v>212</v>
      </c>
      <c r="E686" t="inlineStr">
        <is>
          <t>BBG00RMPK4Q1</t>
        </is>
      </c>
    </row>
    <row r="687">
      <c r="A687" t="inlineStr">
        <is>
          <t>BBG00RMYN5S4 Equity</t>
        </is>
      </c>
      <c r="B687" t="inlineStr">
        <is>
          <t>TSLA US 06/18/21 P216</t>
        </is>
      </c>
      <c r="C687" t="inlineStr">
        <is>
          <t>2021-06-18</t>
        </is>
      </c>
      <c r="D687" t="n">
        <v>216</v>
      </c>
      <c r="E687" t="inlineStr">
        <is>
          <t>BBG00RMYN5S4</t>
        </is>
      </c>
    </row>
    <row r="688">
      <c r="A688" t="inlineStr">
        <is>
          <t>BBG00RMPK5T5 Equity</t>
        </is>
      </c>
      <c r="B688" t="inlineStr">
        <is>
          <t>TSLA US 06/18/21 P220</t>
        </is>
      </c>
      <c r="C688" t="inlineStr">
        <is>
          <t>2021-06-18</t>
        </is>
      </c>
      <c r="D688" t="n">
        <v>220</v>
      </c>
      <c r="E688" t="inlineStr">
        <is>
          <t>BBG00RMPK5T5</t>
        </is>
      </c>
    </row>
    <row r="689">
      <c r="A689" t="inlineStr">
        <is>
          <t>BBG00RMYN6W7 Equity</t>
        </is>
      </c>
      <c r="B689" t="inlineStr">
        <is>
          <t>TSLA US 06/18/21 P224</t>
        </is>
      </c>
      <c r="C689" t="inlineStr">
        <is>
          <t>2021-06-18</t>
        </is>
      </c>
      <c r="D689" t="n">
        <v>224</v>
      </c>
      <c r="E689" t="inlineStr">
        <is>
          <t>BBG00RMYN6W7</t>
        </is>
      </c>
    </row>
    <row r="690">
      <c r="A690" t="inlineStr">
        <is>
          <t>BBG00RMYN7Z2 Equity</t>
        </is>
      </c>
      <c r="B690" t="inlineStr">
        <is>
          <t>TSLA US 06/18/21 P228</t>
        </is>
      </c>
      <c r="C690" t="inlineStr">
        <is>
          <t>2021-06-18</t>
        </is>
      </c>
      <c r="D690" t="n">
        <v>228</v>
      </c>
      <c r="E690" t="inlineStr">
        <is>
          <t>BBG00RMYN7Z2</t>
        </is>
      </c>
    </row>
    <row r="691">
      <c r="A691" t="inlineStr">
        <is>
          <t>BBG00RMPK6X8 Equity</t>
        </is>
      </c>
      <c r="B691" t="inlineStr">
        <is>
          <t>TSLA US 06/18/21 P230</t>
        </is>
      </c>
      <c r="C691" t="inlineStr">
        <is>
          <t>2021-06-18</t>
        </is>
      </c>
      <c r="D691" t="n">
        <v>230</v>
      </c>
      <c r="E691" t="inlineStr">
        <is>
          <t>BBG00RMPK6X8</t>
        </is>
      </c>
    </row>
    <row r="692">
      <c r="A692" t="inlineStr">
        <is>
          <t>BBG00RMYN933 Equity</t>
        </is>
      </c>
      <c r="B692" t="inlineStr">
        <is>
          <t>TSLA US 06/18/21 P232</t>
        </is>
      </c>
      <c r="C692" t="inlineStr">
        <is>
          <t>2021-06-18</t>
        </is>
      </c>
      <c r="D692" t="n">
        <v>232</v>
      </c>
      <c r="E692" t="inlineStr">
        <is>
          <t>BBG00RMYN933</t>
        </is>
      </c>
    </row>
    <row r="693">
      <c r="A693" t="inlineStr">
        <is>
          <t>BBG00RMYNB65 Equity</t>
        </is>
      </c>
      <c r="B693" t="inlineStr">
        <is>
          <t>TSLA US 06/18/21 P236</t>
        </is>
      </c>
      <c r="C693" t="inlineStr">
        <is>
          <t>2021-06-18</t>
        </is>
      </c>
      <c r="D693" t="n">
        <v>236</v>
      </c>
      <c r="E693" t="inlineStr">
        <is>
          <t>BBG00RMYNB65</t>
        </is>
      </c>
    </row>
    <row r="694">
      <c r="A694" t="inlineStr">
        <is>
          <t>BBG00RMPK819 Equity</t>
        </is>
      </c>
      <c r="B694" t="inlineStr">
        <is>
          <t>TSLA US 06/18/21 P240</t>
        </is>
      </c>
      <c r="C694" t="inlineStr">
        <is>
          <t>2021-06-18</t>
        </is>
      </c>
      <c r="D694" t="n">
        <v>240</v>
      </c>
      <c r="E694" t="inlineStr">
        <is>
          <t>BBG00RMPK819</t>
        </is>
      </c>
    </row>
    <row r="695">
      <c r="A695" t="inlineStr">
        <is>
          <t>BBG00RMYNC90 Equity</t>
        </is>
      </c>
      <c r="B695" t="inlineStr">
        <is>
          <t>TSLA US 06/18/21 P244</t>
        </is>
      </c>
      <c r="C695" t="inlineStr">
        <is>
          <t>2021-06-18</t>
        </is>
      </c>
      <c r="D695" t="n">
        <v>244</v>
      </c>
      <c r="E695" t="inlineStr">
        <is>
          <t>BBG00RMYNC90</t>
        </is>
      </c>
    </row>
    <row r="696">
      <c r="A696" t="inlineStr">
        <is>
          <t>BBG00RMYNDF1 Equity</t>
        </is>
      </c>
      <c r="B696" t="inlineStr">
        <is>
          <t>TSLA US 06/18/21 P248</t>
        </is>
      </c>
      <c r="C696" t="inlineStr">
        <is>
          <t>2021-06-18</t>
        </is>
      </c>
      <c r="D696" t="n">
        <v>248</v>
      </c>
      <c r="E696" t="inlineStr">
        <is>
          <t>BBG00RMYNDF1</t>
        </is>
      </c>
    </row>
    <row r="697">
      <c r="A697" t="inlineStr">
        <is>
          <t>BBG00RMPK944 Equity</t>
        </is>
      </c>
      <c r="B697" t="inlineStr">
        <is>
          <t>TSLA US 06/18/21 P250</t>
        </is>
      </c>
      <c r="C697" t="inlineStr">
        <is>
          <t>2021-06-18</t>
        </is>
      </c>
      <c r="D697" t="n">
        <v>250</v>
      </c>
      <c r="E697" t="inlineStr">
        <is>
          <t>BBG00RMPK944</t>
        </is>
      </c>
    </row>
    <row r="698">
      <c r="A698" t="inlineStr">
        <is>
          <t>BBG00RMYNFJ2 Equity</t>
        </is>
      </c>
      <c r="B698" t="inlineStr">
        <is>
          <t>TSLA US 06/18/21 P252</t>
        </is>
      </c>
      <c r="C698" t="inlineStr">
        <is>
          <t>2021-06-18</t>
        </is>
      </c>
      <c r="D698" t="n">
        <v>252</v>
      </c>
      <c r="E698" t="inlineStr">
        <is>
          <t>BBG00RMYNFJ2</t>
        </is>
      </c>
    </row>
    <row r="699">
      <c r="A699" t="inlineStr">
        <is>
          <t>BBG00RMYNGM6 Equity</t>
        </is>
      </c>
      <c r="B699" t="inlineStr">
        <is>
          <t>TSLA US 06/18/21 P256</t>
        </is>
      </c>
      <c r="C699" t="inlineStr">
        <is>
          <t>2021-06-18</t>
        </is>
      </c>
      <c r="D699" t="n">
        <v>256</v>
      </c>
      <c r="E699" t="inlineStr">
        <is>
          <t>BBG00RMYNGM6</t>
        </is>
      </c>
    </row>
    <row r="700">
      <c r="A700" t="inlineStr">
        <is>
          <t>BBG00RMPKB76 Equity</t>
        </is>
      </c>
      <c r="B700" t="inlineStr">
        <is>
          <t>TSLA US 06/18/21 P260</t>
        </is>
      </c>
      <c r="C700" t="inlineStr">
        <is>
          <t>2021-06-18</t>
        </is>
      </c>
      <c r="D700" t="n">
        <v>260</v>
      </c>
      <c r="E700" t="inlineStr">
        <is>
          <t>BBG00RMPKB76</t>
        </is>
      </c>
    </row>
    <row r="701">
      <c r="A701" t="inlineStr">
        <is>
          <t>BBG00RMPKCC8 Equity</t>
        </is>
      </c>
      <c r="B701" t="inlineStr">
        <is>
          <t>TSLA US 06/18/21 P270</t>
        </is>
      </c>
      <c r="C701" t="inlineStr">
        <is>
          <t>2021-06-18</t>
        </is>
      </c>
      <c r="D701" t="n">
        <v>270</v>
      </c>
      <c r="E701" t="inlineStr">
        <is>
          <t>BBG00RMPKCC8</t>
        </is>
      </c>
    </row>
    <row r="702">
      <c r="A702" t="inlineStr">
        <is>
          <t>BBG00RMPKDG2 Equity</t>
        </is>
      </c>
      <c r="B702" t="inlineStr">
        <is>
          <t>TSLA US 06/18/21 P280</t>
        </is>
      </c>
      <c r="C702" t="inlineStr">
        <is>
          <t>2021-06-18</t>
        </is>
      </c>
      <c r="D702" t="n">
        <v>280</v>
      </c>
      <c r="E702" t="inlineStr">
        <is>
          <t>BBG00RMPKDG2</t>
        </is>
      </c>
    </row>
    <row r="703">
      <c r="A703" t="inlineStr">
        <is>
          <t>BBG00RMPKFK2 Equity</t>
        </is>
      </c>
      <c r="B703" t="inlineStr">
        <is>
          <t>TSLA US 06/18/21 P290</t>
        </is>
      </c>
      <c r="C703" t="inlineStr">
        <is>
          <t>2021-06-18</t>
        </is>
      </c>
      <c r="D703" t="n">
        <v>290</v>
      </c>
      <c r="E703" t="inlineStr">
        <is>
          <t>BBG00RMPKFK2</t>
        </is>
      </c>
    </row>
    <row r="704">
      <c r="A704" t="inlineStr">
        <is>
          <t>BBG00RMPKGP5 Equity</t>
        </is>
      </c>
      <c r="B704" t="inlineStr">
        <is>
          <t>TSLA US 06/18/21 P300</t>
        </is>
      </c>
      <c r="C704" t="inlineStr">
        <is>
          <t>2021-06-18</t>
        </is>
      </c>
      <c r="D704" t="n">
        <v>300</v>
      </c>
      <c r="E704" t="inlineStr">
        <is>
          <t>BBG00RMPKGP5</t>
        </is>
      </c>
    </row>
    <row r="705">
      <c r="A705" t="inlineStr">
        <is>
          <t>BBG00RMYNHR9 Equity</t>
        </is>
      </c>
      <c r="B705" t="inlineStr">
        <is>
          <t>TSLA US 06/18/21 P304</t>
        </is>
      </c>
      <c r="C705" t="inlineStr">
        <is>
          <t>2021-06-18</t>
        </is>
      </c>
      <c r="D705" t="n">
        <v>304</v>
      </c>
      <c r="E705" t="inlineStr">
        <is>
          <t>BBG00RMYNHR9</t>
        </is>
      </c>
    </row>
    <row r="706">
      <c r="A706" t="inlineStr">
        <is>
          <t>BBG00ZGTF2S0 Equity</t>
        </is>
      </c>
      <c r="B706" t="inlineStr">
        <is>
          <t>TSLA US 07/16/21 P200</t>
        </is>
      </c>
      <c r="C706" t="inlineStr">
        <is>
          <t>2021-07-16</t>
        </is>
      </c>
      <c r="D706" t="n">
        <v>200</v>
      </c>
      <c r="E706" t="inlineStr">
        <is>
          <t>BBG00ZGTF2S0</t>
        </is>
      </c>
    </row>
    <row r="707">
      <c r="A707" t="inlineStr">
        <is>
          <t>BBG00ZGTF3W3 Equity</t>
        </is>
      </c>
      <c r="B707" t="inlineStr">
        <is>
          <t>TSLA US 07/16/21 P250</t>
        </is>
      </c>
      <c r="C707" t="inlineStr">
        <is>
          <t>2021-07-16</t>
        </is>
      </c>
      <c r="D707" t="n">
        <v>250</v>
      </c>
      <c r="E707" t="inlineStr">
        <is>
          <t>BBG00ZGTF3W3</t>
        </is>
      </c>
    </row>
    <row r="708">
      <c r="A708" t="inlineStr">
        <is>
          <t>BBG00WKF2XW3 Equity</t>
        </is>
      </c>
      <c r="B708" t="inlineStr">
        <is>
          <t>TSLA US 07/16/21 P260</t>
        </is>
      </c>
      <c r="C708" t="inlineStr">
        <is>
          <t>2021-07-16</t>
        </is>
      </c>
      <c r="D708" t="n">
        <v>260</v>
      </c>
      <c r="E708" t="inlineStr">
        <is>
          <t>BBG00WKF2XW3</t>
        </is>
      </c>
    </row>
    <row r="709">
      <c r="A709" t="inlineStr">
        <is>
          <t>BBG00WKF2YZ8 Equity</t>
        </is>
      </c>
      <c r="B709" t="inlineStr">
        <is>
          <t>TSLA US 07/16/21 P262</t>
        </is>
      </c>
      <c r="C709" t="inlineStr">
        <is>
          <t>2021-07-16</t>
        </is>
      </c>
      <c r="D709" t="n">
        <v>262</v>
      </c>
      <c r="E709" t="inlineStr">
        <is>
          <t>BBG00WKF2YZ8</t>
        </is>
      </c>
    </row>
    <row r="710">
      <c r="A710" t="inlineStr">
        <is>
          <t>BBG00WKF3027 Equity</t>
        </is>
      </c>
      <c r="B710" t="inlineStr">
        <is>
          <t>TSLA US 07/16/21 P264</t>
        </is>
      </c>
      <c r="C710" t="inlineStr">
        <is>
          <t>2021-07-16</t>
        </is>
      </c>
      <c r="D710" t="n">
        <v>264</v>
      </c>
      <c r="E710" t="inlineStr">
        <is>
          <t>BBG00WKF3027</t>
        </is>
      </c>
    </row>
    <row r="711">
      <c r="A711" t="inlineStr">
        <is>
          <t>BBG00WKF3161 Equity</t>
        </is>
      </c>
      <c r="B711" t="inlineStr">
        <is>
          <t>TSLA US 07/16/21 P268</t>
        </is>
      </c>
      <c r="C711" t="inlineStr">
        <is>
          <t>2021-07-16</t>
        </is>
      </c>
      <c r="D711" t="n">
        <v>268</v>
      </c>
      <c r="E711" t="inlineStr">
        <is>
          <t>BBG00WKF3161</t>
        </is>
      </c>
    </row>
    <row r="712">
      <c r="A712" t="inlineStr">
        <is>
          <t>BBG00WKF3296 Equity</t>
        </is>
      </c>
      <c r="B712" t="inlineStr">
        <is>
          <t>TSLA US 07/16/21 P270</t>
        </is>
      </c>
      <c r="C712" t="inlineStr">
        <is>
          <t>2021-07-16</t>
        </is>
      </c>
      <c r="D712" t="n">
        <v>270</v>
      </c>
      <c r="E712" t="inlineStr">
        <is>
          <t>BBG00WKF3296</t>
        </is>
      </c>
    </row>
    <row r="713">
      <c r="A713" t="inlineStr">
        <is>
          <t>BBG00WKF33D9 Equity</t>
        </is>
      </c>
      <c r="B713" t="inlineStr">
        <is>
          <t>TSLA US 07/16/21 P272</t>
        </is>
      </c>
      <c r="C713" t="inlineStr">
        <is>
          <t>2021-07-16</t>
        </is>
      </c>
      <c r="D713" t="n">
        <v>272</v>
      </c>
      <c r="E713" t="inlineStr">
        <is>
          <t>BBG00WKF33D9</t>
        </is>
      </c>
    </row>
    <row r="714">
      <c r="A714" t="inlineStr">
        <is>
          <t>BBG00WKF34J1 Equity</t>
        </is>
      </c>
      <c r="B714" t="inlineStr">
        <is>
          <t>TSLA US 07/16/21 P274</t>
        </is>
      </c>
      <c r="C714" t="inlineStr">
        <is>
          <t>2021-07-16</t>
        </is>
      </c>
      <c r="D714" t="n">
        <v>274</v>
      </c>
      <c r="E714" t="inlineStr">
        <is>
          <t>BBG00WKF34J1</t>
        </is>
      </c>
    </row>
    <row r="715">
      <c r="A715" t="inlineStr">
        <is>
          <t>BBG00WKF35M4 Equity</t>
        </is>
      </c>
      <c r="B715" t="inlineStr">
        <is>
          <t>TSLA US 07/16/21 P276</t>
        </is>
      </c>
      <c r="C715" t="inlineStr">
        <is>
          <t>2021-07-16</t>
        </is>
      </c>
      <c r="D715" t="n">
        <v>276</v>
      </c>
      <c r="E715" t="inlineStr">
        <is>
          <t>BBG00WKF35M4</t>
        </is>
      </c>
    </row>
    <row r="716">
      <c r="A716" t="inlineStr">
        <is>
          <t>BBG00WKF36Q8 Equity</t>
        </is>
      </c>
      <c r="B716" t="inlineStr">
        <is>
          <t>TSLA US 07/16/21 P278</t>
        </is>
      </c>
      <c r="C716" t="inlineStr">
        <is>
          <t>2021-07-16</t>
        </is>
      </c>
      <c r="D716" t="n">
        <v>278</v>
      </c>
      <c r="E716" t="inlineStr">
        <is>
          <t>BBG00WKF36Q8</t>
        </is>
      </c>
    </row>
    <row r="717">
      <c r="A717" t="inlineStr">
        <is>
          <t>BBG00WKF37V0 Equity</t>
        </is>
      </c>
      <c r="B717" t="inlineStr">
        <is>
          <t>TSLA US 07/16/21 P280</t>
        </is>
      </c>
      <c r="C717" t="inlineStr">
        <is>
          <t>2021-07-16</t>
        </is>
      </c>
      <c r="D717" t="n">
        <v>280</v>
      </c>
      <c r="E717" t="inlineStr">
        <is>
          <t>BBG00WKF37V0</t>
        </is>
      </c>
    </row>
    <row r="718">
      <c r="A718" t="inlineStr">
        <is>
          <t>BBG00WKF38Y5 Equity</t>
        </is>
      </c>
      <c r="B718" t="inlineStr">
        <is>
          <t>TSLA US 07/16/21 P282</t>
        </is>
      </c>
      <c r="C718" t="inlineStr">
        <is>
          <t>2021-07-16</t>
        </is>
      </c>
      <c r="D718" t="n">
        <v>282</v>
      </c>
      <c r="E718" t="inlineStr">
        <is>
          <t>BBG00WKF38Y5</t>
        </is>
      </c>
    </row>
    <row r="719">
      <c r="A719" t="inlineStr">
        <is>
          <t>BBG00WKF3B14 Equity</t>
        </is>
      </c>
      <c r="B719" t="inlineStr">
        <is>
          <t>TSLA US 07/16/21 P284</t>
        </is>
      </c>
      <c r="C719" t="inlineStr">
        <is>
          <t>2021-07-16</t>
        </is>
      </c>
      <c r="D719" t="n">
        <v>284</v>
      </c>
      <c r="E719" t="inlineStr">
        <is>
          <t>BBG00WKF3B14</t>
        </is>
      </c>
    </row>
    <row r="720">
      <c r="A720" t="inlineStr">
        <is>
          <t>BBG00WKF3C58 Equity</t>
        </is>
      </c>
      <c r="B720" t="inlineStr">
        <is>
          <t>TSLA US 07/16/21 P286</t>
        </is>
      </c>
      <c r="C720" t="inlineStr">
        <is>
          <t>2021-07-16</t>
        </is>
      </c>
      <c r="D720" t="n">
        <v>286</v>
      </c>
      <c r="E720" t="inlineStr">
        <is>
          <t>BBG00WKF3C58</t>
        </is>
      </c>
    </row>
    <row r="721">
      <c r="A721" t="inlineStr">
        <is>
          <t>BBG00WKF3D83 Equity</t>
        </is>
      </c>
      <c r="B721" t="inlineStr">
        <is>
          <t>TSLA US 07/16/21 P288</t>
        </is>
      </c>
      <c r="C721" t="inlineStr">
        <is>
          <t>2021-07-16</t>
        </is>
      </c>
      <c r="D721" t="n">
        <v>288</v>
      </c>
      <c r="E721" t="inlineStr">
        <is>
          <t>BBG00WKF3D83</t>
        </is>
      </c>
    </row>
    <row r="722">
      <c r="A722" t="inlineStr">
        <is>
          <t>BBG00WKF3FC3 Equity</t>
        </is>
      </c>
      <c r="B722" t="inlineStr">
        <is>
          <t>TSLA US 07/16/21 P292</t>
        </is>
      </c>
      <c r="C722" t="inlineStr">
        <is>
          <t>2021-07-16</t>
        </is>
      </c>
      <c r="D722" t="n">
        <v>292</v>
      </c>
      <c r="E722" t="inlineStr">
        <is>
          <t>BBG00WKF3FC3</t>
        </is>
      </c>
    </row>
    <row r="723">
      <c r="A723" t="inlineStr">
        <is>
          <t>BBG01159W3G2 Equity</t>
        </is>
      </c>
      <c r="B723" t="inlineStr">
        <is>
          <t>TSLA US 08/20/21 P200</t>
        </is>
      </c>
      <c r="C723" t="inlineStr">
        <is>
          <t>2021-08-20</t>
        </is>
      </c>
      <c r="D723" t="n">
        <v>200</v>
      </c>
      <c r="E723" t="inlineStr">
        <is>
          <t>BBG01159W3G2</t>
        </is>
      </c>
    </row>
    <row r="724">
      <c r="A724" t="inlineStr">
        <is>
          <t>BBG01159W4K5 Equity</t>
        </is>
      </c>
      <c r="B724" t="inlineStr">
        <is>
          <t>TSLA US 08/20/21 P250</t>
        </is>
      </c>
      <c r="C724" t="inlineStr">
        <is>
          <t>2021-08-20</t>
        </is>
      </c>
      <c r="D724" t="n">
        <v>250</v>
      </c>
      <c r="E724" t="inlineStr">
        <is>
          <t>BBG01159W4K5</t>
        </is>
      </c>
    </row>
    <row r="725">
      <c r="A725" t="inlineStr">
        <is>
          <t>BBG00R9XV8P9 Equity</t>
        </is>
      </c>
      <c r="B725" t="inlineStr">
        <is>
          <t>TSLA US 09/17/21 P178</t>
        </is>
      </c>
      <c r="C725" t="inlineStr">
        <is>
          <t>2021-09-17</t>
        </is>
      </c>
      <c r="D725" t="n">
        <v>178</v>
      </c>
      <c r="E725" t="inlineStr">
        <is>
          <t>BBG00R9XV8P9</t>
        </is>
      </c>
    </row>
    <row r="726">
      <c r="A726" t="inlineStr">
        <is>
          <t>BBG00R9XV9S4 Equity</t>
        </is>
      </c>
      <c r="B726" t="inlineStr">
        <is>
          <t>TSLA US 09/17/21 P180</t>
        </is>
      </c>
      <c r="C726" t="inlineStr">
        <is>
          <t>2021-09-17</t>
        </is>
      </c>
      <c r="D726" t="n">
        <v>180</v>
      </c>
      <c r="E726" t="inlineStr">
        <is>
          <t>BBG00R9XV9S4</t>
        </is>
      </c>
    </row>
    <row r="727">
      <c r="A727" t="inlineStr">
        <is>
          <t>BBG00RD4QGH5 Equity</t>
        </is>
      </c>
      <c r="B727" t="inlineStr">
        <is>
          <t>TSLA US 09/17/21 P182</t>
        </is>
      </c>
      <c r="C727" t="inlineStr">
        <is>
          <t>2021-09-17</t>
        </is>
      </c>
      <c r="D727" t="n">
        <v>182</v>
      </c>
      <c r="E727" t="inlineStr">
        <is>
          <t>BBG00RD4QGH5</t>
        </is>
      </c>
    </row>
    <row r="728">
      <c r="A728" t="inlineStr">
        <is>
          <t>BBG00RD4QHM7 Equity</t>
        </is>
      </c>
      <c r="B728" t="inlineStr">
        <is>
          <t>TSLA US 09/17/21 P184</t>
        </is>
      </c>
      <c r="C728" t="inlineStr">
        <is>
          <t>2021-09-17</t>
        </is>
      </c>
      <c r="D728" t="n">
        <v>184</v>
      </c>
      <c r="E728" t="inlineStr">
        <is>
          <t>BBG00RD4QHM7</t>
        </is>
      </c>
    </row>
    <row r="729">
      <c r="A729" t="inlineStr">
        <is>
          <t>BBG00RD4QJQ9 Equity</t>
        </is>
      </c>
      <c r="B729" t="inlineStr">
        <is>
          <t>TSLA US 09/17/21 P186</t>
        </is>
      </c>
      <c r="C729" t="inlineStr">
        <is>
          <t>2021-09-17</t>
        </is>
      </c>
      <c r="D729" t="n">
        <v>186</v>
      </c>
      <c r="E729" t="inlineStr">
        <is>
          <t>BBG00RD4QJQ9</t>
        </is>
      </c>
    </row>
    <row r="730">
      <c r="A730" t="inlineStr">
        <is>
          <t>BBG00RD4QKT3 Equity</t>
        </is>
      </c>
      <c r="B730" t="inlineStr">
        <is>
          <t>TSLA US 09/17/21 P188</t>
        </is>
      </c>
      <c r="C730" t="inlineStr">
        <is>
          <t>2021-09-17</t>
        </is>
      </c>
      <c r="D730" t="n">
        <v>188</v>
      </c>
      <c r="E730" t="inlineStr">
        <is>
          <t>BBG00RD4QKT3</t>
        </is>
      </c>
    </row>
    <row r="731">
      <c r="A731" t="inlineStr">
        <is>
          <t>BBG00RD4QLY5 Equity</t>
        </is>
      </c>
      <c r="B731" t="inlineStr">
        <is>
          <t>TSLA US 09/17/21 P190</t>
        </is>
      </c>
      <c r="C731" t="inlineStr">
        <is>
          <t>2021-09-17</t>
        </is>
      </c>
      <c r="D731" t="n">
        <v>190</v>
      </c>
      <c r="E731" t="inlineStr">
        <is>
          <t>BBG00RD4QLY5</t>
        </is>
      </c>
    </row>
    <row r="732">
      <c r="A732" t="inlineStr">
        <is>
          <t>BBG00RD4QN17 Equity</t>
        </is>
      </c>
      <c r="B732" t="inlineStr">
        <is>
          <t>TSLA US 09/17/21 P192</t>
        </is>
      </c>
      <c r="C732" t="inlineStr">
        <is>
          <t>2021-09-17</t>
        </is>
      </c>
      <c r="D732" t="n">
        <v>192</v>
      </c>
      <c r="E732" t="inlineStr">
        <is>
          <t>BBG00RD4QN17</t>
        </is>
      </c>
    </row>
    <row r="733">
      <c r="A733" t="inlineStr">
        <is>
          <t>BBG00RD4QP49 Equity</t>
        </is>
      </c>
      <c r="B733" t="inlineStr">
        <is>
          <t>TSLA US 09/17/21 P194</t>
        </is>
      </c>
      <c r="C733" t="inlineStr">
        <is>
          <t>2021-09-17</t>
        </is>
      </c>
      <c r="D733" t="n">
        <v>194</v>
      </c>
      <c r="E733" t="inlineStr">
        <is>
          <t>BBG00RD4QP49</t>
        </is>
      </c>
    </row>
    <row r="734">
      <c r="A734" t="inlineStr">
        <is>
          <t>BBG00RD4QQ83 Equity</t>
        </is>
      </c>
      <c r="B734" t="inlineStr">
        <is>
          <t>TSLA US 09/17/21 P196</t>
        </is>
      </c>
      <c r="C734" t="inlineStr">
        <is>
          <t>2021-09-17</t>
        </is>
      </c>
      <c r="D734" t="n">
        <v>196</v>
      </c>
      <c r="E734" t="inlineStr">
        <is>
          <t>BBG00RD4QQ83</t>
        </is>
      </c>
    </row>
    <row r="735">
      <c r="A735" t="inlineStr">
        <is>
          <t>BBG00RD4QRC6 Equity</t>
        </is>
      </c>
      <c r="B735" t="inlineStr">
        <is>
          <t>TSLA US 09/17/21 P198</t>
        </is>
      </c>
      <c r="C735" t="inlineStr">
        <is>
          <t>2021-09-17</t>
        </is>
      </c>
      <c r="D735" t="n">
        <v>198</v>
      </c>
      <c r="E735" t="inlineStr">
        <is>
          <t>BBG00RD4QRC6</t>
        </is>
      </c>
    </row>
    <row r="736">
      <c r="A736" t="inlineStr">
        <is>
          <t>BBG00RD4QSG0 Equity</t>
        </is>
      </c>
      <c r="B736" t="inlineStr">
        <is>
          <t>TSLA US 09/17/21 P199</t>
        </is>
      </c>
      <c r="C736" t="inlineStr">
        <is>
          <t>2021-09-17</t>
        </is>
      </c>
      <c r="D736" t="n">
        <v>199</v>
      </c>
      <c r="E736" t="inlineStr">
        <is>
          <t>BBG00RD4QSG0</t>
        </is>
      </c>
    </row>
    <row r="737">
      <c r="A737" t="inlineStr">
        <is>
          <t>BBG00RD4QTL2 Equity</t>
        </is>
      </c>
      <c r="B737" t="inlineStr">
        <is>
          <t>TSLA US 09/17/21 P200</t>
        </is>
      </c>
      <c r="C737" t="inlineStr">
        <is>
          <t>2021-09-17</t>
        </is>
      </c>
      <c r="D737" t="n">
        <v>200</v>
      </c>
      <c r="E737" t="inlineStr">
        <is>
          <t>BBG00RD4QTL2</t>
        </is>
      </c>
    </row>
    <row r="738">
      <c r="A738" t="inlineStr">
        <is>
          <t>BBG00RD4QVP3 Equity</t>
        </is>
      </c>
      <c r="B738" t="inlineStr">
        <is>
          <t>TSLA US 09/17/21 P201</t>
        </is>
      </c>
      <c r="C738" t="inlineStr">
        <is>
          <t>2021-09-17</t>
        </is>
      </c>
      <c r="D738" t="n">
        <v>201</v>
      </c>
      <c r="E738" t="inlineStr">
        <is>
          <t>BBG00RD4QVP3</t>
        </is>
      </c>
    </row>
    <row r="739">
      <c r="A739" t="inlineStr">
        <is>
          <t>BBG00RD4QWS8 Equity</t>
        </is>
      </c>
      <c r="B739" t="inlineStr">
        <is>
          <t>TSLA US 09/17/21 P202</t>
        </is>
      </c>
      <c r="C739" t="inlineStr">
        <is>
          <t>2021-09-17</t>
        </is>
      </c>
      <c r="D739" t="n">
        <v>202</v>
      </c>
      <c r="E739" t="inlineStr">
        <is>
          <t>BBG00RD4QWS8</t>
        </is>
      </c>
    </row>
    <row r="740">
      <c r="A740" t="inlineStr">
        <is>
          <t>BBG00RD4QXX0 Equity</t>
        </is>
      </c>
      <c r="B740" t="inlineStr">
        <is>
          <t>TSLA US 09/17/21 P203</t>
        </is>
      </c>
      <c r="C740" t="inlineStr">
        <is>
          <t>2021-09-17</t>
        </is>
      </c>
      <c r="D740" t="n">
        <v>203</v>
      </c>
      <c r="E740" t="inlineStr">
        <is>
          <t>BBG00RD4QXX0</t>
        </is>
      </c>
    </row>
    <row r="741">
      <c r="A741" t="inlineStr">
        <is>
          <t>BBG00RMPKHS0 Equity</t>
        </is>
      </c>
      <c r="B741" t="inlineStr">
        <is>
          <t>TSLA US 09/17/21 P204</t>
        </is>
      </c>
      <c r="C741" t="inlineStr">
        <is>
          <t>2021-09-17</t>
        </is>
      </c>
      <c r="D741" t="n">
        <v>204</v>
      </c>
      <c r="E741" t="inlineStr">
        <is>
          <t>BBG00RMPKHS0</t>
        </is>
      </c>
    </row>
    <row r="742">
      <c r="A742" t="inlineStr">
        <is>
          <t>BBG00RMPKJW1 Equity</t>
        </is>
      </c>
      <c r="B742" t="inlineStr">
        <is>
          <t>TSLA US 09/17/21 P208</t>
        </is>
      </c>
      <c r="C742" t="inlineStr">
        <is>
          <t>2021-09-17</t>
        </is>
      </c>
      <c r="D742" t="n">
        <v>208</v>
      </c>
      <c r="E742" t="inlineStr">
        <is>
          <t>BBG00RMPKJW1</t>
        </is>
      </c>
    </row>
    <row r="743">
      <c r="A743" t="inlineStr">
        <is>
          <t>BBG00RMPKL01 Equity</t>
        </is>
      </c>
      <c r="B743" t="inlineStr">
        <is>
          <t>TSLA US 09/17/21 P210</t>
        </is>
      </c>
      <c r="C743" t="inlineStr">
        <is>
          <t>2021-09-17</t>
        </is>
      </c>
      <c r="D743" t="n">
        <v>210</v>
      </c>
      <c r="E743" t="inlineStr">
        <is>
          <t>BBG00RMPKL01</t>
        </is>
      </c>
    </row>
    <row r="744">
      <c r="A744" t="inlineStr">
        <is>
          <t>BBG00RMPKM36 Equity</t>
        </is>
      </c>
      <c r="B744" t="inlineStr">
        <is>
          <t>TSLA US 09/17/21 P212</t>
        </is>
      </c>
      <c r="C744" t="inlineStr">
        <is>
          <t>2021-09-17</t>
        </is>
      </c>
      <c r="D744" t="n">
        <v>212</v>
      </c>
      <c r="E744" t="inlineStr">
        <is>
          <t>BBG00RMPKM36</t>
        </is>
      </c>
    </row>
    <row r="745">
      <c r="A745" t="inlineStr">
        <is>
          <t>BBG00RMYPTQ2 Equity</t>
        </is>
      </c>
      <c r="B745" t="inlineStr">
        <is>
          <t>TSLA US 09/17/21 P216</t>
        </is>
      </c>
      <c r="C745" t="inlineStr">
        <is>
          <t>2021-09-17</t>
        </is>
      </c>
      <c r="D745" t="n">
        <v>216</v>
      </c>
      <c r="E745" t="inlineStr">
        <is>
          <t>BBG00RMYPTQ2</t>
        </is>
      </c>
    </row>
    <row r="746">
      <c r="A746" t="inlineStr">
        <is>
          <t>BBG00RMPKN61 Equity</t>
        </is>
      </c>
      <c r="B746" t="inlineStr">
        <is>
          <t>TSLA US 09/17/21 P220</t>
        </is>
      </c>
      <c r="C746" t="inlineStr">
        <is>
          <t>2021-09-17</t>
        </is>
      </c>
      <c r="D746" t="n">
        <v>220</v>
      </c>
      <c r="E746" t="inlineStr">
        <is>
          <t>BBG00RMPKN61</t>
        </is>
      </c>
    </row>
    <row r="747">
      <c r="A747" t="inlineStr">
        <is>
          <t>BBG00RMYPVV1 Equity</t>
        </is>
      </c>
      <c r="B747" t="inlineStr">
        <is>
          <t>TSLA US 09/17/21 P224</t>
        </is>
      </c>
      <c r="C747" t="inlineStr">
        <is>
          <t>2021-09-17</t>
        </is>
      </c>
      <c r="D747" t="n">
        <v>224</v>
      </c>
      <c r="E747" t="inlineStr">
        <is>
          <t>BBG00RMYPVV1</t>
        </is>
      </c>
    </row>
    <row r="748">
      <c r="A748" t="inlineStr">
        <is>
          <t>BBG00RMYPWY6 Equity</t>
        </is>
      </c>
      <c r="B748" t="inlineStr">
        <is>
          <t>TSLA US 09/17/21 P228</t>
        </is>
      </c>
      <c r="C748" t="inlineStr">
        <is>
          <t>2021-09-17</t>
        </is>
      </c>
      <c r="D748" t="n">
        <v>228</v>
      </c>
      <c r="E748" t="inlineStr">
        <is>
          <t>BBG00RMYPWY6</t>
        </is>
      </c>
    </row>
    <row r="749">
      <c r="A749" t="inlineStr">
        <is>
          <t>BBG00RMPKPB0 Equity</t>
        </is>
      </c>
      <c r="B749" t="inlineStr">
        <is>
          <t>TSLA US 09/17/21 P230</t>
        </is>
      </c>
      <c r="C749" t="inlineStr">
        <is>
          <t>2021-09-17</t>
        </is>
      </c>
      <c r="D749" t="n">
        <v>230</v>
      </c>
      <c r="E749" t="inlineStr">
        <is>
          <t>BBG00RMPKPB0</t>
        </is>
      </c>
    </row>
    <row r="750">
      <c r="A750" t="inlineStr">
        <is>
          <t>BBG00RMYPY18 Equity</t>
        </is>
      </c>
      <c r="B750" t="inlineStr">
        <is>
          <t>TSLA US 09/17/21 P232</t>
        </is>
      </c>
      <c r="C750" t="inlineStr">
        <is>
          <t>2021-09-17</t>
        </is>
      </c>
      <c r="D750" t="n">
        <v>232</v>
      </c>
      <c r="E750" t="inlineStr">
        <is>
          <t>BBG00RMYPY18</t>
        </is>
      </c>
    </row>
    <row r="751">
      <c r="A751" t="inlineStr">
        <is>
          <t>BBG00RMYPZ51 Equity</t>
        </is>
      </c>
      <c r="B751" t="inlineStr">
        <is>
          <t>TSLA US 09/17/21 P236</t>
        </is>
      </c>
      <c r="C751" t="inlineStr">
        <is>
          <t>2021-09-17</t>
        </is>
      </c>
      <c r="D751" t="n">
        <v>236</v>
      </c>
      <c r="E751" t="inlineStr">
        <is>
          <t>BBG00RMYPZ51</t>
        </is>
      </c>
    </row>
    <row r="752">
      <c r="A752" t="inlineStr">
        <is>
          <t>BBG00RMPKQF4 Equity</t>
        </is>
      </c>
      <c r="B752" t="inlineStr">
        <is>
          <t>TSLA US 09/17/21 P240</t>
        </is>
      </c>
      <c r="C752" t="inlineStr">
        <is>
          <t>2021-09-17</t>
        </is>
      </c>
      <c r="D752" t="n">
        <v>240</v>
      </c>
      <c r="E752" t="inlineStr">
        <is>
          <t>BBG00RMPKQF4</t>
        </is>
      </c>
    </row>
    <row r="753">
      <c r="A753" t="inlineStr">
        <is>
          <t>BBG00RMYQ084 Equity</t>
        </is>
      </c>
      <c r="B753" t="inlineStr">
        <is>
          <t>TSLA US 09/17/21 P244</t>
        </is>
      </c>
      <c r="C753" t="inlineStr">
        <is>
          <t>2021-09-17</t>
        </is>
      </c>
      <c r="D753" t="n">
        <v>244</v>
      </c>
      <c r="E753" t="inlineStr">
        <is>
          <t>BBG00RMYQ084</t>
        </is>
      </c>
    </row>
    <row r="754">
      <c r="A754" t="inlineStr">
        <is>
          <t>BBG00RMYQ1C7 Equity</t>
        </is>
      </c>
      <c r="B754" t="inlineStr">
        <is>
          <t>TSLA US 09/17/21 P248</t>
        </is>
      </c>
      <c r="C754" t="inlineStr">
        <is>
          <t>2021-09-17</t>
        </is>
      </c>
      <c r="D754" t="n">
        <v>248</v>
      </c>
      <c r="E754" t="inlineStr">
        <is>
          <t>BBG00RMYQ1C7</t>
        </is>
      </c>
    </row>
    <row r="755">
      <c r="A755" t="inlineStr">
        <is>
          <t>BBG00RMPKRJ8 Equity</t>
        </is>
      </c>
      <c r="B755" t="inlineStr">
        <is>
          <t>TSLA US 09/17/21 P250</t>
        </is>
      </c>
      <c r="C755" t="inlineStr">
        <is>
          <t>2021-09-17</t>
        </is>
      </c>
      <c r="D755" t="n">
        <v>250</v>
      </c>
      <c r="E755" t="inlineStr">
        <is>
          <t>BBG00RMPKRJ8</t>
        </is>
      </c>
    </row>
    <row r="756">
      <c r="A756" t="inlineStr">
        <is>
          <t>BBG00RMYQ2H0 Equity</t>
        </is>
      </c>
      <c r="B756" t="inlineStr">
        <is>
          <t>TSLA US 09/17/21 P252</t>
        </is>
      </c>
      <c r="C756" t="inlineStr">
        <is>
          <t>2021-09-17</t>
        </is>
      </c>
      <c r="D756" t="n">
        <v>252</v>
      </c>
      <c r="E756" t="inlineStr">
        <is>
          <t>BBG00RMYQ2H0</t>
        </is>
      </c>
    </row>
    <row r="757">
      <c r="A757" t="inlineStr">
        <is>
          <t>BBG00RMYQ3L3 Equity</t>
        </is>
      </c>
      <c r="B757" t="inlineStr">
        <is>
          <t>TSLA US 09/17/21 P256</t>
        </is>
      </c>
      <c r="C757" t="inlineStr">
        <is>
          <t>2021-09-17</t>
        </is>
      </c>
      <c r="D757" t="n">
        <v>256</v>
      </c>
      <c r="E757" t="inlineStr">
        <is>
          <t>BBG00RMYQ3L3</t>
        </is>
      </c>
    </row>
    <row r="758">
      <c r="A758" t="inlineStr">
        <is>
          <t>BBG00RMPKSN1 Equity</t>
        </is>
      </c>
      <c r="B758" t="inlineStr">
        <is>
          <t>TSLA US 09/17/21 P260</t>
        </is>
      </c>
      <c r="C758" t="inlineStr">
        <is>
          <t>2021-09-17</t>
        </is>
      </c>
      <c r="D758" t="n">
        <v>260</v>
      </c>
      <c r="E758" t="inlineStr">
        <is>
          <t>BBG00RMPKSN1</t>
        </is>
      </c>
    </row>
    <row r="759">
      <c r="A759" t="inlineStr">
        <is>
          <t>BBG00RMPKTR5 Equity</t>
        </is>
      </c>
      <c r="B759" t="inlineStr">
        <is>
          <t>TSLA US 09/17/21 P270</t>
        </is>
      </c>
      <c r="C759" t="inlineStr">
        <is>
          <t>2021-09-17</t>
        </is>
      </c>
      <c r="D759" t="n">
        <v>270</v>
      </c>
      <c r="E759" t="inlineStr">
        <is>
          <t>BBG00RMPKTR5</t>
        </is>
      </c>
    </row>
    <row r="760">
      <c r="A760" t="inlineStr">
        <is>
          <t>BBG00RMPKVV5 Equity</t>
        </is>
      </c>
      <c r="B760" t="inlineStr">
        <is>
          <t>TSLA US 09/17/21 P280</t>
        </is>
      </c>
      <c r="C760" t="inlineStr">
        <is>
          <t>2021-09-17</t>
        </is>
      </c>
      <c r="D760" t="n">
        <v>280</v>
      </c>
      <c r="E760" t="inlineStr">
        <is>
          <t>BBG00RMPKVV5</t>
        </is>
      </c>
    </row>
    <row r="761">
      <c r="A761" t="inlineStr">
        <is>
          <t>BBG00RMPKWZ9 Equity</t>
        </is>
      </c>
      <c r="B761" t="inlineStr">
        <is>
          <t>TSLA US 09/17/21 P290</t>
        </is>
      </c>
      <c r="C761" t="inlineStr">
        <is>
          <t>2021-09-17</t>
        </is>
      </c>
      <c r="D761" t="n">
        <v>290</v>
      </c>
      <c r="E761" t="inlineStr">
        <is>
          <t>BBG00RMPKWZ9</t>
        </is>
      </c>
    </row>
    <row r="762">
      <c r="A762" t="inlineStr">
        <is>
          <t>BBG01159W915 Equity</t>
        </is>
      </c>
      <c r="B762" t="inlineStr">
        <is>
          <t>TSLA US 10/15/21 P200</t>
        </is>
      </c>
      <c r="C762" t="inlineStr">
        <is>
          <t>2021-10-15</t>
        </is>
      </c>
      <c r="D762" t="n">
        <v>200</v>
      </c>
      <c r="E762" t="inlineStr">
        <is>
          <t>BBG01159W915</t>
        </is>
      </c>
    </row>
    <row r="763">
      <c r="A763" t="inlineStr">
        <is>
          <t>BBG01159WB56 Equity</t>
        </is>
      </c>
      <c r="B763" t="inlineStr">
        <is>
          <t>TSLA US 10/15/21 P250</t>
        </is>
      </c>
      <c r="C763" t="inlineStr">
        <is>
          <t>2021-10-15</t>
        </is>
      </c>
      <c r="D763" t="n">
        <v>250</v>
      </c>
      <c r="E763" t="inlineStr">
        <is>
          <t>BBG01159WB56</t>
        </is>
      </c>
    </row>
    <row r="764">
      <c r="A764" t="inlineStr">
        <is>
          <t>BBG0118QLX13 Equity</t>
        </is>
      </c>
      <c r="B764" t="inlineStr">
        <is>
          <t>TSLA US 11/19/21 P200</t>
        </is>
      </c>
      <c r="C764" t="inlineStr">
        <is>
          <t>2021-11-19</t>
        </is>
      </c>
      <c r="D764" t="n">
        <v>200</v>
      </c>
      <c r="E764" t="inlineStr">
        <is>
          <t>BBG0118QLX13</t>
        </is>
      </c>
    </row>
    <row r="765">
      <c r="A765" t="inlineStr">
        <is>
          <t>BBG0118QLY57 Equity</t>
        </is>
      </c>
      <c r="B765" t="inlineStr">
        <is>
          <t>TSLA US 11/19/21 P250</t>
        </is>
      </c>
      <c r="C765" t="inlineStr">
        <is>
          <t>2021-11-19</t>
        </is>
      </c>
      <c r="D765" t="n">
        <v>250</v>
      </c>
      <c r="E765" t="inlineStr">
        <is>
          <t>BBG0118QLY57</t>
        </is>
      </c>
    </row>
    <row r="766">
      <c r="A766" t="inlineStr">
        <is>
          <t>BBG0118QLZ81 Equity</t>
        </is>
      </c>
      <c r="B766" t="inlineStr">
        <is>
          <t>TSLA US 11/19/21 P300</t>
        </is>
      </c>
      <c r="C766" t="inlineStr">
        <is>
          <t>2021-11-19</t>
        </is>
      </c>
      <c r="D766" t="n">
        <v>300</v>
      </c>
      <c r="E766" t="inlineStr">
        <is>
          <t>BBG0118QLZ81</t>
        </is>
      </c>
    </row>
    <row r="767">
      <c r="A767" t="inlineStr">
        <is>
          <t>BBG00ZGTF898 Equity</t>
        </is>
      </c>
      <c r="B767" t="inlineStr">
        <is>
          <t>TSLA US 12/17/21 P200</t>
        </is>
      </c>
      <c r="C767" t="inlineStr">
        <is>
          <t>2021-12-17</t>
        </is>
      </c>
      <c r="D767" t="n">
        <v>200</v>
      </c>
      <c r="E767" t="inlineStr">
        <is>
          <t>BBG00ZGTF898</t>
        </is>
      </c>
    </row>
    <row r="768">
      <c r="A768" t="inlineStr">
        <is>
          <t>BBG00ZGTF9G8 Equity</t>
        </is>
      </c>
      <c r="B768" t="inlineStr">
        <is>
          <t>TSLA US 12/17/21 P250</t>
        </is>
      </c>
      <c r="C768" t="inlineStr">
        <is>
          <t>2021-12-17</t>
        </is>
      </c>
      <c r="D768" t="n">
        <v>250</v>
      </c>
      <c r="E768" t="inlineStr">
        <is>
          <t>BBG00ZGTF9G8</t>
        </is>
      </c>
    </row>
    <row r="769">
      <c r="A769" t="inlineStr">
        <is>
          <t>BBG00ZGTFBK8 Equity</t>
        </is>
      </c>
      <c r="B769" t="inlineStr">
        <is>
          <t>TSLA US 12/17/21 P300</t>
        </is>
      </c>
      <c r="C769" t="inlineStr">
        <is>
          <t>2021-12-17</t>
        </is>
      </c>
      <c r="D769" t="n">
        <v>300</v>
      </c>
      <c r="E769" t="inlineStr">
        <is>
          <t>BBG00ZGTFBK8</t>
        </is>
      </c>
    </row>
    <row r="770">
      <c r="A770" t="inlineStr">
        <is>
          <t>BBG00RMPL1D0 Equity</t>
        </is>
      </c>
      <c r="B770" t="inlineStr">
        <is>
          <t>TSLA US 01/21/22 P208</t>
        </is>
      </c>
      <c r="C770" t="inlineStr">
        <is>
          <t>2022-01-21</t>
        </is>
      </c>
      <c r="D770" t="n">
        <v>208</v>
      </c>
      <c r="E770" t="inlineStr">
        <is>
          <t>BBG00RMPL1D0</t>
        </is>
      </c>
    </row>
    <row r="771">
      <c r="A771" t="inlineStr">
        <is>
          <t>BBG00RMPL2H4 Equity</t>
        </is>
      </c>
      <c r="B771" t="inlineStr">
        <is>
          <t>TSLA US 01/21/22 P210</t>
        </is>
      </c>
      <c r="C771" t="inlineStr">
        <is>
          <t>2022-01-21</t>
        </is>
      </c>
      <c r="D771" t="n">
        <v>210</v>
      </c>
      <c r="E771" t="inlineStr">
        <is>
          <t>BBG00RMPL2H4</t>
        </is>
      </c>
    </row>
    <row r="772">
      <c r="A772" t="inlineStr">
        <is>
          <t>BBG00RMPL3M6 Equity</t>
        </is>
      </c>
      <c r="B772" t="inlineStr">
        <is>
          <t>TSLA US 01/21/22 P212</t>
        </is>
      </c>
      <c r="C772" t="inlineStr">
        <is>
          <t>2022-01-21</t>
        </is>
      </c>
      <c r="D772" t="n">
        <v>212</v>
      </c>
      <c r="E772" t="inlineStr">
        <is>
          <t>BBG00RMPL3M6</t>
        </is>
      </c>
    </row>
    <row r="773">
      <c r="A773" t="inlineStr">
        <is>
          <t>BBG00RMPL4Q0 Equity</t>
        </is>
      </c>
      <c r="B773" t="inlineStr">
        <is>
          <t>TSLA US 01/21/22 P214</t>
        </is>
      </c>
      <c r="C773" t="inlineStr">
        <is>
          <t>2022-01-21</t>
        </is>
      </c>
      <c r="D773" t="n">
        <v>214</v>
      </c>
      <c r="E773" t="inlineStr">
        <is>
          <t>BBG00RMPL4Q0</t>
        </is>
      </c>
    </row>
    <row r="774">
      <c r="A774" t="inlineStr">
        <is>
          <t>BBG00RMPL5T4 Equity</t>
        </is>
      </c>
      <c r="B774" t="inlineStr">
        <is>
          <t>TSLA US 01/21/22 P216</t>
        </is>
      </c>
      <c r="C774" t="inlineStr">
        <is>
          <t>2022-01-21</t>
        </is>
      </c>
      <c r="D774" t="n">
        <v>216</v>
      </c>
      <c r="E774" t="inlineStr">
        <is>
          <t>BBG00RMPL5T4</t>
        </is>
      </c>
    </row>
    <row r="775">
      <c r="A775" t="inlineStr">
        <is>
          <t>BBG00RMPL6Y6 Equity</t>
        </is>
      </c>
      <c r="B775" t="inlineStr">
        <is>
          <t>TSLA US 01/21/22 P218</t>
        </is>
      </c>
      <c r="C775" t="inlineStr">
        <is>
          <t>2022-01-21</t>
        </is>
      </c>
      <c r="D775" t="n">
        <v>218</v>
      </c>
      <c r="E775" t="inlineStr">
        <is>
          <t>BBG00RMPL6Y6</t>
        </is>
      </c>
    </row>
    <row r="776">
      <c r="A776" t="inlineStr">
        <is>
          <t>BBG00RMPL818 Equity</t>
        </is>
      </c>
      <c r="B776" t="inlineStr">
        <is>
          <t>TSLA US 01/21/22 P220</t>
        </is>
      </c>
      <c r="C776" t="inlineStr">
        <is>
          <t>2022-01-21</t>
        </is>
      </c>
      <c r="D776" t="n">
        <v>220</v>
      </c>
      <c r="E776" t="inlineStr">
        <is>
          <t>BBG00RMPL818</t>
        </is>
      </c>
    </row>
    <row r="777">
      <c r="A777" t="inlineStr">
        <is>
          <t>BBG00RMPL943 Equity</t>
        </is>
      </c>
      <c r="B777" t="inlineStr">
        <is>
          <t>TSLA US 01/21/22 P222</t>
        </is>
      </c>
      <c r="C777" t="inlineStr">
        <is>
          <t>2022-01-21</t>
        </is>
      </c>
      <c r="D777" t="n">
        <v>222</v>
      </c>
      <c r="E777" t="inlineStr">
        <is>
          <t>BBG00RMPL943</t>
        </is>
      </c>
    </row>
    <row r="778">
      <c r="A778" t="inlineStr">
        <is>
          <t>BBG00RJNSPR4 Equity</t>
        </is>
      </c>
      <c r="B778" t="inlineStr">
        <is>
          <t>TSLA US 01/21/22 P224</t>
        </is>
      </c>
      <c r="C778" t="inlineStr">
        <is>
          <t>2022-01-21</t>
        </is>
      </c>
      <c r="D778" t="n">
        <v>224</v>
      </c>
      <c r="E778" t="inlineStr">
        <is>
          <t>BBG00RJNSPR4</t>
        </is>
      </c>
    </row>
    <row r="779">
      <c r="A779" t="inlineStr">
        <is>
          <t>BBG00RJNSQV7 Equity</t>
        </is>
      </c>
      <c r="B779" t="inlineStr">
        <is>
          <t>TSLA US 01/21/22 P226</t>
        </is>
      </c>
      <c r="C779" t="inlineStr">
        <is>
          <t>2022-01-21</t>
        </is>
      </c>
      <c r="D779" t="n">
        <v>226</v>
      </c>
      <c r="E779" t="inlineStr">
        <is>
          <t>BBG00RJNSQV7</t>
        </is>
      </c>
    </row>
    <row r="780">
      <c r="A780" t="inlineStr">
        <is>
          <t>BBG00RJNSRZ1 Equity</t>
        </is>
      </c>
      <c r="B780" t="inlineStr">
        <is>
          <t>TSLA US 01/21/22 P228</t>
        </is>
      </c>
      <c r="C780" t="inlineStr">
        <is>
          <t>2022-01-21</t>
        </is>
      </c>
      <c r="D780" t="n">
        <v>228</v>
      </c>
      <c r="E780" t="inlineStr">
        <is>
          <t>BBG00RJNSRZ1</t>
        </is>
      </c>
    </row>
    <row r="781">
      <c r="A781" t="inlineStr">
        <is>
          <t>BBG00RJNST23 Equity</t>
        </is>
      </c>
      <c r="B781" t="inlineStr">
        <is>
          <t>TSLA US 01/21/22 P230</t>
        </is>
      </c>
      <c r="C781" t="inlineStr">
        <is>
          <t>2022-01-21</t>
        </is>
      </c>
      <c r="D781" t="n">
        <v>230</v>
      </c>
      <c r="E781" t="inlineStr">
        <is>
          <t>BBG00RJNST23</t>
        </is>
      </c>
    </row>
    <row r="782">
      <c r="A782" t="inlineStr">
        <is>
          <t>BBG00RJNSV55 Equity</t>
        </is>
      </c>
      <c r="B782" t="inlineStr">
        <is>
          <t>TSLA US 01/21/22 P232</t>
        </is>
      </c>
      <c r="C782" t="inlineStr">
        <is>
          <t>2022-01-21</t>
        </is>
      </c>
      <c r="D782" t="n">
        <v>232</v>
      </c>
      <c r="E782" t="inlineStr">
        <is>
          <t>BBG00RJNSV55</t>
        </is>
      </c>
    </row>
    <row r="783">
      <c r="A783" t="inlineStr">
        <is>
          <t>BBG00RM3JFV1 Equity</t>
        </is>
      </c>
      <c r="B783" t="inlineStr">
        <is>
          <t>TSLA US 01/21/22 P234</t>
        </is>
      </c>
      <c r="C783" t="inlineStr">
        <is>
          <t>2022-01-21</t>
        </is>
      </c>
      <c r="D783" t="n">
        <v>234</v>
      </c>
      <c r="E783" t="inlineStr">
        <is>
          <t>BBG00RM3JFV1</t>
        </is>
      </c>
    </row>
    <row r="784">
      <c r="A784" t="inlineStr">
        <is>
          <t>BBG00RM3JGY6 Equity</t>
        </is>
      </c>
      <c r="B784" t="inlineStr">
        <is>
          <t>TSLA US 01/21/22 P236</t>
        </is>
      </c>
      <c r="C784" t="inlineStr">
        <is>
          <t>2022-01-21</t>
        </is>
      </c>
      <c r="D784" t="n">
        <v>236</v>
      </c>
      <c r="E784" t="inlineStr">
        <is>
          <t>BBG00RM3JGY6</t>
        </is>
      </c>
    </row>
    <row r="785">
      <c r="A785" t="inlineStr">
        <is>
          <t>BBG00RM3JJ25 Equity</t>
        </is>
      </c>
      <c r="B785" t="inlineStr">
        <is>
          <t>TSLA US 01/21/22 P238</t>
        </is>
      </c>
      <c r="C785" t="inlineStr">
        <is>
          <t>2022-01-21</t>
        </is>
      </c>
      <c r="D785" t="n">
        <v>238</v>
      </c>
      <c r="E785" t="inlineStr">
        <is>
          <t>BBG00RM3JJ25</t>
        </is>
      </c>
    </row>
    <row r="786">
      <c r="A786" t="inlineStr">
        <is>
          <t>BBG00RM3JK59 Equity</t>
        </is>
      </c>
      <c r="B786" t="inlineStr">
        <is>
          <t>TSLA US 01/21/22 P240</t>
        </is>
      </c>
      <c r="C786" t="inlineStr">
        <is>
          <t>2022-01-21</t>
        </is>
      </c>
      <c r="D786" t="n">
        <v>240</v>
      </c>
      <c r="E786" t="inlineStr">
        <is>
          <t>BBG00RM3JK59</t>
        </is>
      </c>
    </row>
    <row r="787">
      <c r="A787" t="inlineStr">
        <is>
          <t>BBG00RM3JL84 Equity</t>
        </is>
      </c>
      <c r="B787" t="inlineStr">
        <is>
          <t>TSLA US 01/21/22 P242</t>
        </is>
      </c>
      <c r="C787" t="inlineStr">
        <is>
          <t>2022-01-21</t>
        </is>
      </c>
      <c r="D787" t="n">
        <v>242</v>
      </c>
      <c r="E787" t="inlineStr">
        <is>
          <t>BBG00RM3JL84</t>
        </is>
      </c>
    </row>
    <row r="788">
      <c r="A788" t="inlineStr">
        <is>
          <t>BBG00RM3JMD6 Equity</t>
        </is>
      </c>
      <c r="B788" t="inlineStr">
        <is>
          <t>TSLA US 01/21/22 P244</t>
        </is>
      </c>
      <c r="C788" t="inlineStr">
        <is>
          <t>2022-01-21</t>
        </is>
      </c>
      <c r="D788" t="n">
        <v>244</v>
      </c>
      <c r="E788" t="inlineStr">
        <is>
          <t>BBG00RM3JMD6</t>
        </is>
      </c>
    </row>
    <row r="789">
      <c r="A789" t="inlineStr">
        <is>
          <t>BBG00RM3JNH0 Equity</t>
        </is>
      </c>
      <c r="B789" t="inlineStr">
        <is>
          <t>TSLA US 01/21/22 P246</t>
        </is>
      </c>
      <c r="C789" t="inlineStr">
        <is>
          <t>2022-01-21</t>
        </is>
      </c>
      <c r="D789" t="n">
        <v>246</v>
      </c>
      <c r="E789" t="inlineStr">
        <is>
          <t>BBG00RM3JNH0</t>
        </is>
      </c>
    </row>
    <row r="790">
      <c r="A790" t="inlineStr">
        <is>
          <t>BBG00RM3JPL0 Equity</t>
        </is>
      </c>
      <c r="B790" t="inlineStr">
        <is>
          <t>TSLA US 01/21/22 P248</t>
        </is>
      </c>
      <c r="C790" t="inlineStr">
        <is>
          <t>2022-01-21</t>
        </is>
      </c>
      <c r="D790" t="n">
        <v>248</v>
      </c>
      <c r="E790" t="inlineStr">
        <is>
          <t>BBG00RM3JPL0</t>
        </is>
      </c>
    </row>
    <row r="791">
      <c r="A791" t="inlineStr">
        <is>
          <t>BBG00RM3JQQ3 Equity</t>
        </is>
      </c>
      <c r="B791" t="inlineStr">
        <is>
          <t>TSLA US 01/21/22 P250</t>
        </is>
      </c>
      <c r="C791" t="inlineStr">
        <is>
          <t>2022-01-21</t>
        </is>
      </c>
      <c r="D791" t="n">
        <v>250</v>
      </c>
      <c r="E791" t="inlineStr">
        <is>
          <t>BBG00RM3JQQ3</t>
        </is>
      </c>
    </row>
    <row r="792">
      <c r="A792" t="inlineStr">
        <is>
          <t>BBG00RM3JRT8 Equity</t>
        </is>
      </c>
      <c r="B792" t="inlineStr">
        <is>
          <t>TSLA US 01/21/22 P252</t>
        </is>
      </c>
      <c r="C792" t="inlineStr">
        <is>
          <t>2022-01-21</t>
        </is>
      </c>
      <c r="D792" t="n">
        <v>252</v>
      </c>
      <c r="E792" t="inlineStr">
        <is>
          <t>BBG00RM3JRT8</t>
        </is>
      </c>
    </row>
    <row r="793">
      <c r="A793" t="inlineStr">
        <is>
          <t>BBG00RM3JSX1 Equity</t>
        </is>
      </c>
      <c r="B793" t="inlineStr">
        <is>
          <t>TSLA US 01/21/22 P254</t>
        </is>
      </c>
      <c r="C793" t="inlineStr">
        <is>
          <t>2022-01-21</t>
        </is>
      </c>
      <c r="D793" t="n">
        <v>254</v>
      </c>
      <c r="E793" t="inlineStr">
        <is>
          <t>BBG00RM3JSX1</t>
        </is>
      </c>
    </row>
    <row r="794">
      <c r="A794" t="inlineStr">
        <is>
          <t>BBG00RM3JV19 Equity</t>
        </is>
      </c>
      <c r="B794" t="inlineStr">
        <is>
          <t>TSLA US 01/21/22 P256</t>
        </is>
      </c>
      <c r="C794" t="inlineStr">
        <is>
          <t>2022-01-21</t>
        </is>
      </c>
      <c r="D794" t="n">
        <v>256</v>
      </c>
      <c r="E794" t="inlineStr">
        <is>
          <t>BBG00RM3JV19</t>
        </is>
      </c>
    </row>
    <row r="795">
      <c r="A795" t="inlineStr">
        <is>
          <t>BBG00VXXRKP1 Equity</t>
        </is>
      </c>
      <c r="B795" t="inlineStr">
        <is>
          <t>TSLA US 01/21/22 P258</t>
        </is>
      </c>
      <c r="C795" t="inlineStr">
        <is>
          <t>2022-01-21</t>
        </is>
      </c>
      <c r="D795" t="n">
        <v>258</v>
      </c>
      <c r="E795" t="inlineStr">
        <is>
          <t>BBG00VXXRKP1</t>
        </is>
      </c>
    </row>
    <row r="796">
      <c r="A796" t="inlineStr">
        <is>
          <t>BBG00RMPLB84 Equity</t>
        </is>
      </c>
      <c r="B796" t="inlineStr">
        <is>
          <t>TSLA US 01/21/22 P260</t>
        </is>
      </c>
      <c r="C796" t="inlineStr">
        <is>
          <t>2022-01-21</t>
        </is>
      </c>
      <c r="D796" t="n">
        <v>260</v>
      </c>
      <c r="E796" t="inlineStr">
        <is>
          <t>BBG00RMPLB84</t>
        </is>
      </c>
    </row>
    <row r="797">
      <c r="A797" t="inlineStr">
        <is>
          <t>BBG00VXXRLT5 Equity</t>
        </is>
      </c>
      <c r="B797" t="inlineStr">
        <is>
          <t>TSLA US 01/21/22 P262</t>
        </is>
      </c>
      <c r="C797" t="inlineStr">
        <is>
          <t>2022-01-21</t>
        </is>
      </c>
      <c r="D797" t="n">
        <v>262</v>
      </c>
      <c r="E797" t="inlineStr">
        <is>
          <t>BBG00VXXRLT5</t>
        </is>
      </c>
    </row>
    <row r="798">
      <c r="A798" t="inlineStr">
        <is>
          <t>BBG00VXXRMX8 Equity</t>
        </is>
      </c>
      <c r="B798" t="inlineStr">
        <is>
          <t>TSLA US 01/21/22 P264</t>
        </is>
      </c>
      <c r="C798" t="inlineStr">
        <is>
          <t>2022-01-21</t>
        </is>
      </c>
      <c r="D798" t="n">
        <v>264</v>
      </c>
      <c r="E798" t="inlineStr">
        <is>
          <t>BBG00VXXRMX8</t>
        </is>
      </c>
    </row>
    <row r="799">
      <c r="A799" t="inlineStr">
        <is>
          <t>BBG00VXXRP07 Equity</t>
        </is>
      </c>
      <c r="B799" t="inlineStr">
        <is>
          <t>TSLA US 01/21/22 P266</t>
        </is>
      </c>
      <c r="C799" t="inlineStr">
        <is>
          <t>2022-01-21</t>
        </is>
      </c>
      <c r="D799" t="n">
        <v>266</v>
      </c>
      <c r="E799" t="inlineStr">
        <is>
          <t>BBG00VXXRP07</t>
        </is>
      </c>
    </row>
    <row r="800">
      <c r="A800" t="inlineStr">
        <is>
          <t>BBG00VXXRQ50 Equity</t>
        </is>
      </c>
      <c r="B800" t="inlineStr">
        <is>
          <t>TSLA US 01/21/22 P268</t>
        </is>
      </c>
      <c r="C800" t="inlineStr">
        <is>
          <t>2022-01-21</t>
        </is>
      </c>
      <c r="D800" t="n">
        <v>268</v>
      </c>
      <c r="E800" t="inlineStr">
        <is>
          <t>BBG00VXXRQ50</t>
        </is>
      </c>
    </row>
    <row r="801">
      <c r="A801" t="inlineStr">
        <is>
          <t>BBG00RMPLCC7 Equity</t>
        </is>
      </c>
      <c r="B801" t="inlineStr">
        <is>
          <t>TSLA US 01/21/22 P270</t>
        </is>
      </c>
      <c r="C801" t="inlineStr">
        <is>
          <t>2022-01-21</t>
        </is>
      </c>
      <c r="D801" t="n">
        <v>270</v>
      </c>
      <c r="E801" t="inlineStr">
        <is>
          <t>BBG00RMPLCC7</t>
        </is>
      </c>
    </row>
    <row r="802">
      <c r="A802" t="inlineStr">
        <is>
          <t>BBG00VXXRR85 Equity</t>
        </is>
      </c>
      <c r="B802" t="inlineStr">
        <is>
          <t>TSLA US 01/21/22 P272</t>
        </is>
      </c>
      <c r="C802" t="inlineStr">
        <is>
          <t>2022-01-21</t>
        </is>
      </c>
      <c r="D802" t="n">
        <v>272</v>
      </c>
      <c r="E802" t="inlineStr">
        <is>
          <t>BBG00VXXRR85</t>
        </is>
      </c>
    </row>
    <row r="803">
      <c r="A803" t="inlineStr">
        <is>
          <t>BBG00VXXRSC8 Equity</t>
        </is>
      </c>
      <c r="B803" t="inlineStr">
        <is>
          <t>TSLA US 01/21/22 P274</t>
        </is>
      </c>
      <c r="C803" t="inlineStr">
        <is>
          <t>2022-01-21</t>
        </is>
      </c>
      <c r="D803" t="n">
        <v>274</v>
      </c>
      <c r="E803" t="inlineStr">
        <is>
          <t>BBG00VXXRSC8</t>
        </is>
      </c>
    </row>
    <row r="804">
      <c r="A804" t="inlineStr">
        <is>
          <t>BBG00VXXRTH1 Equity</t>
        </is>
      </c>
      <c r="B804" t="inlineStr">
        <is>
          <t>TSLA US 01/21/22 P276</t>
        </is>
      </c>
      <c r="C804" t="inlineStr">
        <is>
          <t>2022-01-21</t>
        </is>
      </c>
      <c r="D804" t="n">
        <v>276</v>
      </c>
      <c r="E804" t="inlineStr">
        <is>
          <t>BBG00VXXRTH1</t>
        </is>
      </c>
    </row>
    <row r="805">
      <c r="A805" t="inlineStr">
        <is>
          <t>BBG00VXXRVL1 Equity</t>
        </is>
      </c>
      <c r="B805" t="inlineStr">
        <is>
          <t>TSLA US 01/21/22 P278</t>
        </is>
      </c>
      <c r="C805" t="inlineStr">
        <is>
          <t>2022-01-21</t>
        </is>
      </c>
      <c r="D805" t="n">
        <v>278</v>
      </c>
      <c r="E805" t="inlineStr">
        <is>
          <t>BBG00VXXRVL1</t>
        </is>
      </c>
    </row>
    <row r="806">
      <c r="A806" t="inlineStr">
        <is>
          <t>BBG00RMPLDH0 Equity</t>
        </is>
      </c>
      <c r="B806" t="inlineStr">
        <is>
          <t>TSLA US 01/21/22 P280</t>
        </is>
      </c>
      <c r="C806" t="inlineStr">
        <is>
          <t>2022-01-21</t>
        </is>
      </c>
      <c r="D806" t="n">
        <v>280</v>
      </c>
      <c r="E806" t="inlineStr">
        <is>
          <t>BBG00RMPLDH0</t>
        </is>
      </c>
    </row>
    <row r="807">
      <c r="A807" t="inlineStr">
        <is>
          <t>BBG00VXXRWP5 Equity</t>
        </is>
      </c>
      <c r="B807" t="inlineStr">
        <is>
          <t>TSLA US 01/21/22 P282</t>
        </is>
      </c>
      <c r="C807" t="inlineStr">
        <is>
          <t>2022-01-21</t>
        </is>
      </c>
      <c r="D807" t="n">
        <v>282</v>
      </c>
      <c r="E807" t="inlineStr">
        <is>
          <t>BBG00VXXRWP5</t>
        </is>
      </c>
    </row>
    <row r="808">
      <c r="A808" t="inlineStr">
        <is>
          <t>BBG00VXXRXT9 Equity</t>
        </is>
      </c>
      <c r="B808" t="inlineStr">
        <is>
          <t>TSLA US 01/21/22 P284</t>
        </is>
      </c>
      <c r="C808" t="inlineStr">
        <is>
          <t>2022-01-21</t>
        </is>
      </c>
      <c r="D808" t="n">
        <v>284</v>
      </c>
      <c r="E808" t="inlineStr">
        <is>
          <t>BBG00VXXRXT9</t>
        </is>
      </c>
    </row>
    <row r="809">
      <c r="A809" t="inlineStr">
        <is>
          <t>BBG00VXXRYX2 Equity</t>
        </is>
      </c>
      <c r="B809" t="inlineStr">
        <is>
          <t>TSLA US 01/21/22 P286</t>
        </is>
      </c>
      <c r="C809" t="inlineStr">
        <is>
          <t>2022-01-21</t>
        </is>
      </c>
      <c r="D809" t="n">
        <v>286</v>
      </c>
      <c r="E809" t="inlineStr">
        <is>
          <t>BBG00VXXRYX2</t>
        </is>
      </c>
    </row>
    <row r="810">
      <c r="A810" t="inlineStr">
        <is>
          <t>BBG00VXXS001 Equity</t>
        </is>
      </c>
      <c r="B810" t="inlineStr">
        <is>
          <t>TSLA US 01/21/22 P288</t>
        </is>
      </c>
      <c r="C810" t="inlineStr">
        <is>
          <t>2022-01-21</t>
        </is>
      </c>
      <c r="D810" t="n">
        <v>288</v>
      </c>
      <c r="E810" t="inlineStr">
        <is>
          <t>BBG00VXXS001</t>
        </is>
      </c>
    </row>
    <row r="811">
      <c r="A811" t="inlineStr">
        <is>
          <t>BBG00RMPLFL0 Equity</t>
        </is>
      </c>
      <c r="B811" t="inlineStr">
        <is>
          <t>TSLA US 01/21/22 P290</t>
        </is>
      </c>
      <c r="C811" t="inlineStr">
        <is>
          <t>2022-01-21</t>
        </is>
      </c>
      <c r="D811" t="n">
        <v>290</v>
      </c>
      <c r="E811" t="inlineStr">
        <is>
          <t>BBG00RMPLFL0</t>
        </is>
      </c>
    </row>
    <row r="812">
      <c r="A812" t="inlineStr">
        <is>
          <t>BBG00VXXS145 Equity</t>
        </is>
      </c>
      <c r="B812" t="inlineStr">
        <is>
          <t>TSLA US 01/21/22 P292</t>
        </is>
      </c>
      <c r="C812" t="inlineStr">
        <is>
          <t>2022-01-21</t>
        </is>
      </c>
      <c r="D812" t="n">
        <v>292</v>
      </c>
      <c r="E812" t="inlineStr">
        <is>
          <t>BBG00VXXS145</t>
        </is>
      </c>
    </row>
    <row r="813">
      <c r="A813" t="inlineStr">
        <is>
          <t>BBG00VXXS270 Equity</t>
        </is>
      </c>
      <c r="B813" t="inlineStr">
        <is>
          <t>TSLA US 01/21/22 P294</t>
        </is>
      </c>
      <c r="C813" t="inlineStr">
        <is>
          <t>2022-01-21</t>
        </is>
      </c>
      <c r="D813" t="n">
        <v>294</v>
      </c>
      <c r="E813" t="inlineStr">
        <is>
          <t>BBG00VXXS270</t>
        </is>
      </c>
    </row>
    <row r="814">
      <c r="A814" t="inlineStr">
        <is>
          <t>BBG00VXXS3B3 Equity</t>
        </is>
      </c>
      <c r="B814" t="inlineStr">
        <is>
          <t>TSLA US 01/21/22 P296</t>
        </is>
      </c>
      <c r="C814" t="inlineStr">
        <is>
          <t>2022-01-21</t>
        </is>
      </c>
      <c r="D814" t="n">
        <v>296</v>
      </c>
      <c r="E814" t="inlineStr">
        <is>
          <t>BBG00VXXS3B3</t>
        </is>
      </c>
    </row>
    <row r="815">
      <c r="A815" t="inlineStr">
        <is>
          <t>BBG00VXXS4H5 Equity</t>
        </is>
      </c>
      <c r="B815" t="inlineStr">
        <is>
          <t>TSLA US 01/21/22 P298</t>
        </is>
      </c>
      <c r="C815" t="inlineStr">
        <is>
          <t>2022-01-21</t>
        </is>
      </c>
      <c r="D815" t="n">
        <v>298</v>
      </c>
      <c r="E815" t="inlineStr">
        <is>
          <t>BBG00VXXS4H5</t>
        </is>
      </c>
    </row>
    <row r="816">
      <c r="A816" t="inlineStr">
        <is>
          <t>BBG00RMPLGP4 Equity</t>
        </is>
      </c>
      <c r="B816" t="inlineStr">
        <is>
          <t>TSLA US 01/21/22 P300</t>
        </is>
      </c>
      <c r="C816" t="inlineStr">
        <is>
          <t>2022-01-21</t>
        </is>
      </c>
      <c r="D816" t="n">
        <v>300</v>
      </c>
      <c r="E816" t="inlineStr">
        <is>
          <t>BBG00RMPLGP4</t>
        </is>
      </c>
    </row>
    <row r="817">
      <c r="A817" t="inlineStr">
        <is>
          <t>BBG00VXXS5L7 Equity</t>
        </is>
      </c>
      <c r="B817" t="inlineStr">
        <is>
          <t>TSLA US 01/21/22 P302</t>
        </is>
      </c>
      <c r="C817" t="inlineStr">
        <is>
          <t>2022-01-21</t>
        </is>
      </c>
      <c r="D817" t="n">
        <v>302</v>
      </c>
      <c r="E817" t="inlineStr">
        <is>
          <t>BBG00VXXS5L7</t>
        </is>
      </c>
    </row>
    <row r="818">
      <c r="A818" t="inlineStr">
        <is>
          <t>BBG00RMYRGP9 Equity</t>
        </is>
      </c>
      <c r="B818" t="inlineStr">
        <is>
          <t>TSLA US 01/21/22 P304</t>
        </is>
      </c>
      <c r="C818" t="inlineStr">
        <is>
          <t>2022-01-21</t>
        </is>
      </c>
      <c r="D818" t="n">
        <v>304</v>
      </c>
      <c r="E818" t="inlineStr">
        <is>
          <t>BBG00RMYRGP9</t>
        </is>
      </c>
    </row>
    <row r="819">
      <c r="A819" t="inlineStr">
        <is>
          <t>BBG00RMYRHS4 Equity</t>
        </is>
      </c>
      <c r="B819" t="inlineStr">
        <is>
          <t>TSLA US 01/21/22 P306</t>
        </is>
      </c>
      <c r="C819" t="inlineStr">
        <is>
          <t>2022-01-21</t>
        </is>
      </c>
      <c r="D819" t="n">
        <v>306</v>
      </c>
      <c r="E819" t="inlineStr">
        <is>
          <t>BBG00RMYRHS4</t>
        </is>
      </c>
    </row>
    <row r="820">
      <c r="A820" t="inlineStr">
        <is>
          <t>BBG00RMYRJX4 Equity</t>
        </is>
      </c>
      <c r="B820" t="inlineStr">
        <is>
          <t>TSLA US 01/21/22 P308</t>
        </is>
      </c>
      <c r="C820" t="inlineStr">
        <is>
          <t>2022-01-21</t>
        </is>
      </c>
      <c r="D820" t="n">
        <v>308</v>
      </c>
      <c r="E820" t="inlineStr">
        <is>
          <t>BBG00RMYRJX4</t>
        </is>
      </c>
    </row>
    <row r="821">
      <c r="A821" t="inlineStr">
        <is>
          <t>BBG00RMYRL05 Equity</t>
        </is>
      </c>
      <c r="B821" t="inlineStr">
        <is>
          <t>TSLA US 01/21/22 P310</t>
        </is>
      </c>
      <c r="C821" t="inlineStr">
        <is>
          <t>2022-01-21</t>
        </is>
      </c>
      <c r="D821" t="n">
        <v>310</v>
      </c>
      <c r="E821" t="inlineStr">
        <is>
          <t>BBG00RMYRL05</t>
        </is>
      </c>
    </row>
    <row r="822">
      <c r="A822" t="inlineStr">
        <is>
          <t>BBG00RMYRM30 Equity</t>
        </is>
      </c>
      <c r="B822" t="inlineStr">
        <is>
          <t>TSLA US 01/21/22 P312</t>
        </is>
      </c>
      <c r="C822" t="inlineStr">
        <is>
          <t>2022-01-21</t>
        </is>
      </c>
      <c r="D822" t="n">
        <v>312</v>
      </c>
      <c r="E822" t="inlineStr">
        <is>
          <t>BBG00RMYRM30</t>
        </is>
      </c>
    </row>
    <row r="823">
      <c r="A823" t="inlineStr">
        <is>
          <t>BBG00RMYRN74 Equity</t>
        </is>
      </c>
      <c r="B823" t="inlineStr">
        <is>
          <t>TSLA US 01/21/22 P314</t>
        </is>
      </c>
      <c r="C823" t="inlineStr">
        <is>
          <t>2022-01-21</t>
        </is>
      </c>
      <c r="D823" t="n">
        <v>314</v>
      </c>
      <c r="E823" t="inlineStr">
        <is>
          <t>BBG00RMYRN74</t>
        </is>
      </c>
    </row>
    <row r="824">
      <c r="A824" t="inlineStr">
        <is>
          <t>BBG00RMYRPB4 Equity</t>
        </is>
      </c>
      <c r="B824" t="inlineStr">
        <is>
          <t>TSLA US 01/21/22 P316</t>
        </is>
      </c>
      <c r="C824" t="inlineStr">
        <is>
          <t>2022-01-21</t>
        </is>
      </c>
      <c r="D824" t="n">
        <v>316</v>
      </c>
      <c r="E824" t="inlineStr">
        <is>
          <t>BBG00RMYRPB4</t>
        </is>
      </c>
    </row>
    <row r="825">
      <c r="A825" t="inlineStr">
        <is>
          <t>BBG00RMYRQG7 Equity</t>
        </is>
      </c>
      <c r="B825" t="inlineStr">
        <is>
          <t>TSLA US 01/21/22 P318</t>
        </is>
      </c>
      <c r="C825" t="inlineStr">
        <is>
          <t>2022-01-21</t>
        </is>
      </c>
      <c r="D825" t="n">
        <v>318</v>
      </c>
      <c r="E825" t="inlineStr">
        <is>
          <t>BBG00RMYRQG7</t>
        </is>
      </c>
    </row>
    <row r="826">
      <c r="A826" t="inlineStr">
        <is>
          <t>BBG00RMYRRK0 Equity</t>
        </is>
      </c>
      <c r="B826" t="inlineStr">
        <is>
          <t>TSLA US 01/21/22 P320</t>
        </is>
      </c>
      <c r="C826" t="inlineStr">
        <is>
          <t>2022-01-21</t>
        </is>
      </c>
      <c r="D826" t="n">
        <v>320</v>
      </c>
      <c r="E826" t="inlineStr">
        <is>
          <t>BBG00RMYRRK0</t>
        </is>
      </c>
    </row>
    <row r="827">
      <c r="A827" t="inlineStr">
        <is>
          <t>BBG00RMYRSN5 Equity</t>
        </is>
      </c>
      <c r="B827" t="inlineStr">
        <is>
          <t>TSLA US 01/21/22 P322</t>
        </is>
      </c>
      <c r="C827" t="inlineStr">
        <is>
          <t>2022-01-21</t>
        </is>
      </c>
      <c r="D827" t="n">
        <v>322</v>
      </c>
      <c r="E827" t="inlineStr">
        <is>
          <t>BBG00RMYRSN5</t>
        </is>
      </c>
    </row>
    <row r="828">
      <c r="A828" t="inlineStr">
        <is>
          <t>BBG00RMYRTS8 Equity</t>
        </is>
      </c>
      <c r="B828" t="inlineStr">
        <is>
          <t>TSLA US 01/21/22 P324</t>
        </is>
      </c>
      <c r="C828" t="inlineStr">
        <is>
          <t>2022-01-21</t>
        </is>
      </c>
      <c r="D828" t="n">
        <v>324</v>
      </c>
      <c r="E828" t="inlineStr">
        <is>
          <t>BBG00RMYRTS8</t>
        </is>
      </c>
    </row>
    <row r="829">
      <c r="A829" t="inlineStr">
        <is>
          <t>BBG00RMYRVW8 Equity</t>
        </is>
      </c>
      <c r="B829" t="inlineStr">
        <is>
          <t>TSLA US 01/21/22 P326</t>
        </is>
      </c>
      <c r="C829" t="inlineStr">
        <is>
          <t>2022-01-21</t>
        </is>
      </c>
      <c r="D829" t="n">
        <v>326</v>
      </c>
      <c r="E829" t="inlineStr">
        <is>
          <t>BBG00RMYRVW8</t>
        </is>
      </c>
    </row>
    <row r="830">
      <c r="A830" t="inlineStr">
        <is>
          <t>BBG00RMYRWZ3 Equity</t>
        </is>
      </c>
      <c r="B830" t="inlineStr">
        <is>
          <t>TSLA US 01/21/22 P328</t>
        </is>
      </c>
      <c r="C830" t="inlineStr">
        <is>
          <t>2022-01-21</t>
        </is>
      </c>
      <c r="D830" t="n">
        <v>328</v>
      </c>
      <c r="E830" t="inlineStr">
        <is>
          <t>BBG00RMYRWZ3</t>
        </is>
      </c>
    </row>
    <row r="831">
      <c r="A831" t="inlineStr">
        <is>
          <t>BBG00RMYRY34 Equity</t>
        </is>
      </c>
      <c r="B831" t="inlineStr">
        <is>
          <t>TSLA US 01/21/22 P330</t>
        </is>
      </c>
      <c r="C831" t="inlineStr">
        <is>
          <t>2022-01-21</t>
        </is>
      </c>
      <c r="D831" t="n">
        <v>330</v>
      </c>
      <c r="E831" t="inlineStr">
        <is>
          <t>BBG00RMYRY34</t>
        </is>
      </c>
    </row>
    <row r="832">
      <c r="A832" t="inlineStr">
        <is>
          <t>BBG00RMYRZ68 Equity</t>
        </is>
      </c>
      <c r="B832" t="inlineStr">
        <is>
          <t>TSLA US 01/21/22 P332</t>
        </is>
      </c>
      <c r="C832" t="inlineStr">
        <is>
          <t>2022-01-21</t>
        </is>
      </c>
      <c r="D832" t="n">
        <v>332</v>
      </c>
      <c r="E832" t="inlineStr">
        <is>
          <t>BBG00RMYRZ68</t>
        </is>
      </c>
    </row>
    <row r="833">
      <c r="A833" t="inlineStr">
        <is>
          <t>BBG00RMYS091 Equity</t>
        </is>
      </c>
      <c r="B833" t="inlineStr">
        <is>
          <t>TSLA US 01/21/22 P334</t>
        </is>
      </c>
      <c r="C833" t="inlineStr">
        <is>
          <t>2022-01-21</t>
        </is>
      </c>
      <c r="D833" t="n">
        <v>334</v>
      </c>
      <c r="E833" t="inlineStr">
        <is>
          <t>BBG00RMYS091</t>
        </is>
      </c>
    </row>
    <row r="834">
      <c r="A834" t="inlineStr">
        <is>
          <t>BBG00RMYS1F2 Equity</t>
        </is>
      </c>
      <c r="B834" t="inlineStr">
        <is>
          <t>TSLA US 01/21/22 P336</t>
        </is>
      </c>
      <c r="C834" t="inlineStr">
        <is>
          <t>2022-01-21</t>
        </is>
      </c>
      <c r="D834" t="n">
        <v>336</v>
      </c>
      <c r="E834" t="inlineStr">
        <is>
          <t>BBG00RMYS1F2</t>
        </is>
      </c>
    </row>
    <row r="835">
      <c r="A835" t="inlineStr">
        <is>
          <t>BBG00RMYS2J6 Equity</t>
        </is>
      </c>
      <c r="B835" t="inlineStr">
        <is>
          <t>TSLA US 01/21/22 P338</t>
        </is>
      </c>
      <c r="C835" t="inlineStr">
        <is>
          <t>2022-01-21</t>
        </is>
      </c>
      <c r="D835" t="n">
        <v>338</v>
      </c>
      <c r="E835" t="inlineStr">
        <is>
          <t>BBG00RMYS2J6</t>
        </is>
      </c>
    </row>
    <row r="836">
      <c r="A836" t="inlineStr">
        <is>
          <t>BBG00RMYS3M0 Equity</t>
        </is>
      </c>
      <c r="B836" t="inlineStr">
        <is>
          <t>TSLA US 01/21/22 P340</t>
        </is>
      </c>
      <c r="C836" t="inlineStr">
        <is>
          <t>2022-01-21</t>
        </is>
      </c>
      <c r="D836" t="n">
        <v>340</v>
      </c>
      <c r="E836" t="inlineStr">
        <is>
          <t>BBG00RMYS3M0</t>
        </is>
      </c>
    </row>
    <row r="837">
      <c r="A837" t="inlineStr">
        <is>
          <t>BBG00RMYS4R3 Equity</t>
        </is>
      </c>
      <c r="B837" t="inlineStr">
        <is>
          <t>TSLA US 01/21/22 P342</t>
        </is>
      </c>
      <c r="C837" t="inlineStr">
        <is>
          <t>2022-01-21</t>
        </is>
      </c>
      <c r="D837" t="n">
        <v>342</v>
      </c>
      <c r="E837" t="inlineStr">
        <is>
          <t>BBG00RMYS4R3</t>
        </is>
      </c>
    </row>
    <row r="838">
      <c r="A838" t="inlineStr">
        <is>
          <t>BBG00RMYS5V5 Equity</t>
        </is>
      </c>
      <c r="B838" t="inlineStr">
        <is>
          <t>TSLA US 01/21/22 P344</t>
        </is>
      </c>
      <c r="C838" t="inlineStr">
        <is>
          <t>2022-01-21</t>
        </is>
      </c>
      <c r="D838" t="n">
        <v>344</v>
      </c>
      <c r="E838" t="inlineStr">
        <is>
          <t>BBG00RMYS5V5</t>
        </is>
      </c>
    </row>
    <row r="839">
      <c r="A839" t="inlineStr">
        <is>
          <t>BBG00RMYS6Y0 Equity</t>
        </is>
      </c>
      <c r="B839" t="inlineStr">
        <is>
          <t>TSLA US 01/21/22 P346</t>
        </is>
      </c>
      <c r="C839" t="inlineStr">
        <is>
          <t>2022-01-21</t>
        </is>
      </c>
      <c r="D839" t="n">
        <v>346</v>
      </c>
      <c r="E839" t="inlineStr">
        <is>
          <t>BBG00RMYS6Y0</t>
        </is>
      </c>
    </row>
    <row r="840">
      <c r="A840" t="inlineStr">
        <is>
          <t>BBG00RMYS821 Equity</t>
        </is>
      </c>
      <c r="B840" t="inlineStr">
        <is>
          <t>TSLA US 01/21/22 P348</t>
        </is>
      </c>
      <c r="C840" t="inlineStr">
        <is>
          <t>2022-01-21</t>
        </is>
      </c>
      <c r="D840" t="n">
        <v>348</v>
      </c>
      <c r="E840" t="inlineStr">
        <is>
          <t>BBG00RMYS821</t>
        </is>
      </c>
    </row>
    <row r="841">
      <c r="A841" t="inlineStr">
        <is>
          <t>BBG00RMYS956 Equity</t>
        </is>
      </c>
      <c r="B841" t="inlineStr">
        <is>
          <t>TSLA US 01/21/22 P350</t>
        </is>
      </c>
      <c r="C841" t="inlineStr">
        <is>
          <t>2022-01-21</t>
        </is>
      </c>
      <c r="D841" t="n">
        <v>350</v>
      </c>
      <c r="E841" t="inlineStr">
        <is>
          <t>BBG00RMYS956</t>
        </is>
      </c>
    </row>
    <row r="842">
      <c r="A842" t="inlineStr">
        <is>
          <t>BBG00RMYSB88 Equity</t>
        </is>
      </c>
      <c r="B842" t="inlineStr">
        <is>
          <t>TSLA US 01/21/22 P352</t>
        </is>
      </c>
      <c r="C842" t="inlineStr">
        <is>
          <t>2022-01-21</t>
        </is>
      </c>
      <c r="D842" t="n">
        <v>352</v>
      </c>
      <c r="E842" t="inlineStr">
        <is>
          <t>BBG00RMYSB88</t>
        </is>
      </c>
    </row>
    <row r="843">
      <c r="A843" t="inlineStr">
        <is>
          <t>BBG00RMYSCD0 Equity</t>
        </is>
      </c>
      <c r="B843" t="inlineStr">
        <is>
          <t>TSLA US 01/21/22 P354</t>
        </is>
      </c>
      <c r="C843" t="inlineStr">
        <is>
          <t>2022-01-21</t>
        </is>
      </c>
      <c r="D843" t="n">
        <v>354</v>
      </c>
      <c r="E843" t="inlineStr">
        <is>
          <t>BBG00RMYSCD0</t>
        </is>
      </c>
    </row>
    <row r="844">
      <c r="A844" t="inlineStr">
        <is>
          <t>BBG00RMYSDH4 Equity</t>
        </is>
      </c>
      <c r="B844" t="inlineStr">
        <is>
          <t>TSLA US 01/21/22 P356</t>
        </is>
      </c>
      <c r="C844" t="inlineStr">
        <is>
          <t>2022-01-21</t>
        </is>
      </c>
      <c r="D844" t="n">
        <v>356</v>
      </c>
      <c r="E844" t="inlineStr">
        <is>
          <t>BBG00RMYSDH4</t>
        </is>
      </c>
    </row>
    <row r="845">
      <c r="A845" t="inlineStr">
        <is>
          <t>BBG00RMYSFL4 Equity</t>
        </is>
      </c>
      <c r="B845" t="inlineStr">
        <is>
          <t>TSLA US 01/21/22 P358</t>
        </is>
      </c>
      <c r="C845" t="inlineStr">
        <is>
          <t>2022-01-21</t>
        </is>
      </c>
      <c r="D845" t="n">
        <v>358</v>
      </c>
      <c r="E845" t="inlineStr">
        <is>
          <t>BBG00RMYSFL4</t>
        </is>
      </c>
    </row>
    <row r="846">
      <c r="A846" t="inlineStr">
        <is>
          <t>BBG00RMYSGQ7 Equity</t>
        </is>
      </c>
      <c r="B846" t="inlineStr">
        <is>
          <t>TSLA US 01/21/22 P360</t>
        </is>
      </c>
      <c r="C846" t="inlineStr">
        <is>
          <t>2022-01-21</t>
        </is>
      </c>
      <c r="D846" t="n">
        <v>360</v>
      </c>
      <c r="E846" t="inlineStr">
        <is>
          <t>BBG00RMYSGQ7</t>
        </is>
      </c>
    </row>
    <row r="847">
      <c r="A847" t="inlineStr">
        <is>
          <t>BBG00RMYSHT2 Equity</t>
        </is>
      </c>
      <c r="B847" t="inlineStr">
        <is>
          <t>TSLA US 01/21/22 P362</t>
        </is>
      </c>
      <c r="C847" t="inlineStr">
        <is>
          <t>2022-01-21</t>
        </is>
      </c>
      <c r="D847" t="n">
        <v>362</v>
      </c>
      <c r="E847" t="inlineStr">
        <is>
          <t>BBG00RMYSHT2</t>
        </is>
      </c>
    </row>
    <row r="848">
      <c r="A848" t="inlineStr">
        <is>
          <t>BBG00RMYSJX3 Equity</t>
        </is>
      </c>
      <c r="B848" t="inlineStr">
        <is>
          <t>TSLA US 01/21/22 P364</t>
        </is>
      </c>
      <c r="C848" t="inlineStr">
        <is>
          <t>2022-01-21</t>
        </is>
      </c>
      <c r="D848" t="n">
        <v>364</v>
      </c>
      <c r="E848" t="inlineStr">
        <is>
          <t>BBG00RMYSJX3</t>
        </is>
      </c>
    </row>
    <row r="849">
      <c r="A849" t="inlineStr">
        <is>
          <t>BBG00RMYSL13 Equity</t>
        </is>
      </c>
      <c r="B849" t="inlineStr">
        <is>
          <t>TSLA US 01/21/22 P366</t>
        </is>
      </c>
      <c r="C849" t="inlineStr">
        <is>
          <t>2022-01-21</t>
        </is>
      </c>
      <c r="D849" t="n">
        <v>366</v>
      </c>
      <c r="E849" t="inlineStr">
        <is>
          <t>BBG00RMYSL13</t>
        </is>
      </c>
    </row>
    <row r="850">
      <c r="A850" t="inlineStr">
        <is>
          <t>BBG00RMYSM48 Equity</t>
        </is>
      </c>
      <c r="B850" t="inlineStr">
        <is>
          <t>TSLA US 01/21/22 P368</t>
        </is>
      </c>
      <c r="C850" t="inlineStr">
        <is>
          <t>2022-01-21</t>
        </is>
      </c>
      <c r="D850" t="n">
        <v>368</v>
      </c>
      <c r="E850" t="inlineStr">
        <is>
          <t>BBG00RMYSM48</t>
        </is>
      </c>
    </row>
    <row r="851">
      <c r="A851" t="inlineStr">
        <is>
          <t>BBG00RMYSN73 Equity</t>
        </is>
      </c>
      <c r="B851" t="inlineStr">
        <is>
          <t>TSLA US 01/21/22 P370</t>
        </is>
      </c>
      <c r="C851" t="inlineStr">
        <is>
          <t>2022-01-21</t>
        </is>
      </c>
      <c r="D851" t="n">
        <v>370</v>
      </c>
      <c r="E851" t="inlineStr">
        <is>
          <t>BBG00RMYSN73</t>
        </is>
      </c>
    </row>
    <row r="852">
      <c r="A852" t="inlineStr">
        <is>
          <t>BBG00RMYSPC2 Equity</t>
        </is>
      </c>
      <c r="B852" t="inlineStr">
        <is>
          <t>TSLA US 01/21/22 P372</t>
        </is>
      </c>
      <c r="C852" t="inlineStr">
        <is>
          <t>2022-01-21</t>
        </is>
      </c>
      <c r="D852" t="n">
        <v>372</v>
      </c>
      <c r="E852" t="inlineStr">
        <is>
          <t>BBG00RMYSPC2</t>
        </is>
      </c>
    </row>
    <row r="853">
      <c r="A853" t="inlineStr">
        <is>
          <t>BBG00RMYSQG6 Equity</t>
        </is>
      </c>
      <c r="B853" t="inlineStr">
        <is>
          <t>TSLA US 01/21/22 P374</t>
        </is>
      </c>
      <c r="C853" t="inlineStr">
        <is>
          <t>2022-01-21</t>
        </is>
      </c>
      <c r="D853" t="n">
        <v>374</v>
      </c>
      <c r="E853" t="inlineStr">
        <is>
          <t>BBG00RMYSQG6</t>
        </is>
      </c>
    </row>
    <row r="854">
      <c r="A854" t="inlineStr">
        <is>
          <t>BBG00RMYSRK9 Equity</t>
        </is>
      </c>
      <c r="B854" t="inlineStr">
        <is>
          <t>TSLA US 01/21/22 P376</t>
        </is>
      </c>
      <c r="C854" t="inlineStr">
        <is>
          <t>2022-01-21</t>
        </is>
      </c>
      <c r="D854" t="n">
        <v>376</v>
      </c>
      <c r="E854" t="inlineStr">
        <is>
          <t>BBG00RMYSRK9</t>
        </is>
      </c>
    </row>
    <row r="855">
      <c r="A855" t="inlineStr">
        <is>
          <t>BBG00VXXS6P1 Equity</t>
        </is>
      </c>
      <c r="B855" t="inlineStr">
        <is>
          <t>TSLA US 01/21/22 P380</t>
        </is>
      </c>
      <c r="C855" t="inlineStr">
        <is>
          <t>2022-01-21</t>
        </is>
      </c>
      <c r="D855" t="n">
        <v>380</v>
      </c>
      <c r="E855" t="inlineStr">
        <is>
          <t>BBG00VXXS6P1</t>
        </is>
      </c>
    </row>
    <row r="856">
      <c r="A856" t="inlineStr">
        <is>
          <t>BBG00VXXS7T5 Equity</t>
        </is>
      </c>
      <c r="B856" t="inlineStr">
        <is>
          <t>TSLA US 01/21/22 P384</t>
        </is>
      </c>
      <c r="C856" t="inlineStr">
        <is>
          <t>2022-01-21</t>
        </is>
      </c>
      <c r="D856" t="n">
        <v>384</v>
      </c>
      <c r="E856" t="inlineStr">
        <is>
          <t>BBG00VXXS7T5</t>
        </is>
      </c>
    </row>
    <row r="857">
      <c r="A857" t="inlineStr">
        <is>
          <t>BBG00VXXS8X8 Equity</t>
        </is>
      </c>
      <c r="B857" t="inlineStr">
        <is>
          <t>TSLA US 01/21/22 P388</t>
        </is>
      </c>
      <c r="C857" t="inlineStr">
        <is>
          <t>2022-01-21</t>
        </is>
      </c>
      <c r="D857" t="n">
        <v>388</v>
      </c>
      <c r="E857" t="inlineStr">
        <is>
          <t>BBG00VXXS8X8</t>
        </is>
      </c>
    </row>
    <row r="858">
      <c r="A858" t="inlineStr">
        <is>
          <t>BBG00VXXSB16 Equity</t>
        </is>
      </c>
      <c r="B858" t="inlineStr">
        <is>
          <t>TSLA US 01/21/22 P392</t>
        </is>
      </c>
      <c r="C858" t="inlineStr">
        <is>
          <t>2022-01-21</t>
        </is>
      </c>
      <c r="D858" t="n">
        <v>392</v>
      </c>
      <c r="E858" t="inlineStr">
        <is>
          <t>BBG00VXXSB16</t>
        </is>
      </c>
    </row>
    <row r="859">
      <c r="A859" t="inlineStr">
        <is>
          <t>BBG00VXXSC41 Equity</t>
        </is>
      </c>
      <c r="B859" t="inlineStr">
        <is>
          <t>TSLA US 01/21/22 P396</t>
        </is>
      </c>
      <c r="C859" t="inlineStr">
        <is>
          <t>2022-01-21</t>
        </is>
      </c>
      <c r="D859" t="n">
        <v>396</v>
      </c>
      <c r="E859" t="inlineStr">
        <is>
          <t>BBG00VXXSC41</t>
        </is>
      </c>
    </row>
    <row r="860">
      <c r="A860" t="inlineStr">
        <is>
          <t>BBG00VXXSD76 Equity</t>
        </is>
      </c>
      <c r="B860" t="inlineStr">
        <is>
          <t>TSLA US 01/21/22 P400</t>
        </is>
      </c>
      <c r="C860" t="inlineStr">
        <is>
          <t>2022-01-21</t>
        </is>
      </c>
      <c r="D860" t="n">
        <v>400</v>
      </c>
      <c r="E860" t="inlineStr">
        <is>
          <t>BBG00VXXSD76</t>
        </is>
      </c>
    </row>
    <row r="861">
      <c r="A861" t="inlineStr">
        <is>
          <t>BBG00VYH50S0 Equity</t>
        </is>
      </c>
      <c r="B861" t="inlineStr">
        <is>
          <t>TSLA US 01/21/22 P410</t>
        </is>
      </c>
      <c r="C861" t="inlineStr">
        <is>
          <t>2022-01-21</t>
        </is>
      </c>
      <c r="D861" t="n">
        <v>410</v>
      </c>
      <c r="E861" t="inlineStr">
        <is>
          <t>BBG00VYH50S0</t>
        </is>
      </c>
    </row>
    <row r="862">
      <c r="A862" t="inlineStr">
        <is>
          <t>BBG00VYH51Y1 Equity</t>
        </is>
      </c>
      <c r="B862" t="inlineStr">
        <is>
          <t>TSLA US 01/21/22 P420</t>
        </is>
      </c>
      <c r="C862" t="inlineStr">
        <is>
          <t>2022-01-21</t>
        </is>
      </c>
      <c r="D862" t="n">
        <v>420</v>
      </c>
      <c r="E862" t="inlineStr">
        <is>
          <t>BBG00VYH51Y1</t>
        </is>
      </c>
    </row>
    <row r="863">
      <c r="A863" t="inlineStr">
        <is>
          <t>BBG00VYH5313 Equity</t>
        </is>
      </c>
      <c r="B863" t="inlineStr">
        <is>
          <t>TSLA US 01/21/22 P430</t>
        </is>
      </c>
      <c r="C863" t="inlineStr">
        <is>
          <t>2022-01-21</t>
        </is>
      </c>
      <c r="D863" t="n">
        <v>430</v>
      </c>
      <c r="E863" t="inlineStr">
        <is>
          <t>BBG00VYH5313</t>
        </is>
      </c>
    </row>
    <row r="864">
      <c r="A864" t="inlineStr">
        <is>
          <t>BBG00VYH5448 Equity</t>
        </is>
      </c>
      <c r="B864" t="inlineStr">
        <is>
          <t>TSLA US 01/21/22 P440</t>
        </is>
      </c>
      <c r="C864" t="inlineStr">
        <is>
          <t>2022-01-21</t>
        </is>
      </c>
      <c r="D864" t="n">
        <v>440</v>
      </c>
      <c r="E864" t="inlineStr">
        <is>
          <t>BBG00VYH5448</t>
        </is>
      </c>
    </row>
    <row r="865">
      <c r="A865" t="inlineStr">
        <is>
          <t>BBG00VYH55B7 Equity</t>
        </is>
      </c>
      <c r="B865" t="inlineStr">
        <is>
          <t>TSLA US 01/21/22 P450</t>
        </is>
      </c>
      <c r="C865" t="inlineStr">
        <is>
          <t>2022-01-21</t>
        </is>
      </c>
      <c r="D865" t="n">
        <v>450</v>
      </c>
      <c r="E865" t="inlineStr">
        <is>
          <t>BBG00VYH55B7</t>
        </is>
      </c>
    </row>
    <row r="866">
      <c r="A866" t="inlineStr">
        <is>
          <t>BBG00VYH56F1 Equity</t>
        </is>
      </c>
      <c r="B866" t="inlineStr">
        <is>
          <t>TSLA US 01/21/22 P460</t>
        </is>
      </c>
      <c r="C866" t="inlineStr">
        <is>
          <t>2022-01-21</t>
        </is>
      </c>
      <c r="D866" t="n">
        <v>460</v>
      </c>
      <c r="E866" t="inlineStr">
        <is>
          <t>BBG00VYH56F1</t>
        </is>
      </c>
    </row>
    <row r="867">
      <c r="A867" t="inlineStr">
        <is>
          <t>BBG00VYH57J5 Equity</t>
        </is>
      </c>
      <c r="B867" t="inlineStr">
        <is>
          <t>TSLA US 01/21/22 P470</t>
        </is>
      </c>
      <c r="C867" t="inlineStr">
        <is>
          <t>2022-01-21</t>
        </is>
      </c>
      <c r="D867" t="n">
        <v>470</v>
      </c>
      <c r="E867" t="inlineStr">
        <is>
          <t>BBG00VYH57J5</t>
        </is>
      </c>
    </row>
    <row r="868">
      <c r="A868" t="inlineStr">
        <is>
          <t>BBG00VYH58N8 Equity</t>
        </is>
      </c>
      <c r="B868" t="inlineStr">
        <is>
          <t>TSLA US 01/21/22 P480</t>
        </is>
      </c>
      <c r="C868" t="inlineStr">
        <is>
          <t>2022-01-21</t>
        </is>
      </c>
      <c r="D868" t="n">
        <v>480</v>
      </c>
      <c r="E868" t="inlineStr">
        <is>
          <t>BBG00VYH58N8</t>
        </is>
      </c>
    </row>
    <row r="869">
      <c r="A869" t="inlineStr">
        <is>
          <t>BBG00VYH59R2 Equity</t>
        </is>
      </c>
      <c r="B869" t="inlineStr">
        <is>
          <t>TSLA US 01/21/22 P490</t>
        </is>
      </c>
      <c r="C869" t="inlineStr">
        <is>
          <t>2022-01-21</t>
        </is>
      </c>
      <c r="D869" t="n">
        <v>490</v>
      </c>
      <c r="E869" t="inlineStr">
        <is>
          <t>BBG00VYH59R2</t>
        </is>
      </c>
    </row>
    <row r="870">
      <c r="A870" t="inlineStr">
        <is>
          <t>BBG00VYH5BV2 Equity</t>
        </is>
      </c>
      <c r="B870" t="inlineStr">
        <is>
          <t>TSLA US 01/21/22 P500</t>
        </is>
      </c>
      <c r="C870" t="inlineStr">
        <is>
          <t>2022-01-21</t>
        </is>
      </c>
      <c r="D870" t="n">
        <v>500</v>
      </c>
      <c r="E870" t="inlineStr">
        <is>
          <t>BBG00VYH5BV2</t>
        </is>
      </c>
    </row>
    <row r="871">
      <c r="A871" t="inlineStr">
        <is>
          <t>BBG00VYH5CZ6 Equity</t>
        </is>
      </c>
      <c r="B871" t="inlineStr">
        <is>
          <t>TSLA US 01/21/22 P510</t>
        </is>
      </c>
      <c r="C871" t="inlineStr">
        <is>
          <t>2022-01-21</t>
        </is>
      </c>
      <c r="D871" t="n">
        <v>510</v>
      </c>
      <c r="E871" t="inlineStr">
        <is>
          <t>BBG00VYH5CZ6</t>
        </is>
      </c>
    </row>
    <row r="872">
      <c r="A872" t="inlineStr">
        <is>
          <t>BBG012HFFH17 Equity</t>
        </is>
      </c>
      <c r="B872" t="inlineStr">
        <is>
          <t>TSLA US 02/18/22 P300</t>
        </is>
      </c>
      <c r="C872" t="inlineStr">
        <is>
          <t>2022-02-18</t>
        </is>
      </c>
      <c r="D872" t="n">
        <v>300</v>
      </c>
      <c r="E872" t="inlineStr">
        <is>
          <t>BBG012HFFH17</t>
        </is>
      </c>
    </row>
    <row r="873">
      <c r="A873" t="inlineStr">
        <is>
          <t>BBG012HFFJ59 Equity</t>
        </is>
      </c>
      <c r="B873" t="inlineStr">
        <is>
          <t>TSLA US 02/18/22 P325</t>
        </is>
      </c>
      <c r="C873" t="inlineStr">
        <is>
          <t>2022-02-18</t>
        </is>
      </c>
      <c r="D873" t="n">
        <v>325</v>
      </c>
      <c r="E873" t="inlineStr">
        <is>
          <t>BBG012HFFJ59</t>
        </is>
      </c>
    </row>
    <row r="874">
      <c r="A874" t="inlineStr">
        <is>
          <t>BBG012HFFK83 Equity</t>
        </is>
      </c>
      <c r="B874" t="inlineStr">
        <is>
          <t>TSLA US 02/18/22 P350</t>
        </is>
      </c>
      <c r="C874" t="inlineStr">
        <is>
          <t>2022-02-18</t>
        </is>
      </c>
      <c r="D874" t="n">
        <v>350</v>
      </c>
      <c r="E874" t="inlineStr">
        <is>
          <t>BBG012HFFK83</t>
        </is>
      </c>
    </row>
    <row r="875">
      <c r="A875" t="inlineStr">
        <is>
          <t>BBG012HFFLC6 Equity</t>
        </is>
      </c>
      <c r="B875" t="inlineStr">
        <is>
          <t>TSLA US 02/18/22 P375</t>
        </is>
      </c>
      <c r="C875" t="inlineStr">
        <is>
          <t>2022-02-18</t>
        </is>
      </c>
      <c r="D875" t="n">
        <v>375</v>
      </c>
      <c r="E875" t="inlineStr">
        <is>
          <t>BBG012HFFLC6</t>
        </is>
      </c>
    </row>
    <row r="876">
      <c r="A876" t="inlineStr">
        <is>
          <t>BBG012HFFMH9 Equity</t>
        </is>
      </c>
      <c r="B876" t="inlineStr">
        <is>
          <t>TSLA US 02/18/22 P400</t>
        </is>
      </c>
      <c r="C876" t="inlineStr">
        <is>
          <t>2022-02-18</t>
        </is>
      </c>
      <c r="D876" t="n">
        <v>400</v>
      </c>
      <c r="E876" t="inlineStr">
        <is>
          <t>BBG012HFFMH9</t>
        </is>
      </c>
    </row>
    <row r="877">
      <c r="A877" t="inlineStr">
        <is>
          <t>BBG01472PCH6 Equity</t>
        </is>
      </c>
      <c r="B877" t="inlineStr">
        <is>
          <t>TSLA US 02/18/22 P410</t>
        </is>
      </c>
      <c r="C877" t="inlineStr">
        <is>
          <t>2022-02-18</t>
        </is>
      </c>
      <c r="D877" t="n">
        <v>410</v>
      </c>
      <c r="E877" t="inlineStr">
        <is>
          <t>BBG01472PCH6</t>
        </is>
      </c>
    </row>
    <row r="878">
      <c r="A878" t="inlineStr">
        <is>
          <t>BBG01472PDL9 Equity</t>
        </is>
      </c>
      <c r="B878" t="inlineStr">
        <is>
          <t>TSLA US 02/18/22 P420</t>
        </is>
      </c>
      <c r="C878" t="inlineStr">
        <is>
          <t>2022-02-18</t>
        </is>
      </c>
      <c r="D878" t="n">
        <v>420</v>
      </c>
      <c r="E878" t="inlineStr">
        <is>
          <t>BBG01472PDL9</t>
        </is>
      </c>
    </row>
    <row r="879">
      <c r="A879" t="inlineStr">
        <is>
          <t>BBG012HFFNL2 Equity</t>
        </is>
      </c>
      <c r="B879" t="inlineStr">
        <is>
          <t>TSLA US 02/18/22 P425</t>
        </is>
      </c>
      <c r="C879" t="inlineStr">
        <is>
          <t>2022-02-18</t>
        </is>
      </c>
      <c r="D879" t="n">
        <v>425</v>
      </c>
      <c r="E879" t="inlineStr">
        <is>
          <t>BBG012HFFNL2</t>
        </is>
      </c>
    </row>
    <row r="880">
      <c r="A880" t="inlineStr">
        <is>
          <t>BBG01472PFS7 Equity</t>
        </is>
      </c>
      <c r="B880" t="inlineStr">
        <is>
          <t>TSLA US 02/18/22 P430</t>
        </is>
      </c>
      <c r="C880" t="inlineStr">
        <is>
          <t>2022-02-18</t>
        </is>
      </c>
      <c r="D880" t="n">
        <v>430</v>
      </c>
      <c r="E880" t="inlineStr">
        <is>
          <t>BBG01472PFS7</t>
        </is>
      </c>
    </row>
    <row r="881">
      <c r="A881" t="inlineStr">
        <is>
          <t>BBG01472PGW0 Equity</t>
        </is>
      </c>
      <c r="B881" t="inlineStr">
        <is>
          <t>TSLA US 02/18/22 P440</t>
        </is>
      </c>
      <c r="C881" t="inlineStr">
        <is>
          <t>2022-02-18</t>
        </is>
      </c>
      <c r="D881" t="n">
        <v>440</v>
      </c>
      <c r="E881" t="inlineStr">
        <is>
          <t>BBG01472PGW0</t>
        </is>
      </c>
    </row>
    <row r="882">
      <c r="A882" t="inlineStr">
        <is>
          <t>BBG012HFFPP3 Equity</t>
        </is>
      </c>
      <c r="B882" t="inlineStr">
        <is>
          <t>TSLA US 02/18/22 P450</t>
        </is>
      </c>
      <c r="C882" t="inlineStr">
        <is>
          <t>2022-02-18</t>
        </is>
      </c>
      <c r="D882" t="n">
        <v>450</v>
      </c>
      <c r="E882" t="inlineStr">
        <is>
          <t>BBG012HFFPP3</t>
        </is>
      </c>
    </row>
    <row r="883">
      <c r="A883" t="inlineStr">
        <is>
          <t>BBG01472PHZ5 Equity</t>
        </is>
      </c>
      <c r="B883" t="inlineStr">
        <is>
          <t>TSLA US 02/18/22 P460</t>
        </is>
      </c>
      <c r="C883" t="inlineStr">
        <is>
          <t>2022-02-18</t>
        </is>
      </c>
      <c r="D883" t="n">
        <v>460</v>
      </c>
      <c r="E883" t="inlineStr">
        <is>
          <t>BBG01472PHZ5</t>
        </is>
      </c>
    </row>
    <row r="884">
      <c r="A884" t="inlineStr">
        <is>
          <t>BBG01472PK42 Equity</t>
        </is>
      </c>
      <c r="B884" t="inlineStr">
        <is>
          <t>TSLA US 02/18/22 P470</t>
        </is>
      </c>
      <c r="C884" t="inlineStr">
        <is>
          <t>2022-02-18</t>
        </is>
      </c>
      <c r="D884" t="n">
        <v>470</v>
      </c>
      <c r="E884" t="inlineStr">
        <is>
          <t>BBG01472PK42</t>
        </is>
      </c>
    </row>
    <row r="885">
      <c r="A885" t="inlineStr">
        <is>
          <t>BBG012HFFQT7 Equity</t>
        </is>
      </c>
      <c r="B885" t="inlineStr">
        <is>
          <t>TSLA US 02/18/22 P475</t>
        </is>
      </c>
      <c r="C885" t="inlineStr">
        <is>
          <t>2022-02-18</t>
        </is>
      </c>
      <c r="D885" t="n">
        <v>475</v>
      </c>
      <c r="E885" t="inlineStr">
        <is>
          <t>BBG012HFFQT7</t>
        </is>
      </c>
    </row>
    <row r="886">
      <c r="A886" t="inlineStr">
        <is>
          <t>BBG01472PL77 Equity</t>
        </is>
      </c>
      <c r="B886" t="inlineStr">
        <is>
          <t>TSLA US 02/18/22 P480</t>
        </is>
      </c>
      <c r="C886" t="inlineStr">
        <is>
          <t>2022-02-18</t>
        </is>
      </c>
      <c r="D886" t="n">
        <v>480</v>
      </c>
      <c r="E886" t="inlineStr">
        <is>
          <t>BBG01472PL77</t>
        </is>
      </c>
    </row>
    <row r="887">
      <c r="A887" t="inlineStr">
        <is>
          <t>BBG01472PMB0 Equity</t>
        </is>
      </c>
      <c r="B887" t="inlineStr">
        <is>
          <t>TSLA US 02/18/22 P490</t>
        </is>
      </c>
      <c r="C887" t="inlineStr">
        <is>
          <t>2022-02-18</t>
        </is>
      </c>
      <c r="D887" t="n">
        <v>490</v>
      </c>
      <c r="E887" t="inlineStr">
        <is>
          <t>BBG01472PMB0</t>
        </is>
      </c>
    </row>
    <row r="888">
      <c r="A888" t="inlineStr">
        <is>
          <t>BBG012HFFRX0 Equity</t>
        </is>
      </c>
      <c r="B888" t="inlineStr">
        <is>
          <t>TSLA US 02/18/22 P500</t>
        </is>
      </c>
      <c r="C888" t="inlineStr">
        <is>
          <t>2022-02-18</t>
        </is>
      </c>
      <c r="D888" t="n">
        <v>500</v>
      </c>
      <c r="E888" t="inlineStr">
        <is>
          <t>BBG012HFFRX0</t>
        </is>
      </c>
    </row>
    <row r="889">
      <c r="A889" t="inlineStr">
        <is>
          <t>BBG01472PNH2 Equity</t>
        </is>
      </c>
      <c r="B889" t="inlineStr">
        <is>
          <t>TSLA US 02/18/22 P510</t>
        </is>
      </c>
      <c r="C889" t="inlineStr">
        <is>
          <t>2022-02-18</t>
        </is>
      </c>
      <c r="D889" t="n">
        <v>510</v>
      </c>
      <c r="E889" t="inlineStr">
        <is>
          <t>BBG01472PNH2</t>
        </is>
      </c>
    </row>
    <row r="890">
      <c r="A890" t="inlineStr">
        <is>
          <t>BBG00RNT6Z34 Equity</t>
        </is>
      </c>
      <c r="B890" t="inlineStr">
        <is>
          <t>TSLA US 03/18/22 P208</t>
        </is>
      </c>
      <c r="C890" t="inlineStr">
        <is>
          <t>2022-03-18</t>
        </is>
      </c>
      <c r="D890" t="n">
        <v>208</v>
      </c>
      <c r="E890" t="inlineStr">
        <is>
          <t>BBG00RNT6Z34</t>
        </is>
      </c>
    </row>
    <row r="891">
      <c r="A891" t="inlineStr">
        <is>
          <t>BBG00RNT7021 Equity</t>
        </is>
      </c>
      <c r="B891" t="inlineStr">
        <is>
          <t>TSLA US 03/18/22 P212</t>
        </is>
      </c>
      <c r="C891" t="inlineStr">
        <is>
          <t>2022-03-18</t>
        </is>
      </c>
      <c r="D891" t="n">
        <v>212</v>
      </c>
      <c r="E891" t="inlineStr">
        <is>
          <t>BBG00RNT7021</t>
        </is>
      </c>
    </row>
    <row r="892">
      <c r="A892" t="inlineStr">
        <is>
          <t>BBG00RNT7110 Equity</t>
        </is>
      </c>
      <c r="B892" t="inlineStr">
        <is>
          <t>TSLA US 03/18/22 P216</t>
        </is>
      </c>
      <c r="C892" t="inlineStr">
        <is>
          <t>2022-03-18</t>
        </is>
      </c>
      <c r="D892" t="n">
        <v>216</v>
      </c>
      <c r="E892" t="inlineStr">
        <is>
          <t>BBG00RNT7110</t>
        </is>
      </c>
    </row>
    <row r="893">
      <c r="A893" t="inlineStr">
        <is>
          <t>BBG00RNT7218 Equity</t>
        </is>
      </c>
      <c r="B893" t="inlineStr">
        <is>
          <t>TSLA US 03/18/22 P220</t>
        </is>
      </c>
      <c r="C893" t="inlineStr">
        <is>
          <t>2022-03-18</t>
        </is>
      </c>
      <c r="D893" t="n">
        <v>220</v>
      </c>
      <c r="E893" t="inlineStr">
        <is>
          <t>BBG00RNT7218</t>
        </is>
      </c>
    </row>
    <row r="894">
      <c r="A894" t="inlineStr">
        <is>
          <t>BBG00RNT7307 Equity</t>
        </is>
      </c>
      <c r="B894" t="inlineStr">
        <is>
          <t>TSLA US 03/18/22 P224</t>
        </is>
      </c>
      <c r="C894" t="inlineStr">
        <is>
          <t>2022-03-18</t>
        </is>
      </c>
      <c r="D894" t="n">
        <v>224</v>
      </c>
      <c r="E894" t="inlineStr">
        <is>
          <t>BBG00RNT7307</t>
        </is>
      </c>
    </row>
    <row r="895">
      <c r="A895" t="inlineStr">
        <is>
          <t>BBG00VXXSFC5 Equity</t>
        </is>
      </c>
      <c r="B895" t="inlineStr">
        <is>
          <t>TSLA US 03/18/22 P240</t>
        </is>
      </c>
      <c r="C895" t="inlineStr">
        <is>
          <t>2022-03-18</t>
        </is>
      </c>
      <c r="D895" t="n">
        <v>240</v>
      </c>
      <c r="E895" t="inlineStr">
        <is>
          <t>BBG00VXXSFC5</t>
        </is>
      </c>
    </row>
    <row r="896">
      <c r="A896" t="inlineStr">
        <is>
          <t>BBG00VXXSGG9 Equity</t>
        </is>
      </c>
      <c r="B896" t="inlineStr">
        <is>
          <t>TSLA US 03/18/22 P242</t>
        </is>
      </c>
      <c r="C896" t="inlineStr">
        <is>
          <t>2022-03-18</t>
        </is>
      </c>
      <c r="D896" t="n">
        <v>242</v>
      </c>
      <c r="E896" t="inlineStr">
        <is>
          <t>BBG00VXXSGG9</t>
        </is>
      </c>
    </row>
    <row r="897">
      <c r="A897" t="inlineStr">
        <is>
          <t>BBG00VXXSHK2 Equity</t>
        </is>
      </c>
      <c r="B897" t="inlineStr">
        <is>
          <t>TSLA US 03/18/22 P244</t>
        </is>
      </c>
      <c r="C897" t="inlineStr">
        <is>
          <t>2022-03-18</t>
        </is>
      </c>
      <c r="D897" t="n">
        <v>244</v>
      </c>
      <c r="E897" t="inlineStr">
        <is>
          <t>BBG00VXXSHK2</t>
        </is>
      </c>
    </row>
    <row r="898">
      <c r="A898" t="inlineStr">
        <is>
          <t>BBG00VXXSJQ2 Equity</t>
        </is>
      </c>
      <c r="B898" t="inlineStr">
        <is>
          <t>TSLA US 03/18/22 P246</t>
        </is>
      </c>
      <c r="C898" t="inlineStr">
        <is>
          <t>2022-03-18</t>
        </is>
      </c>
      <c r="D898" t="n">
        <v>246</v>
      </c>
      <c r="E898" t="inlineStr">
        <is>
          <t>BBG00VXXSJQ2</t>
        </is>
      </c>
    </row>
    <row r="899">
      <c r="A899" t="inlineStr">
        <is>
          <t>BBG00VXXSKT6 Equity</t>
        </is>
      </c>
      <c r="B899" t="inlineStr">
        <is>
          <t>TSLA US 03/18/22 P248</t>
        </is>
      </c>
      <c r="C899" t="inlineStr">
        <is>
          <t>2022-03-18</t>
        </is>
      </c>
      <c r="D899" t="n">
        <v>248</v>
      </c>
      <c r="E899" t="inlineStr">
        <is>
          <t>BBG00VXXSKT6</t>
        </is>
      </c>
    </row>
    <row r="900">
      <c r="A900" t="inlineStr">
        <is>
          <t>BBG00VXXSLX9 Equity</t>
        </is>
      </c>
      <c r="B900" t="inlineStr">
        <is>
          <t>TSLA US 03/18/22 P250</t>
        </is>
      </c>
      <c r="C900" t="inlineStr">
        <is>
          <t>2022-03-18</t>
        </is>
      </c>
      <c r="D900" t="n">
        <v>250</v>
      </c>
      <c r="E900" t="inlineStr">
        <is>
          <t>BBG00VXXSLX9</t>
        </is>
      </c>
    </row>
    <row r="901">
      <c r="A901" t="inlineStr">
        <is>
          <t>BBG00VXXSN29 Equity</t>
        </is>
      </c>
      <c r="B901" t="inlineStr">
        <is>
          <t>TSLA US 03/18/22 P252</t>
        </is>
      </c>
      <c r="C901" t="inlineStr">
        <is>
          <t>2022-03-18</t>
        </is>
      </c>
      <c r="D901" t="n">
        <v>252</v>
      </c>
      <c r="E901" t="inlineStr">
        <is>
          <t>BBG00VXXSN29</t>
        </is>
      </c>
    </row>
    <row r="902">
      <c r="A902" t="inlineStr">
        <is>
          <t>BBG00VXXSP51 Equity</t>
        </is>
      </c>
      <c r="B902" t="inlineStr">
        <is>
          <t>TSLA US 03/18/22 P254</t>
        </is>
      </c>
      <c r="C902" t="inlineStr">
        <is>
          <t>2022-03-18</t>
        </is>
      </c>
      <c r="D902" t="n">
        <v>254</v>
      </c>
      <c r="E902" t="inlineStr">
        <is>
          <t>BBG00VXXSP51</t>
        </is>
      </c>
    </row>
    <row r="903">
      <c r="A903" t="inlineStr">
        <is>
          <t>BBG00VXXSQ86 Equity</t>
        </is>
      </c>
      <c r="B903" t="inlineStr">
        <is>
          <t>TSLA US 03/18/22 P256</t>
        </is>
      </c>
      <c r="C903" t="inlineStr">
        <is>
          <t>2022-03-18</t>
        </is>
      </c>
      <c r="D903" t="n">
        <v>256</v>
      </c>
      <c r="E903" t="inlineStr">
        <is>
          <t>BBG00VXXSQ86</t>
        </is>
      </c>
    </row>
    <row r="904">
      <c r="A904" t="inlineStr">
        <is>
          <t>BBG00VXXSRD8 Equity</t>
        </is>
      </c>
      <c r="B904" t="inlineStr">
        <is>
          <t>TSLA US 03/18/22 P258</t>
        </is>
      </c>
      <c r="C904" t="inlineStr">
        <is>
          <t>2022-03-18</t>
        </is>
      </c>
      <c r="D904" t="n">
        <v>258</v>
      </c>
      <c r="E904" t="inlineStr">
        <is>
          <t>BBG00VXXSRD8</t>
        </is>
      </c>
    </row>
    <row r="905">
      <c r="A905" t="inlineStr">
        <is>
          <t>BBG00VXXSSH2 Equity</t>
        </is>
      </c>
      <c r="B905" t="inlineStr">
        <is>
          <t>TSLA US 03/18/22 P260</t>
        </is>
      </c>
      <c r="C905" t="inlineStr">
        <is>
          <t>2022-03-18</t>
        </is>
      </c>
      <c r="D905" t="n">
        <v>260</v>
      </c>
      <c r="E905" t="inlineStr">
        <is>
          <t>BBG00VXXSSH2</t>
        </is>
      </c>
    </row>
    <row r="906">
      <c r="A906" t="inlineStr">
        <is>
          <t>BBG00VXXSTL5 Equity</t>
        </is>
      </c>
      <c r="B906" t="inlineStr">
        <is>
          <t>TSLA US 03/18/22 P262</t>
        </is>
      </c>
      <c r="C906" t="inlineStr">
        <is>
          <t>2022-03-18</t>
        </is>
      </c>
      <c r="D906" t="n">
        <v>262</v>
      </c>
      <c r="E906" t="inlineStr">
        <is>
          <t>BBG00VXXSTL5</t>
        </is>
      </c>
    </row>
    <row r="907">
      <c r="A907" t="inlineStr">
        <is>
          <t>BBG00VXXSVQ5 Equity</t>
        </is>
      </c>
      <c r="B907" t="inlineStr">
        <is>
          <t>TSLA US 03/18/22 P264</t>
        </is>
      </c>
      <c r="C907" t="inlineStr">
        <is>
          <t>2022-03-18</t>
        </is>
      </c>
      <c r="D907" t="n">
        <v>264</v>
      </c>
      <c r="E907" t="inlineStr">
        <is>
          <t>BBG00VXXSVQ5</t>
        </is>
      </c>
    </row>
    <row r="908">
      <c r="A908" t="inlineStr">
        <is>
          <t>BBG00VXXSWT0 Equity</t>
        </is>
      </c>
      <c r="B908" t="inlineStr">
        <is>
          <t>TSLA US 03/18/22 P266</t>
        </is>
      </c>
      <c r="C908" t="inlineStr">
        <is>
          <t>2022-03-18</t>
        </is>
      </c>
      <c r="D908" t="n">
        <v>266</v>
      </c>
      <c r="E908" t="inlineStr">
        <is>
          <t>BBG00VXXSWT0</t>
        </is>
      </c>
    </row>
    <row r="909">
      <c r="A909" t="inlineStr">
        <is>
          <t>BBG00VXXSXX3 Equity</t>
        </is>
      </c>
      <c r="B909" t="inlineStr">
        <is>
          <t>TSLA US 03/18/22 P268</t>
        </is>
      </c>
      <c r="C909" t="inlineStr">
        <is>
          <t>2022-03-18</t>
        </is>
      </c>
      <c r="D909" t="n">
        <v>268</v>
      </c>
      <c r="E909" t="inlineStr">
        <is>
          <t>BBG00VXXSXX3</t>
        </is>
      </c>
    </row>
    <row r="910">
      <c r="A910" t="inlineStr">
        <is>
          <t>BBG00VXXSZ13 Equity</t>
        </is>
      </c>
      <c r="B910" t="inlineStr">
        <is>
          <t>TSLA US 03/18/22 P270</t>
        </is>
      </c>
      <c r="C910" t="inlineStr">
        <is>
          <t>2022-03-18</t>
        </is>
      </c>
      <c r="D910" t="n">
        <v>270</v>
      </c>
      <c r="E910" t="inlineStr">
        <is>
          <t>BBG00VXXSZ13</t>
        </is>
      </c>
    </row>
    <row r="911">
      <c r="A911" t="inlineStr">
        <is>
          <t>BBG00VXXT046 Equity</t>
        </is>
      </c>
      <c r="B911" t="inlineStr">
        <is>
          <t>TSLA US 03/18/22 P272</t>
        </is>
      </c>
      <c r="C911" t="inlineStr">
        <is>
          <t>2022-03-18</t>
        </is>
      </c>
      <c r="D911" t="n">
        <v>272</v>
      </c>
      <c r="E911" t="inlineStr">
        <is>
          <t>BBG00VXXT046</t>
        </is>
      </c>
    </row>
    <row r="912">
      <c r="A912" t="inlineStr">
        <is>
          <t>BBG00VXXT171 Equity</t>
        </is>
      </c>
      <c r="B912" t="inlineStr">
        <is>
          <t>TSLA US 03/18/22 P274</t>
        </is>
      </c>
      <c r="C912" t="inlineStr">
        <is>
          <t>2022-03-18</t>
        </is>
      </c>
      <c r="D912" t="n">
        <v>274</v>
      </c>
      <c r="E912" t="inlineStr">
        <is>
          <t>BBG00VXXT171</t>
        </is>
      </c>
    </row>
    <row r="913">
      <c r="A913" t="inlineStr">
        <is>
          <t>BBG00VXXT2C3 Equity</t>
        </is>
      </c>
      <c r="B913" t="inlineStr">
        <is>
          <t>TSLA US 03/18/22 P276</t>
        </is>
      </c>
      <c r="C913" t="inlineStr">
        <is>
          <t>2022-03-18</t>
        </is>
      </c>
      <c r="D913" t="n">
        <v>276</v>
      </c>
      <c r="E913" t="inlineStr">
        <is>
          <t>BBG00VXXT2C3</t>
        </is>
      </c>
    </row>
    <row r="914">
      <c r="A914" t="inlineStr">
        <is>
          <t>BBG00VXXT3G7 Equity</t>
        </is>
      </c>
      <c r="B914" t="inlineStr">
        <is>
          <t>TSLA US 03/18/22 P278</t>
        </is>
      </c>
      <c r="C914" t="inlineStr">
        <is>
          <t>2022-03-18</t>
        </is>
      </c>
      <c r="D914" t="n">
        <v>278</v>
      </c>
      <c r="E914" t="inlineStr">
        <is>
          <t>BBG00VXXT3G7</t>
        </is>
      </c>
    </row>
    <row r="915">
      <c r="A915" t="inlineStr">
        <is>
          <t>BBG00VXXT4K0 Equity</t>
        </is>
      </c>
      <c r="B915" t="inlineStr">
        <is>
          <t>TSLA US 03/18/22 P280</t>
        </is>
      </c>
      <c r="C915" t="inlineStr">
        <is>
          <t>2022-03-18</t>
        </is>
      </c>
      <c r="D915" t="n">
        <v>280</v>
      </c>
      <c r="E915" t="inlineStr">
        <is>
          <t>BBG00VXXT4K0</t>
        </is>
      </c>
    </row>
    <row r="916">
      <c r="A916" t="inlineStr">
        <is>
          <t>BBG00VXXT5P2 Equity</t>
        </is>
      </c>
      <c r="B916" t="inlineStr">
        <is>
          <t>TSLA US 03/18/22 P282</t>
        </is>
      </c>
      <c r="C916" t="inlineStr">
        <is>
          <t>2022-03-18</t>
        </is>
      </c>
      <c r="D916" t="n">
        <v>282</v>
      </c>
      <c r="E916" t="inlineStr">
        <is>
          <t>BBG00VXXT5P2</t>
        </is>
      </c>
    </row>
    <row r="917">
      <c r="A917" t="inlineStr">
        <is>
          <t>BBG00VXXT6S7 Equity</t>
        </is>
      </c>
      <c r="B917" t="inlineStr">
        <is>
          <t>TSLA US 03/18/22 P284</t>
        </is>
      </c>
      <c r="C917" t="inlineStr">
        <is>
          <t>2022-03-18</t>
        </is>
      </c>
      <c r="D917" t="n">
        <v>284</v>
      </c>
      <c r="E917" t="inlineStr">
        <is>
          <t>BBG00VXXT6S7</t>
        </is>
      </c>
    </row>
    <row r="918">
      <c r="A918" t="inlineStr">
        <is>
          <t>BBG00VXXT7W0 Equity</t>
        </is>
      </c>
      <c r="B918" t="inlineStr">
        <is>
          <t>TSLA US 03/18/22 P286</t>
        </is>
      </c>
      <c r="C918" t="inlineStr">
        <is>
          <t>2022-03-18</t>
        </is>
      </c>
      <c r="D918" t="n">
        <v>286</v>
      </c>
      <c r="E918" t="inlineStr">
        <is>
          <t>BBG00VXXT7W0</t>
        </is>
      </c>
    </row>
    <row r="919">
      <c r="A919" t="inlineStr">
        <is>
          <t>BBG00VXXT901 Equity</t>
        </is>
      </c>
      <c r="B919" t="inlineStr">
        <is>
          <t>TSLA US 03/18/22 P288</t>
        </is>
      </c>
      <c r="C919" t="inlineStr">
        <is>
          <t>2022-03-18</t>
        </is>
      </c>
      <c r="D919" t="n">
        <v>288</v>
      </c>
      <c r="E919" t="inlineStr">
        <is>
          <t>BBG00VXXT901</t>
        </is>
      </c>
    </row>
    <row r="920">
      <c r="A920" t="inlineStr">
        <is>
          <t>BBG00VXXTB33 Equity</t>
        </is>
      </c>
      <c r="B920" t="inlineStr">
        <is>
          <t>TSLA US 03/18/22 P290</t>
        </is>
      </c>
      <c r="C920" t="inlineStr">
        <is>
          <t>2022-03-18</t>
        </is>
      </c>
      <c r="D920" t="n">
        <v>290</v>
      </c>
      <c r="E920" t="inlineStr">
        <is>
          <t>BBG00VXXTB33</t>
        </is>
      </c>
    </row>
    <row r="921">
      <c r="A921" t="inlineStr">
        <is>
          <t>BBG00VXXTC68 Equity</t>
        </is>
      </c>
      <c r="B921" t="inlineStr">
        <is>
          <t>TSLA US 03/18/22 P292</t>
        </is>
      </c>
      <c r="C921" t="inlineStr">
        <is>
          <t>2022-03-18</t>
        </is>
      </c>
      <c r="D921" t="n">
        <v>292</v>
      </c>
      <c r="E921" t="inlineStr">
        <is>
          <t>BBG00VXXTC68</t>
        </is>
      </c>
    </row>
    <row r="922">
      <c r="A922" t="inlineStr">
        <is>
          <t>BBG00VXXTDB0 Equity</t>
        </is>
      </c>
      <c r="B922" t="inlineStr">
        <is>
          <t>TSLA US 03/18/22 P294</t>
        </is>
      </c>
      <c r="C922" t="inlineStr">
        <is>
          <t>2022-03-18</t>
        </is>
      </c>
      <c r="D922" t="n">
        <v>294</v>
      </c>
      <c r="E922" t="inlineStr">
        <is>
          <t>BBG00VXXTDB0</t>
        </is>
      </c>
    </row>
    <row r="923">
      <c r="A923" t="inlineStr">
        <is>
          <t>BBG00VXXTFF1 Equity</t>
        </is>
      </c>
      <c r="B923" t="inlineStr">
        <is>
          <t>TSLA US 03/18/22 P296</t>
        </is>
      </c>
      <c r="C923" t="inlineStr">
        <is>
          <t>2022-03-18</t>
        </is>
      </c>
      <c r="D923" t="n">
        <v>296</v>
      </c>
      <c r="E923" t="inlineStr">
        <is>
          <t>BBG00VXXTFF1</t>
        </is>
      </c>
    </row>
    <row r="924">
      <c r="A924" t="inlineStr">
        <is>
          <t>BBG00VXXTGK3 Equity</t>
        </is>
      </c>
      <c r="B924" t="inlineStr">
        <is>
          <t>TSLA US 03/18/22 P298</t>
        </is>
      </c>
      <c r="C924" t="inlineStr">
        <is>
          <t>2022-03-18</t>
        </is>
      </c>
      <c r="D924" t="n">
        <v>298</v>
      </c>
      <c r="E924" t="inlineStr">
        <is>
          <t>BBG00VXXTGK3</t>
        </is>
      </c>
    </row>
    <row r="925">
      <c r="A925" t="inlineStr">
        <is>
          <t>BBG00VXXTHN8 Equity</t>
        </is>
      </c>
      <c r="B925" t="inlineStr">
        <is>
          <t>TSLA US 03/18/22 P300</t>
        </is>
      </c>
      <c r="C925" t="inlineStr">
        <is>
          <t>2022-03-18</t>
        </is>
      </c>
      <c r="D925" t="n">
        <v>300</v>
      </c>
      <c r="E925" t="inlineStr">
        <is>
          <t>BBG00VXXTHN8</t>
        </is>
      </c>
    </row>
    <row r="926">
      <c r="A926" t="inlineStr">
        <is>
          <t>BBG00VXXTJR0 Equity</t>
        </is>
      </c>
      <c r="B926" t="inlineStr">
        <is>
          <t>TSLA US 03/18/22 P302</t>
        </is>
      </c>
      <c r="C926" t="inlineStr">
        <is>
          <t>2022-03-18</t>
        </is>
      </c>
      <c r="D926" t="n">
        <v>302</v>
      </c>
      <c r="E926" t="inlineStr">
        <is>
          <t>BBG00VXXTJR0</t>
        </is>
      </c>
    </row>
    <row r="927">
      <c r="A927" t="inlineStr">
        <is>
          <t>BBG00RMYSSP2 Equity</t>
        </is>
      </c>
      <c r="B927" t="inlineStr">
        <is>
          <t>TSLA US 03/18/22 P304</t>
        </is>
      </c>
      <c r="C927" t="inlineStr">
        <is>
          <t>2022-03-18</t>
        </is>
      </c>
      <c r="D927" t="n">
        <v>304</v>
      </c>
      <c r="E927" t="inlineStr">
        <is>
          <t>BBG00RMYSSP2</t>
        </is>
      </c>
    </row>
    <row r="928">
      <c r="A928" t="inlineStr">
        <is>
          <t>BBG00RMYSTN2 Equity</t>
        </is>
      </c>
      <c r="B928" t="inlineStr">
        <is>
          <t>TSLA US 03/18/22 P306</t>
        </is>
      </c>
      <c r="C928" t="inlineStr">
        <is>
          <t>2022-03-18</t>
        </is>
      </c>
      <c r="D928" t="n">
        <v>306</v>
      </c>
      <c r="E928" t="inlineStr">
        <is>
          <t>BBG00RMYSTN2</t>
        </is>
      </c>
    </row>
    <row r="929">
      <c r="A929" t="inlineStr">
        <is>
          <t>BBG00RMYSVM8 Equity</t>
        </is>
      </c>
      <c r="B929" t="inlineStr">
        <is>
          <t>TSLA US 03/18/22 P308</t>
        </is>
      </c>
      <c r="C929" t="inlineStr">
        <is>
          <t>2022-03-18</t>
        </is>
      </c>
      <c r="D929" t="n">
        <v>308</v>
      </c>
      <c r="E929" t="inlineStr">
        <is>
          <t>BBG00RMYSVM8</t>
        </is>
      </c>
    </row>
    <row r="930">
      <c r="A930" t="inlineStr">
        <is>
          <t>BBG00RMYSWM6 Equity</t>
        </is>
      </c>
      <c r="B930" t="inlineStr">
        <is>
          <t>TSLA US 03/18/22 P310</t>
        </is>
      </c>
      <c r="C930" t="inlineStr">
        <is>
          <t>2022-03-18</t>
        </is>
      </c>
      <c r="D930" t="n">
        <v>310</v>
      </c>
      <c r="E930" t="inlineStr">
        <is>
          <t>BBG00RMYSWM6</t>
        </is>
      </c>
    </row>
    <row r="931">
      <c r="A931" t="inlineStr">
        <is>
          <t>BBG00RMYSXL5 Equity</t>
        </is>
      </c>
      <c r="B931" t="inlineStr">
        <is>
          <t>TSLA US 03/18/22 P312</t>
        </is>
      </c>
      <c r="C931" t="inlineStr">
        <is>
          <t>2022-03-18</t>
        </is>
      </c>
      <c r="D931" t="n">
        <v>312</v>
      </c>
      <c r="E931" t="inlineStr">
        <is>
          <t>BBG00RMYSXL5</t>
        </is>
      </c>
    </row>
    <row r="932">
      <c r="A932" t="inlineStr">
        <is>
          <t>BBG00RMYSYK4 Equity</t>
        </is>
      </c>
      <c r="B932" t="inlineStr">
        <is>
          <t>TSLA US 03/18/22 P314</t>
        </is>
      </c>
      <c r="C932" t="inlineStr">
        <is>
          <t>2022-03-18</t>
        </is>
      </c>
      <c r="D932" t="n">
        <v>314</v>
      </c>
      <c r="E932" t="inlineStr">
        <is>
          <t>BBG00RMYSYK4</t>
        </is>
      </c>
    </row>
    <row r="933">
      <c r="A933" t="inlineStr">
        <is>
          <t>BBG00RMYSZK1 Equity</t>
        </is>
      </c>
      <c r="B933" t="inlineStr">
        <is>
          <t>TSLA US 03/18/22 P316</t>
        </is>
      </c>
      <c r="C933" t="inlineStr">
        <is>
          <t>2022-03-18</t>
        </is>
      </c>
      <c r="D933" t="n">
        <v>316</v>
      </c>
      <c r="E933" t="inlineStr">
        <is>
          <t>BBG00RMYSZK1</t>
        </is>
      </c>
    </row>
    <row r="934">
      <c r="A934" t="inlineStr">
        <is>
          <t>BBG00RMYT0J9 Equity</t>
        </is>
      </c>
      <c r="B934" t="inlineStr">
        <is>
          <t>TSLA US 03/18/22 P318</t>
        </is>
      </c>
      <c r="C934" t="inlineStr">
        <is>
          <t>2022-03-18</t>
        </is>
      </c>
      <c r="D934" t="n">
        <v>318</v>
      </c>
      <c r="E934" t="inlineStr">
        <is>
          <t>BBG00RMYT0J9</t>
        </is>
      </c>
    </row>
    <row r="935">
      <c r="A935" t="inlineStr">
        <is>
          <t>BBG00RMYT1H9 Equity</t>
        </is>
      </c>
      <c r="B935" t="inlineStr">
        <is>
          <t>TSLA US 03/18/22 P320</t>
        </is>
      </c>
      <c r="C935" t="inlineStr">
        <is>
          <t>2022-03-18</t>
        </is>
      </c>
      <c r="D935" t="n">
        <v>320</v>
      </c>
      <c r="E935" t="inlineStr">
        <is>
          <t>BBG00RMYT1H9</t>
        </is>
      </c>
    </row>
    <row r="936">
      <c r="A936" t="inlineStr">
        <is>
          <t>BBG00RMYT2H7 Equity</t>
        </is>
      </c>
      <c r="B936" t="inlineStr">
        <is>
          <t>TSLA US 03/18/22 P322</t>
        </is>
      </c>
      <c r="C936" t="inlineStr">
        <is>
          <t>2022-03-18</t>
        </is>
      </c>
      <c r="D936" t="n">
        <v>322</v>
      </c>
      <c r="E936" t="inlineStr">
        <is>
          <t>BBG00RMYT2H7</t>
        </is>
      </c>
    </row>
    <row r="937">
      <c r="A937" t="inlineStr">
        <is>
          <t>BBG00RMYT3G6 Equity</t>
        </is>
      </c>
      <c r="B937" t="inlineStr">
        <is>
          <t>TSLA US 03/18/22 P324</t>
        </is>
      </c>
      <c r="C937" t="inlineStr">
        <is>
          <t>2022-03-18</t>
        </is>
      </c>
      <c r="D937" t="n">
        <v>324</v>
      </c>
      <c r="E937" t="inlineStr">
        <is>
          <t>BBG00RMYT3G6</t>
        </is>
      </c>
    </row>
    <row r="938">
      <c r="A938" t="inlineStr">
        <is>
          <t>BBG00RMYT4F5 Equity</t>
        </is>
      </c>
      <c r="B938" t="inlineStr">
        <is>
          <t>TSLA US 03/18/22 P326</t>
        </is>
      </c>
      <c r="C938" t="inlineStr">
        <is>
          <t>2022-03-18</t>
        </is>
      </c>
      <c r="D938" t="n">
        <v>326</v>
      </c>
      <c r="E938" t="inlineStr">
        <is>
          <t>BBG00RMYT4F5</t>
        </is>
      </c>
    </row>
    <row r="939">
      <c r="A939" t="inlineStr">
        <is>
          <t>BBG00RMYT5D4 Equity</t>
        </is>
      </c>
      <c r="B939" t="inlineStr">
        <is>
          <t>TSLA US 03/18/22 P328</t>
        </is>
      </c>
      <c r="C939" t="inlineStr">
        <is>
          <t>2022-03-18</t>
        </is>
      </c>
      <c r="D939" t="n">
        <v>328</v>
      </c>
      <c r="E939" t="inlineStr">
        <is>
          <t>BBG00RMYT5D4</t>
        </is>
      </c>
    </row>
    <row r="940">
      <c r="A940" t="inlineStr">
        <is>
          <t>BBG00RMYT6F0 Equity</t>
        </is>
      </c>
      <c r="B940" t="inlineStr">
        <is>
          <t>TSLA US 03/18/22 P330</t>
        </is>
      </c>
      <c r="C940" t="inlineStr">
        <is>
          <t>2022-03-18</t>
        </is>
      </c>
      <c r="D940" t="n">
        <v>330</v>
      </c>
      <c r="E940" t="inlineStr">
        <is>
          <t>BBG00RMYT6F0</t>
        </is>
      </c>
    </row>
    <row r="941">
      <c r="A941" t="inlineStr">
        <is>
          <t>BBG00RMYT7D0 Equity</t>
        </is>
      </c>
      <c r="B941" t="inlineStr">
        <is>
          <t>TSLA US 03/18/22 P332</t>
        </is>
      </c>
      <c r="C941" t="inlineStr">
        <is>
          <t>2022-03-18</t>
        </is>
      </c>
      <c r="D941" t="n">
        <v>332</v>
      </c>
      <c r="E941" t="inlineStr">
        <is>
          <t>BBG00RMYT7D0</t>
        </is>
      </c>
    </row>
    <row r="942">
      <c r="A942" t="inlineStr">
        <is>
          <t>BBG00RMYT8C9 Equity</t>
        </is>
      </c>
      <c r="B942" t="inlineStr">
        <is>
          <t>TSLA US 03/18/22 P334</t>
        </is>
      </c>
      <c r="C942" t="inlineStr">
        <is>
          <t>2022-03-18</t>
        </is>
      </c>
      <c r="D942" t="n">
        <v>334</v>
      </c>
      <c r="E942" t="inlineStr">
        <is>
          <t>BBG00RMYT8C9</t>
        </is>
      </c>
    </row>
    <row r="943">
      <c r="A943" t="inlineStr">
        <is>
          <t>BBG00RMYT9F4 Equity</t>
        </is>
      </c>
      <c r="B943" t="inlineStr">
        <is>
          <t>TSLA US 03/18/22 P336</t>
        </is>
      </c>
      <c r="C943" t="inlineStr">
        <is>
          <t>2022-03-18</t>
        </is>
      </c>
      <c r="D943" t="n">
        <v>336</v>
      </c>
      <c r="E943" t="inlineStr">
        <is>
          <t>BBG00RMYT9F4</t>
        </is>
      </c>
    </row>
    <row r="944">
      <c r="A944" t="inlineStr">
        <is>
          <t>BBG00RMYTBD1 Equity</t>
        </is>
      </c>
      <c r="B944" t="inlineStr">
        <is>
          <t>TSLA US 03/18/22 P338</t>
        </is>
      </c>
      <c r="C944" t="inlineStr">
        <is>
          <t>2022-03-18</t>
        </is>
      </c>
      <c r="D944" t="n">
        <v>338</v>
      </c>
      <c r="E944" t="inlineStr">
        <is>
          <t>BBG00RMYTBD1</t>
        </is>
      </c>
    </row>
    <row r="945">
      <c r="A945" t="inlineStr">
        <is>
          <t>BBG00RMYTCC0 Equity</t>
        </is>
      </c>
      <c r="B945" t="inlineStr">
        <is>
          <t>TSLA US 03/18/22 P340</t>
        </is>
      </c>
      <c r="C945" t="inlineStr">
        <is>
          <t>2022-03-18</t>
        </is>
      </c>
      <c r="D945" t="n">
        <v>340</v>
      </c>
      <c r="E945" t="inlineStr">
        <is>
          <t>BBG00RMYTCC0</t>
        </is>
      </c>
    </row>
    <row r="946">
      <c r="A946" t="inlineStr">
        <is>
          <t>BBG00RMYTDC8 Equity</t>
        </is>
      </c>
      <c r="B946" t="inlineStr">
        <is>
          <t>TSLA US 03/18/22 P342</t>
        </is>
      </c>
      <c r="C946" t="inlineStr">
        <is>
          <t>2022-03-18</t>
        </is>
      </c>
      <c r="D946" t="n">
        <v>342</v>
      </c>
      <c r="E946" t="inlineStr">
        <is>
          <t>BBG00RMYTDC8</t>
        </is>
      </c>
    </row>
    <row r="947">
      <c r="A947" t="inlineStr">
        <is>
          <t>BBG00RMYTFB4 Equity</t>
        </is>
      </c>
      <c r="B947" t="inlineStr">
        <is>
          <t>TSLA US 03/18/22 P344</t>
        </is>
      </c>
      <c r="C947" t="inlineStr">
        <is>
          <t>2022-03-18</t>
        </is>
      </c>
      <c r="D947" t="n">
        <v>344</v>
      </c>
      <c r="E947" t="inlineStr">
        <is>
          <t>BBG00RMYTFB4</t>
        </is>
      </c>
    </row>
    <row r="948">
      <c r="A948" t="inlineStr">
        <is>
          <t>BBG00RMYTG95 Equity</t>
        </is>
      </c>
      <c r="B948" t="inlineStr">
        <is>
          <t>TSLA US 03/18/22 P346</t>
        </is>
      </c>
      <c r="C948" t="inlineStr">
        <is>
          <t>2022-03-18</t>
        </is>
      </c>
      <c r="D948" t="n">
        <v>346</v>
      </c>
      <c r="E948" t="inlineStr">
        <is>
          <t>BBG00RMYTG95</t>
        </is>
      </c>
    </row>
    <row r="949">
      <c r="A949" t="inlineStr">
        <is>
          <t>BBG00RMYTH84 Equity</t>
        </is>
      </c>
      <c r="B949" t="inlineStr">
        <is>
          <t>TSLA US 03/18/22 P348</t>
        </is>
      </c>
      <c r="C949" t="inlineStr">
        <is>
          <t>2022-03-18</t>
        </is>
      </c>
      <c r="D949" t="n">
        <v>348</v>
      </c>
      <c r="E949" t="inlineStr">
        <is>
          <t>BBG00RMYTH84</t>
        </is>
      </c>
    </row>
    <row r="950">
      <c r="A950" t="inlineStr">
        <is>
          <t>BBG00RMYTJ80 Equity</t>
        </is>
      </c>
      <c r="B950" t="inlineStr">
        <is>
          <t>TSLA US 03/18/22 P350</t>
        </is>
      </c>
      <c r="C950" t="inlineStr">
        <is>
          <t>2022-03-18</t>
        </is>
      </c>
      <c r="D950" t="n">
        <v>350</v>
      </c>
      <c r="E950" t="inlineStr">
        <is>
          <t>BBG00RMYTJ80</t>
        </is>
      </c>
    </row>
    <row r="951">
      <c r="A951" t="inlineStr">
        <is>
          <t>BBG00RMYTK78 Equity</t>
        </is>
      </c>
      <c r="B951" t="inlineStr">
        <is>
          <t>TSLA US 03/18/22 P352</t>
        </is>
      </c>
      <c r="C951" t="inlineStr">
        <is>
          <t>2022-03-18</t>
        </is>
      </c>
      <c r="D951" t="n">
        <v>352</v>
      </c>
      <c r="E951" t="inlineStr">
        <is>
          <t>BBG00RMYTK78</t>
        </is>
      </c>
    </row>
    <row r="952">
      <c r="A952" t="inlineStr">
        <is>
          <t>BBG00RMYTL67 Equity</t>
        </is>
      </c>
      <c r="B952" t="inlineStr">
        <is>
          <t>TSLA US 03/18/22 P354</t>
        </is>
      </c>
      <c r="C952" t="inlineStr">
        <is>
          <t>2022-03-18</t>
        </is>
      </c>
      <c r="D952" t="n">
        <v>354</v>
      </c>
      <c r="E952" t="inlineStr">
        <is>
          <t>BBG00RMYTL67</t>
        </is>
      </c>
    </row>
    <row r="953">
      <c r="A953" t="inlineStr">
        <is>
          <t>BBG00RMYTM65 Equity</t>
        </is>
      </c>
      <c r="B953" t="inlineStr">
        <is>
          <t>TSLA US 03/18/22 P356</t>
        </is>
      </c>
      <c r="C953" t="inlineStr">
        <is>
          <t>2022-03-18</t>
        </is>
      </c>
      <c r="D953" t="n">
        <v>356</v>
      </c>
      <c r="E953" t="inlineStr">
        <is>
          <t>BBG00RMYTM65</t>
        </is>
      </c>
    </row>
    <row r="954">
      <c r="A954" t="inlineStr">
        <is>
          <t>BBG00RMYTN54 Equity</t>
        </is>
      </c>
      <c r="B954" t="inlineStr">
        <is>
          <t>TSLA US 03/18/22 P358</t>
        </is>
      </c>
      <c r="C954" t="inlineStr">
        <is>
          <t>2022-03-18</t>
        </is>
      </c>
      <c r="D954" t="n">
        <v>358</v>
      </c>
      <c r="E954" t="inlineStr">
        <is>
          <t>BBG00RMYTN54</t>
        </is>
      </c>
    </row>
    <row r="955">
      <c r="A955" t="inlineStr">
        <is>
          <t>BBG00RMYTP40 Equity</t>
        </is>
      </c>
      <c r="B955" t="inlineStr">
        <is>
          <t>TSLA US 03/18/22 P360</t>
        </is>
      </c>
      <c r="C955" t="inlineStr">
        <is>
          <t>2022-03-18</t>
        </is>
      </c>
      <c r="D955" t="n">
        <v>360</v>
      </c>
      <c r="E955" t="inlineStr">
        <is>
          <t>BBG00RMYTP40</t>
        </is>
      </c>
    </row>
    <row r="956">
      <c r="A956" t="inlineStr">
        <is>
          <t>BBG00RMYTQ48 Equity</t>
        </is>
      </c>
      <c r="B956" t="inlineStr">
        <is>
          <t>TSLA US 03/18/22 P362</t>
        </is>
      </c>
      <c r="C956" t="inlineStr">
        <is>
          <t>2022-03-18</t>
        </is>
      </c>
      <c r="D956" t="n">
        <v>362</v>
      </c>
      <c r="E956" t="inlineStr">
        <is>
          <t>BBG00RMYTQ48</t>
        </is>
      </c>
    </row>
    <row r="957">
      <c r="A957" t="inlineStr">
        <is>
          <t>BBG00RMYTR37 Equity</t>
        </is>
      </c>
      <c r="B957" t="inlineStr">
        <is>
          <t>TSLA US 03/18/22 P364</t>
        </is>
      </c>
      <c r="C957" t="inlineStr">
        <is>
          <t>2022-03-18</t>
        </is>
      </c>
      <c r="D957" t="n">
        <v>364</v>
      </c>
      <c r="E957" t="inlineStr">
        <is>
          <t>BBG00RMYTR37</t>
        </is>
      </c>
    </row>
    <row r="958">
      <c r="A958" t="inlineStr">
        <is>
          <t>BBG00RMYTS26 Equity</t>
        </is>
      </c>
      <c r="B958" t="inlineStr">
        <is>
          <t>TSLA US 03/18/22 P366</t>
        </is>
      </c>
      <c r="C958" t="inlineStr">
        <is>
          <t>2022-03-18</t>
        </is>
      </c>
      <c r="D958" t="n">
        <v>366</v>
      </c>
      <c r="E958" t="inlineStr">
        <is>
          <t>BBG00RMYTS26</t>
        </is>
      </c>
    </row>
    <row r="959">
      <c r="A959" t="inlineStr">
        <is>
          <t>BBG00RMYTT33 Equity</t>
        </is>
      </c>
      <c r="B959" t="inlineStr">
        <is>
          <t>TSLA US 03/18/22 P368</t>
        </is>
      </c>
      <c r="C959" t="inlineStr">
        <is>
          <t>2022-03-18</t>
        </is>
      </c>
      <c r="D959" t="n">
        <v>368</v>
      </c>
      <c r="E959" t="inlineStr">
        <is>
          <t>BBG00RMYTT33</t>
        </is>
      </c>
    </row>
    <row r="960">
      <c r="A960" t="inlineStr">
        <is>
          <t>BBG00RMYTV29 Equity</t>
        </is>
      </c>
      <c r="B960" t="inlineStr">
        <is>
          <t>TSLA US 03/18/22 P370</t>
        </is>
      </c>
      <c r="C960" t="inlineStr">
        <is>
          <t>2022-03-18</t>
        </is>
      </c>
      <c r="D960" t="n">
        <v>370</v>
      </c>
      <c r="E960" t="inlineStr">
        <is>
          <t>BBG00RMYTV29</t>
        </is>
      </c>
    </row>
    <row r="961">
      <c r="A961" t="inlineStr">
        <is>
          <t>BBG00RMYTW18 Equity</t>
        </is>
      </c>
      <c r="B961" t="inlineStr">
        <is>
          <t>TSLA US 03/18/22 P372</t>
        </is>
      </c>
      <c r="C961" t="inlineStr">
        <is>
          <t>2022-03-18</t>
        </is>
      </c>
      <c r="D961" t="n">
        <v>372</v>
      </c>
      <c r="E961" t="inlineStr">
        <is>
          <t>BBG00RMYTW18</t>
        </is>
      </c>
    </row>
    <row r="962">
      <c r="A962" t="inlineStr">
        <is>
          <t>BBG00RMYTX07 Equity</t>
        </is>
      </c>
      <c r="B962" t="inlineStr">
        <is>
          <t>TSLA US 03/18/22 P374</t>
        </is>
      </c>
      <c r="C962" t="inlineStr">
        <is>
          <t>2022-03-18</t>
        </is>
      </c>
      <c r="D962" t="n">
        <v>374</v>
      </c>
      <c r="E962" t="inlineStr">
        <is>
          <t>BBG00RMYTX07</t>
        </is>
      </c>
    </row>
    <row r="963">
      <c r="A963" t="inlineStr">
        <is>
          <t>BBG00RMYTY14 Equity</t>
        </is>
      </c>
      <c r="B963" t="inlineStr">
        <is>
          <t>TSLA US 03/18/22 P376</t>
        </is>
      </c>
      <c r="C963" t="inlineStr">
        <is>
          <t>2022-03-18</t>
        </is>
      </c>
      <c r="D963" t="n">
        <v>376</v>
      </c>
      <c r="E963" t="inlineStr">
        <is>
          <t>BBG00RMYTY14</t>
        </is>
      </c>
    </row>
    <row r="964">
      <c r="A964" t="inlineStr">
        <is>
          <t>BBG00VXXTKX0 Equity</t>
        </is>
      </c>
      <c r="B964" t="inlineStr">
        <is>
          <t>TSLA US 03/18/22 P380</t>
        </is>
      </c>
      <c r="C964" t="inlineStr">
        <is>
          <t>2022-03-18</t>
        </is>
      </c>
      <c r="D964" t="n">
        <v>380</v>
      </c>
      <c r="E964" t="inlineStr">
        <is>
          <t>BBG00VXXTKX0</t>
        </is>
      </c>
    </row>
    <row r="965">
      <c r="A965" t="inlineStr">
        <is>
          <t>BBG00VXXTM02 Equity</t>
        </is>
      </c>
      <c r="B965" t="inlineStr">
        <is>
          <t>TSLA US 03/18/22 P384</t>
        </is>
      </c>
      <c r="C965" t="inlineStr">
        <is>
          <t>2022-03-18</t>
        </is>
      </c>
      <c r="D965" t="n">
        <v>384</v>
      </c>
      <c r="E965" t="inlineStr">
        <is>
          <t>BBG00VXXTM02</t>
        </is>
      </c>
    </row>
    <row r="966">
      <c r="A966" t="inlineStr">
        <is>
          <t>BBG00VXXTN37 Equity</t>
        </is>
      </c>
      <c r="B966" t="inlineStr">
        <is>
          <t>TSLA US 03/18/22 P388</t>
        </is>
      </c>
      <c r="C966" t="inlineStr">
        <is>
          <t>2022-03-18</t>
        </is>
      </c>
      <c r="D966" t="n">
        <v>388</v>
      </c>
      <c r="E966" t="inlineStr">
        <is>
          <t>BBG00VXXTN37</t>
        </is>
      </c>
    </row>
    <row r="967">
      <c r="A967" t="inlineStr">
        <is>
          <t>BBG00VXXTP78 Equity</t>
        </is>
      </c>
      <c r="B967" t="inlineStr">
        <is>
          <t>TSLA US 03/18/22 P392</t>
        </is>
      </c>
      <c r="C967" t="inlineStr">
        <is>
          <t>2022-03-18</t>
        </is>
      </c>
      <c r="D967" t="n">
        <v>392</v>
      </c>
      <c r="E967" t="inlineStr">
        <is>
          <t>BBG00VXXTP78</t>
        </is>
      </c>
    </row>
    <row r="968">
      <c r="A968" t="inlineStr">
        <is>
          <t>BBG00VXXTQB1 Equity</t>
        </is>
      </c>
      <c r="B968" t="inlineStr">
        <is>
          <t>TSLA US 03/18/22 P396</t>
        </is>
      </c>
      <c r="C968" t="inlineStr">
        <is>
          <t>2022-03-18</t>
        </is>
      </c>
      <c r="D968" t="n">
        <v>396</v>
      </c>
      <c r="E968" t="inlineStr">
        <is>
          <t>BBG00VXXTQB1</t>
        </is>
      </c>
    </row>
    <row r="969">
      <c r="A969" t="inlineStr">
        <is>
          <t>BBG00VXXTRF5 Equity</t>
        </is>
      </c>
      <c r="B969" t="inlineStr">
        <is>
          <t>TSLA US 03/18/22 P400</t>
        </is>
      </c>
      <c r="C969" t="inlineStr">
        <is>
          <t>2022-03-18</t>
        </is>
      </c>
      <c r="D969" t="n">
        <v>400</v>
      </c>
      <c r="E969" t="inlineStr">
        <is>
          <t>BBG00VXXTRF5</t>
        </is>
      </c>
    </row>
    <row r="970">
      <c r="A970" t="inlineStr">
        <is>
          <t>BBG00VYH5MQ4 Equity</t>
        </is>
      </c>
      <c r="B970" t="inlineStr">
        <is>
          <t>TSLA US 03/18/22 P410</t>
        </is>
      </c>
      <c r="C970" t="inlineStr">
        <is>
          <t>2022-03-18</t>
        </is>
      </c>
      <c r="D970" t="n">
        <v>410</v>
      </c>
      <c r="E970" t="inlineStr">
        <is>
          <t>BBG00VYH5MQ4</t>
        </is>
      </c>
    </row>
    <row r="971">
      <c r="A971" t="inlineStr">
        <is>
          <t>BBG00VYH5NT9 Equity</t>
        </is>
      </c>
      <c r="B971" t="inlineStr">
        <is>
          <t>TSLA US 03/18/22 P420</t>
        </is>
      </c>
      <c r="C971" t="inlineStr">
        <is>
          <t>2022-03-18</t>
        </is>
      </c>
      <c r="D971" t="n">
        <v>420</v>
      </c>
      <c r="E971" t="inlineStr">
        <is>
          <t>BBG00VYH5NT9</t>
        </is>
      </c>
    </row>
    <row r="972">
      <c r="A972" t="inlineStr">
        <is>
          <t>BBG00VYH5PY8 Equity</t>
        </is>
      </c>
      <c r="B972" t="inlineStr">
        <is>
          <t>TSLA US 03/18/22 P430</t>
        </is>
      </c>
      <c r="C972" t="inlineStr">
        <is>
          <t>2022-03-18</t>
        </is>
      </c>
      <c r="D972" t="n">
        <v>430</v>
      </c>
      <c r="E972" t="inlineStr">
        <is>
          <t>BBG00VYH5PY8</t>
        </is>
      </c>
    </row>
    <row r="973">
      <c r="A973" t="inlineStr">
        <is>
          <t>BBG00VYH5R10 Equity</t>
        </is>
      </c>
      <c r="B973" t="inlineStr">
        <is>
          <t>TSLA US 03/18/22 P440</t>
        </is>
      </c>
      <c r="C973" t="inlineStr">
        <is>
          <t>2022-03-18</t>
        </is>
      </c>
      <c r="D973" t="n">
        <v>440</v>
      </c>
      <c r="E973" t="inlineStr">
        <is>
          <t>BBG00VYH5R10</t>
        </is>
      </c>
    </row>
    <row r="974">
      <c r="A974" t="inlineStr">
        <is>
          <t>BBG00VYH5S54 Equity</t>
        </is>
      </c>
      <c r="B974" t="inlineStr">
        <is>
          <t>TSLA US 03/18/22 P450</t>
        </is>
      </c>
      <c r="C974" t="inlineStr">
        <is>
          <t>2022-03-18</t>
        </is>
      </c>
      <c r="D974" t="n">
        <v>450</v>
      </c>
      <c r="E974" t="inlineStr">
        <is>
          <t>BBG00VYH5S54</t>
        </is>
      </c>
    </row>
    <row r="975">
      <c r="A975" t="inlineStr">
        <is>
          <t>BBG00VYH5T89 Equity</t>
        </is>
      </c>
      <c r="B975" t="inlineStr">
        <is>
          <t>TSLA US 03/18/22 P460</t>
        </is>
      </c>
      <c r="C975" t="inlineStr">
        <is>
          <t>2022-03-18</t>
        </is>
      </c>
      <c r="D975" t="n">
        <v>460</v>
      </c>
      <c r="E975" t="inlineStr">
        <is>
          <t>BBG00VYH5T89</t>
        </is>
      </c>
    </row>
    <row r="976">
      <c r="A976" t="inlineStr">
        <is>
          <t>BBG00VYH5VC9 Equity</t>
        </is>
      </c>
      <c r="B976" t="inlineStr">
        <is>
          <t>TSLA US 03/18/22 P470</t>
        </is>
      </c>
      <c r="C976" t="inlineStr">
        <is>
          <t>2022-03-18</t>
        </is>
      </c>
      <c r="D976" t="n">
        <v>470</v>
      </c>
      <c r="E976" t="inlineStr">
        <is>
          <t>BBG00VYH5VC9</t>
        </is>
      </c>
    </row>
    <row r="977">
      <c r="A977" t="inlineStr">
        <is>
          <t>BBG00VYH5WH2 Equity</t>
        </is>
      </c>
      <c r="B977" t="inlineStr">
        <is>
          <t>TSLA US 03/18/22 P480</t>
        </is>
      </c>
      <c r="C977" t="inlineStr">
        <is>
          <t>2022-03-18</t>
        </is>
      </c>
      <c r="D977" t="n">
        <v>480</v>
      </c>
      <c r="E977" t="inlineStr">
        <is>
          <t>BBG00VYH5WH2</t>
        </is>
      </c>
    </row>
    <row r="978">
      <c r="A978" t="inlineStr">
        <is>
          <t>BBG00VYH5XL5 Equity</t>
        </is>
      </c>
      <c r="B978" t="inlineStr">
        <is>
          <t>TSLA US 03/18/22 P490</t>
        </is>
      </c>
      <c r="C978" t="inlineStr">
        <is>
          <t>2022-03-18</t>
        </is>
      </c>
      <c r="D978" t="n">
        <v>490</v>
      </c>
      <c r="E978" t="inlineStr">
        <is>
          <t>BBG00VYH5XL5</t>
        </is>
      </c>
    </row>
    <row r="979">
      <c r="A979" t="inlineStr">
        <is>
          <t>BBG00VYH5YP9 Equity</t>
        </is>
      </c>
      <c r="B979" t="inlineStr">
        <is>
          <t>TSLA US 03/18/22 P500</t>
        </is>
      </c>
      <c r="C979" t="inlineStr">
        <is>
          <t>2022-03-18</t>
        </is>
      </c>
      <c r="D979" t="n">
        <v>500</v>
      </c>
      <c r="E979" t="inlineStr">
        <is>
          <t>BBG00VYH5YP9</t>
        </is>
      </c>
    </row>
    <row r="980">
      <c r="A980" t="inlineStr">
        <is>
          <t>BBG00VYH5ZT2 Equity</t>
        </is>
      </c>
      <c r="B980" t="inlineStr">
        <is>
          <t>TSLA US 03/18/22 P510</t>
        </is>
      </c>
      <c r="C980" t="inlineStr">
        <is>
          <t>2022-03-18</t>
        </is>
      </c>
      <c r="D980" t="n">
        <v>510</v>
      </c>
      <c r="E980" t="inlineStr">
        <is>
          <t>BBG00VYH5ZT2</t>
        </is>
      </c>
    </row>
    <row r="981">
      <c r="A981" t="inlineStr">
        <is>
          <t>BBG013Q859F5 Equity</t>
        </is>
      </c>
      <c r="B981" t="inlineStr">
        <is>
          <t>TSLA US 04/14/22 P350</t>
        </is>
      </c>
      <c r="C981" t="inlineStr">
        <is>
          <t>2022-04-14</t>
        </is>
      </c>
      <c r="D981" t="n">
        <v>350</v>
      </c>
      <c r="E981" t="inlineStr">
        <is>
          <t>BBG013Q859F5</t>
        </is>
      </c>
    </row>
    <row r="982">
      <c r="A982" t="inlineStr">
        <is>
          <t>BBG013Q85BL3 Equity</t>
        </is>
      </c>
      <c r="B982" t="inlineStr">
        <is>
          <t>TSLA US 04/14/22 P400</t>
        </is>
      </c>
      <c r="C982" t="inlineStr">
        <is>
          <t>2022-04-14</t>
        </is>
      </c>
      <c r="D982" t="n">
        <v>400</v>
      </c>
      <c r="E982" t="inlineStr">
        <is>
          <t>BBG013Q85BL3</t>
        </is>
      </c>
    </row>
    <row r="983">
      <c r="A983" t="inlineStr">
        <is>
          <t>BBG01472QJ80 Equity</t>
        </is>
      </c>
      <c r="B983" t="inlineStr">
        <is>
          <t>TSLA US 04/14/22 P410</t>
        </is>
      </c>
      <c r="C983" t="inlineStr">
        <is>
          <t>2022-04-14</t>
        </is>
      </c>
      <c r="D983" t="n">
        <v>410</v>
      </c>
      <c r="E983" t="inlineStr">
        <is>
          <t>BBG01472QJ80</t>
        </is>
      </c>
    </row>
    <row r="984">
      <c r="A984" t="inlineStr">
        <is>
          <t>BBG01472QKC2 Equity</t>
        </is>
      </c>
      <c r="B984" t="inlineStr">
        <is>
          <t>TSLA US 04/14/22 P420</t>
        </is>
      </c>
      <c r="C984" t="inlineStr">
        <is>
          <t>2022-04-14</t>
        </is>
      </c>
      <c r="D984" t="n">
        <v>420</v>
      </c>
      <c r="E984" t="inlineStr">
        <is>
          <t>BBG01472QKC2</t>
        </is>
      </c>
    </row>
    <row r="985">
      <c r="A985" t="inlineStr">
        <is>
          <t>BBG01472QLK1 Equity</t>
        </is>
      </c>
      <c r="B985" t="inlineStr">
        <is>
          <t>TSLA US 04/14/22 P430</t>
        </is>
      </c>
      <c r="C985" t="inlineStr">
        <is>
          <t>2022-04-14</t>
        </is>
      </c>
      <c r="D985" t="n">
        <v>430</v>
      </c>
      <c r="E985" t="inlineStr">
        <is>
          <t>BBG01472QLK1</t>
        </is>
      </c>
    </row>
    <row r="986">
      <c r="A986" t="inlineStr">
        <is>
          <t>BBG01472QMN6 Equity</t>
        </is>
      </c>
      <c r="B986" t="inlineStr">
        <is>
          <t>TSLA US 04/14/22 P440</t>
        </is>
      </c>
      <c r="C986" t="inlineStr">
        <is>
          <t>2022-04-14</t>
        </is>
      </c>
      <c r="D986" t="n">
        <v>440</v>
      </c>
      <c r="E986" t="inlineStr">
        <is>
          <t>BBG01472QMN6</t>
        </is>
      </c>
    </row>
    <row r="987">
      <c r="A987" t="inlineStr">
        <is>
          <t>BBG013Q85CP7 Equity</t>
        </is>
      </c>
      <c r="B987" t="inlineStr">
        <is>
          <t>TSLA US 04/14/22 P450</t>
        </is>
      </c>
      <c r="C987" t="inlineStr">
        <is>
          <t>2022-04-14</t>
        </is>
      </c>
      <c r="D987" t="n">
        <v>450</v>
      </c>
      <c r="E987" t="inlineStr">
        <is>
          <t>BBG013Q85CP7</t>
        </is>
      </c>
    </row>
    <row r="988">
      <c r="A988" t="inlineStr">
        <is>
          <t>BBG01472QNR0 Equity</t>
        </is>
      </c>
      <c r="B988" t="inlineStr">
        <is>
          <t>TSLA US 04/14/22 P460</t>
        </is>
      </c>
      <c r="C988" t="inlineStr">
        <is>
          <t>2022-04-14</t>
        </is>
      </c>
      <c r="D988" t="n">
        <v>460</v>
      </c>
      <c r="E988" t="inlineStr">
        <is>
          <t>BBG01472QNR0</t>
        </is>
      </c>
    </row>
    <row r="989">
      <c r="A989" t="inlineStr">
        <is>
          <t>BBG01472QPY7 Equity</t>
        </is>
      </c>
      <c r="B989" t="inlineStr">
        <is>
          <t>TSLA US 04/14/22 P470</t>
        </is>
      </c>
      <c r="C989" t="inlineStr">
        <is>
          <t>2022-04-14</t>
        </is>
      </c>
      <c r="D989" t="n">
        <v>470</v>
      </c>
      <c r="E989" t="inlineStr">
        <is>
          <t>BBG01472QPY7</t>
        </is>
      </c>
    </row>
    <row r="990">
      <c r="A990" t="inlineStr">
        <is>
          <t>BBG01472QR19 Equity</t>
        </is>
      </c>
      <c r="B990" t="inlineStr">
        <is>
          <t>TSLA US 04/14/22 P480</t>
        </is>
      </c>
      <c r="C990" t="inlineStr">
        <is>
          <t>2022-04-14</t>
        </is>
      </c>
      <c r="D990" t="n">
        <v>480</v>
      </c>
      <c r="E990" t="inlineStr">
        <is>
          <t>BBG01472QR19</t>
        </is>
      </c>
    </row>
    <row r="991">
      <c r="A991" t="inlineStr">
        <is>
          <t>BBG01472QS44 Equity</t>
        </is>
      </c>
      <c r="B991" t="inlineStr">
        <is>
          <t>TSLA US 04/14/22 P490</t>
        </is>
      </c>
      <c r="C991" t="inlineStr">
        <is>
          <t>2022-04-14</t>
        </is>
      </c>
      <c r="D991" t="n">
        <v>490</v>
      </c>
      <c r="E991" t="inlineStr">
        <is>
          <t>BBG01472QS44</t>
        </is>
      </c>
    </row>
    <row r="992">
      <c r="A992" t="inlineStr">
        <is>
          <t>BBG013Q85DS2 Equity</t>
        </is>
      </c>
      <c r="B992" t="inlineStr">
        <is>
          <t>TSLA US 04/14/22 P500</t>
        </is>
      </c>
      <c r="C992" t="inlineStr">
        <is>
          <t>2022-04-14</t>
        </is>
      </c>
      <c r="D992" t="n">
        <v>500</v>
      </c>
      <c r="E992" t="inlineStr">
        <is>
          <t>BBG013Q85DS2</t>
        </is>
      </c>
    </row>
    <row r="993">
      <c r="A993" t="inlineStr">
        <is>
          <t>BBG01472QTB4 Equity</t>
        </is>
      </c>
      <c r="B993" t="inlineStr">
        <is>
          <t>TSLA US 04/14/22 P510</t>
        </is>
      </c>
      <c r="C993" t="inlineStr">
        <is>
          <t>2022-04-14</t>
        </is>
      </c>
      <c r="D993" t="n">
        <v>510</v>
      </c>
      <c r="E993" t="inlineStr">
        <is>
          <t>BBG01472QTB4</t>
        </is>
      </c>
    </row>
    <row r="994">
      <c r="A994" t="inlineStr">
        <is>
          <t>BBG0129LBKX5 Equity</t>
        </is>
      </c>
      <c r="B994" t="inlineStr">
        <is>
          <t>TSLA US 05/20/22 P300</t>
        </is>
      </c>
      <c r="C994" t="inlineStr">
        <is>
          <t>2022-05-20</t>
        </is>
      </c>
      <c r="D994" t="n">
        <v>300</v>
      </c>
      <c r="E994" t="inlineStr">
        <is>
          <t>BBG0129LBKX5</t>
        </is>
      </c>
    </row>
    <row r="995">
      <c r="A995" t="inlineStr">
        <is>
          <t>BBG0129LBM16 Equity</t>
        </is>
      </c>
      <c r="B995" t="inlineStr">
        <is>
          <t>TSLA US 05/20/22 P350</t>
        </is>
      </c>
      <c r="C995" t="inlineStr">
        <is>
          <t>2022-05-20</t>
        </is>
      </c>
      <c r="D995" t="n">
        <v>350</v>
      </c>
      <c r="E995" t="inlineStr">
        <is>
          <t>BBG0129LBM16</t>
        </is>
      </c>
    </row>
    <row r="996">
      <c r="A996" t="inlineStr">
        <is>
          <t>BBG0129LBN41 Equity</t>
        </is>
      </c>
      <c r="B996" t="inlineStr">
        <is>
          <t>TSLA US 05/20/22 P360</t>
        </is>
      </c>
      <c r="C996" t="inlineStr">
        <is>
          <t>2022-05-20</t>
        </is>
      </c>
      <c r="D996" t="n">
        <v>360</v>
      </c>
      <c r="E996" t="inlineStr">
        <is>
          <t>BBG0129LBN41</t>
        </is>
      </c>
    </row>
    <row r="997">
      <c r="A997" t="inlineStr">
        <is>
          <t>BBG0129LBP73 Equity</t>
        </is>
      </c>
      <c r="B997" t="inlineStr">
        <is>
          <t>TSLA US 05/20/22 P370</t>
        </is>
      </c>
      <c r="C997" t="inlineStr">
        <is>
          <t>2022-05-20</t>
        </is>
      </c>
      <c r="D997" t="n">
        <v>370</v>
      </c>
      <c r="E997" t="inlineStr">
        <is>
          <t>BBG0129LBP73</t>
        </is>
      </c>
    </row>
    <row r="998">
      <c r="A998" t="inlineStr">
        <is>
          <t>BBG0129LBQC5 Equity</t>
        </is>
      </c>
      <c r="B998" t="inlineStr">
        <is>
          <t>TSLA US 05/20/22 P380</t>
        </is>
      </c>
      <c r="C998" t="inlineStr">
        <is>
          <t>2022-05-20</t>
        </is>
      </c>
      <c r="D998" t="n">
        <v>380</v>
      </c>
      <c r="E998" t="inlineStr">
        <is>
          <t>BBG0129LBQC5</t>
        </is>
      </c>
    </row>
    <row r="999">
      <c r="A999" t="inlineStr">
        <is>
          <t>BBG0129LBRG9 Equity</t>
        </is>
      </c>
      <c r="B999" t="inlineStr">
        <is>
          <t>TSLA US 05/20/22 P390</t>
        </is>
      </c>
      <c r="C999" t="inlineStr">
        <is>
          <t>2022-05-20</t>
        </is>
      </c>
      <c r="D999" t="n">
        <v>390</v>
      </c>
      <c r="E999" t="inlineStr">
        <is>
          <t>BBG0129LBRG9</t>
        </is>
      </c>
    </row>
    <row r="1000">
      <c r="A1000" t="inlineStr">
        <is>
          <t>BBG0129LBSK2 Equity</t>
        </is>
      </c>
      <c r="B1000" t="inlineStr">
        <is>
          <t>TSLA US 05/20/22 P400</t>
        </is>
      </c>
      <c r="C1000" t="inlineStr">
        <is>
          <t>2022-05-20</t>
        </is>
      </c>
      <c r="D1000" t="n">
        <v>400</v>
      </c>
      <c r="E1000" t="inlineStr">
        <is>
          <t>BBG0129LBSK2</t>
        </is>
      </c>
    </row>
    <row r="1001">
      <c r="A1001" t="inlineStr">
        <is>
          <t>BBG0129LBTP5 Equity</t>
        </is>
      </c>
      <c r="B1001" t="inlineStr">
        <is>
          <t>TSLA US 05/20/22 P410</t>
        </is>
      </c>
      <c r="C1001" t="inlineStr">
        <is>
          <t>2022-05-20</t>
        </is>
      </c>
      <c r="D1001" t="n">
        <v>410</v>
      </c>
      <c r="E1001" t="inlineStr">
        <is>
          <t>BBG0129LBTP5</t>
        </is>
      </c>
    </row>
    <row r="1002">
      <c r="A1002" t="inlineStr">
        <is>
          <t>BBG0129LBVS7 Equity</t>
        </is>
      </c>
      <c r="B1002" t="inlineStr">
        <is>
          <t>TSLA US 05/20/22 P420</t>
        </is>
      </c>
      <c r="C1002" t="inlineStr">
        <is>
          <t>2022-05-20</t>
        </is>
      </c>
      <c r="D1002" t="n">
        <v>420</v>
      </c>
      <c r="E1002" t="inlineStr">
        <is>
          <t>BBG0129LBVS7</t>
        </is>
      </c>
    </row>
    <row r="1003">
      <c r="A1003" t="inlineStr">
        <is>
          <t>BBG0129LBWW0 Equity</t>
        </is>
      </c>
      <c r="B1003" t="inlineStr">
        <is>
          <t>TSLA US 05/20/22 P430</t>
        </is>
      </c>
      <c r="C1003" t="inlineStr">
        <is>
          <t>2022-05-20</t>
        </is>
      </c>
      <c r="D1003" t="n">
        <v>430</v>
      </c>
      <c r="E1003" t="inlineStr">
        <is>
          <t>BBG0129LBWW0</t>
        </is>
      </c>
    </row>
    <row r="1004">
      <c r="A1004" t="inlineStr">
        <is>
          <t>BBG0129LBY01 Equity</t>
        </is>
      </c>
      <c r="B1004" t="inlineStr">
        <is>
          <t>TSLA US 05/20/22 P440</t>
        </is>
      </c>
      <c r="C1004" t="inlineStr">
        <is>
          <t>2022-05-20</t>
        </is>
      </c>
      <c r="D1004" t="n">
        <v>440</v>
      </c>
      <c r="E1004" t="inlineStr">
        <is>
          <t>BBG0129LBY01</t>
        </is>
      </c>
    </row>
    <row r="1005">
      <c r="A1005" t="inlineStr">
        <is>
          <t>BBG0129LBZ35 Equity</t>
        </is>
      </c>
      <c r="B1005" t="inlineStr">
        <is>
          <t>TSLA US 05/20/22 P450</t>
        </is>
      </c>
      <c r="C1005" t="inlineStr">
        <is>
          <t>2022-05-20</t>
        </is>
      </c>
      <c r="D1005" t="n">
        <v>450</v>
      </c>
      <c r="E1005" t="inlineStr">
        <is>
          <t>BBG0129LBZ35</t>
        </is>
      </c>
    </row>
    <row r="1006">
      <c r="A1006" t="inlineStr">
        <is>
          <t>BBG0129LC068 Equity</t>
        </is>
      </c>
      <c r="B1006" t="inlineStr">
        <is>
          <t>TSLA US 05/20/22 P460</t>
        </is>
      </c>
      <c r="C1006" t="inlineStr">
        <is>
          <t>2022-05-20</t>
        </is>
      </c>
      <c r="D1006" t="n">
        <v>460</v>
      </c>
      <c r="E1006" t="inlineStr">
        <is>
          <t>BBG0129LC068</t>
        </is>
      </c>
    </row>
    <row r="1007">
      <c r="A1007" t="inlineStr">
        <is>
          <t>BBG0129LC1B0 Equity</t>
        </is>
      </c>
      <c r="B1007" t="inlineStr">
        <is>
          <t>TSLA US 05/20/22 P470</t>
        </is>
      </c>
      <c r="C1007" t="inlineStr">
        <is>
          <t>2022-05-20</t>
        </is>
      </c>
      <c r="D1007" t="n">
        <v>470</v>
      </c>
      <c r="E1007" t="inlineStr">
        <is>
          <t>BBG0129LC1B0</t>
        </is>
      </c>
    </row>
    <row r="1008">
      <c r="A1008" t="inlineStr">
        <is>
          <t>BBG0129LC2F4 Equity</t>
        </is>
      </c>
      <c r="B1008" t="inlineStr">
        <is>
          <t>TSLA US 05/20/22 P480</t>
        </is>
      </c>
      <c r="C1008" t="inlineStr">
        <is>
          <t>2022-05-20</t>
        </is>
      </c>
      <c r="D1008" t="n">
        <v>480</v>
      </c>
      <c r="E1008" t="inlineStr">
        <is>
          <t>BBG0129LC2F4</t>
        </is>
      </c>
    </row>
    <row r="1009">
      <c r="A1009" t="inlineStr">
        <is>
          <t>BBG0129LC3J8 Equity</t>
        </is>
      </c>
      <c r="B1009" t="inlineStr">
        <is>
          <t>TSLA US 05/20/22 P490</t>
        </is>
      </c>
      <c r="C1009" t="inlineStr">
        <is>
          <t>2022-05-20</t>
        </is>
      </c>
      <c r="D1009" t="n">
        <v>490</v>
      </c>
      <c r="E1009" t="inlineStr">
        <is>
          <t>BBG0129LC3J8</t>
        </is>
      </c>
    </row>
    <row r="1010">
      <c r="A1010" t="inlineStr">
        <is>
          <t>BBG0129LC4N1 Equity</t>
        </is>
      </c>
      <c r="B1010" t="inlineStr">
        <is>
          <t>TSLA US 05/20/22 P500</t>
        </is>
      </c>
      <c r="C1010" t="inlineStr">
        <is>
          <t>2022-05-20</t>
        </is>
      </c>
      <c r="D1010" t="n">
        <v>500</v>
      </c>
      <c r="E1010" t="inlineStr">
        <is>
          <t>BBG0129LC4N1</t>
        </is>
      </c>
    </row>
    <row r="1011">
      <c r="A1011" t="inlineStr">
        <is>
          <t>BBG0129LC5R4 Equity</t>
        </is>
      </c>
      <c r="B1011" t="inlineStr">
        <is>
          <t>TSLA US 05/20/22 P510</t>
        </is>
      </c>
      <c r="C1011" t="inlineStr">
        <is>
          <t>2022-05-20</t>
        </is>
      </c>
      <c r="D1011" t="n">
        <v>510</v>
      </c>
      <c r="E1011" t="inlineStr">
        <is>
          <t>BBG0129LC5R4</t>
        </is>
      </c>
    </row>
    <row r="1012">
      <c r="A1012" t="inlineStr">
        <is>
          <t>BBG00RMPLRK5 Equity</t>
        </is>
      </c>
      <c r="B1012" t="inlineStr">
        <is>
          <t>TSLA US 06/17/22 P290</t>
        </is>
      </c>
      <c r="C1012" t="inlineStr">
        <is>
          <t>2022-06-17</t>
        </is>
      </c>
      <c r="D1012" t="n">
        <v>290</v>
      </c>
      <c r="E1012" t="inlineStr">
        <is>
          <t>BBG00RMPLRK5</t>
        </is>
      </c>
    </row>
    <row r="1013">
      <c r="A1013" t="inlineStr">
        <is>
          <t>BBG00VXXV6V0 Equity</t>
        </is>
      </c>
      <c r="B1013" t="inlineStr">
        <is>
          <t>TSLA US 06/17/22 P292</t>
        </is>
      </c>
      <c r="C1013" t="inlineStr">
        <is>
          <t>2022-06-17</t>
        </is>
      </c>
      <c r="D1013" t="n">
        <v>292</v>
      </c>
      <c r="E1013" t="inlineStr">
        <is>
          <t>BBG00VXXV6V0</t>
        </is>
      </c>
    </row>
    <row r="1014">
      <c r="A1014" t="inlineStr">
        <is>
          <t>BBG00VXXV7Y5 Equity</t>
        </is>
      </c>
      <c r="B1014" t="inlineStr">
        <is>
          <t>TSLA US 06/17/22 P294</t>
        </is>
      </c>
      <c r="C1014" t="inlineStr">
        <is>
          <t>2022-06-17</t>
        </is>
      </c>
      <c r="D1014" t="n">
        <v>294</v>
      </c>
      <c r="E1014" t="inlineStr">
        <is>
          <t>BBG00VXXV7Y5</t>
        </is>
      </c>
    </row>
    <row r="1015">
      <c r="A1015" t="inlineStr">
        <is>
          <t>BBG00VXXV917 Equity</t>
        </is>
      </c>
      <c r="B1015" t="inlineStr">
        <is>
          <t>TSLA US 06/17/22 P296</t>
        </is>
      </c>
      <c r="C1015" t="inlineStr">
        <is>
          <t>2022-06-17</t>
        </is>
      </c>
      <c r="D1015" t="n">
        <v>296</v>
      </c>
      <c r="E1015" t="inlineStr">
        <is>
          <t>BBG00VXXV917</t>
        </is>
      </c>
    </row>
    <row r="1016">
      <c r="A1016" t="inlineStr">
        <is>
          <t>BBG00VXXVB58 Equity</t>
        </is>
      </c>
      <c r="B1016" t="inlineStr">
        <is>
          <t>TSLA US 06/17/22 P298</t>
        </is>
      </c>
      <c r="C1016" t="inlineStr">
        <is>
          <t>2022-06-17</t>
        </is>
      </c>
      <c r="D1016" t="n">
        <v>298</v>
      </c>
      <c r="E1016" t="inlineStr">
        <is>
          <t>BBG00VXXVB58</t>
        </is>
      </c>
    </row>
    <row r="1017">
      <c r="A1017" t="inlineStr">
        <is>
          <t>BBG00RMPLSN0 Equity</t>
        </is>
      </c>
      <c r="B1017" t="inlineStr">
        <is>
          <t>TSLA US 06/17/22 P300</t>
        </is>
      </c>
      <c r="C1017" t="inlineStr">
        <is>
          <t>2022-06-17</t>
        </is>
      </c>
      <c r="D1017" t="n">
        <v>300</v>
      </c>
      <c r="E1017" t="inlineStr">
        <is>
          <t>BBG00RMPLSN0</t>
        </is>
      </c>
    </row>
    <row r="1018">
      <c r="A1018" t="inlineStr">
        <is>
          <t>BBG00VXXVC83 Equity</t>
        </is>
      </c>
      <c r="B1018" t="inlineStr">
        <is>
          <t>TSLA US 06/17/22 P302</t>
        </is>
      </c>
      <c r="C1018" t="inlineStr">
        <is>
          <t>2022-06-17</t>
        </is>
      </c>
      <c r="D1018" t="n">
        <v>302</v>
      </c>
      <c r="E1018" t="inlineStr">
        <is>
          <t>BBG00VXXVC83</t>
        </is>
      </c>
    </row>
    <row r="1019">
      <c r="A1019" t="inlineStr">
        <is>
          <t>BBG00VXXVDC6 Equity</t>
        </is>
      </c>
      <c r="B1019" t="inlineStr">
        <is>
          <t>TSLA US 06/17/22 P304</t>
        </is>
      </c>
      <c r="C1019" t="inlineStr">
        <is>
          <t>2022-06-17</t>
        </is>
      </c>
      <c r="D1019" t="n">
        <v>304</v>
      </c>
      <c r="E1019" t="inlineStr">
        <is>
          <t>BBG00VXXVDC6</t>
        </is>
      </c>
    </row>
    <row r="1020">
      <c r="A1020" t="inlineStr">
        <is>
          <t>BBG00VXXVFH6 Equity</t>
        </is>
      </c>
      <c r="B1020" t="inlineStr">
        <is>
          <t>TSLA US 06/17/22 P306</t>
        </is>
      </c>
      <c r="C1020" t="inlineStr">
        <is>
          <t>2022-06-17</t>
        </is>
      </c>
      <c r="D1020" t="n">
        <v>306</v>
      </c>
      <c r="E1020" t="inlineStr">
        <is>
          <t>BBG00VXXVFH6</t>
        </is>
      </c>
    </row>
    <row r="1021">
      <c r="A1021" t="inlineStr">
        <is>
          <t>BBG00VXXVGL9 Equity</t>
        </is>
      </c>
      <c r="B1021" t="inlineStr">
        <is>
          <t>TSLA US 06/17/22 P308</t>
        </is>
      </c>
      <c r="C1021" t="inlineStr">
        <is>
          <t>2022-06-17</t>
        </is>
      </c>
      <c r="D1021" t="n">
        <v>308</v>
      </c>
      <c r="E1021" t="inlineStr">
        <is>
          <t>BBG00VXXVGL9</t>
        </is>
      </c>
    </row>
    <row r="1022">
      <c r="A1022" t="inlineStr">
        <is>
          <t>BBG00RPR6ZD5 Equity</t>
        </is>
      </c>
      <c r="B1022" t="inlineStr">
        <is>
          <t>TSLA US 06/17/22 P310</t>
        </is>
      </c>
      <c r="C1022" t="inlineStr">
        <is>
          <t>2022-06-17</t>
        </is>
      </c>
      <c r="D1022" t="n">
        <v>310</v>
      </c>
      <c r="E1022" t="inlineStr">
        <is>
          <t>BBG00RPR6ZD5</t>
        </is>
      </c>
    </row>
    <row r="1023">
      <c r="A1023" t="inlineStr">
        <is>
          <t>BBG00VXXVHP3 Equity</t>
        </is>
      </c>
      <c r="B1023" t="inlineStr">
        <is>
          <t>TSLA US 06/17/22 P312</t>
        </is>
      </c>
      <c r="C1023" t="inlineStr">
        <is>
          <t>2022-06-17</t>
        </is>
      </c>
      <c r="D1023" t="n">
        <v>312</v>
      </c>
      <c r="E1023" t="inlineStr">
        <is>
          <t>BBG00VXXVHP3</t>
        </is>
      </c>
    </row>
    <row r="1024">
      <c r="A1024" t="inlineStr">
        <is>
          <t>BBG00VXXVJT5 Equity</t>
        </is>
      </c>
      <c r="B1024" t="inlineStr">
        <is>
          <t>TSLA US 06/17/22 P314</t>
        </is>
      </c>
      <c r="C1024" t="inlineStr">
        <is>
          <t>2022-06-17</t>
        </is>
      </c>
      <c r="D1024" t="n">
        <v>314</v>
      </c>
      <c r="E1024" t="inlineStr">
        <is>
          <t>BBG00VXXVJT5</t>
        </is>
      </c>
    </row>
    <row r="1025">
      <c r="A1025" t="inlineStr">
        <is>
          <t>BBG00VXXVKX7 Equity</t>
        </is>
      </c>
      <c r="B1025" t="inlineStr">
        <is>
          <t>TSLA US 06/17/22 P316</t>
        </is>
      </c>
      <c r="C1025" t="inlineStr">
        <is>
          <t>2022-06-17</t>
        </is>
      </c>
      <c r="D1025" t="n">
        <v>316</v>
      </c>
      <c r="E1025" t="inlineStr">
        <is>
          <t>BBG00VXXVKX7</t>
        </is>
      </c>
    </row>
    <row r="1026">
      <c r="A1026" t="inlineStr">
        <is>
          <t>BBG00VXXVM18 Equity</t>
        </is>
      </c>
      <c r="B1026" t="inlineStr">
        <is>
          <t>TSLA US 06/17/22 P318</t>
        </is>
      </c>
      <c r="C1026" t="inlineStr">
        <is>
          <t>2022-06-17</t>
        </is>
      </c>
      <c r="D1026" t="n">
        <v>318</v>
      </c>
      <c r="E1026" t="inlineStr">
        <is>
          <t>BBG00VXXVM18</t>
        </is>
      </c>
    </row>
    <row r="1027">
      <c r="A1027" t="inlineStr">
        <is>
          <t>BBG00RPR70H7 Equity</t>
        </is>
      </c>
      <c r="B1027" t="inlineStr">
        <is>
          <t>TSLA US 06/17/22 P320</t>
        </is>
      </c>
      <c r="C1027" t="inlineStr">
        <is>
          <t>2022-06-17</t>
        </is>
      </c>
      <c r="D1027" t="n">
        <v>320</v>
      </c>
      <c r="E1027" t="inlineStr">
        <is>
          <t>BBG00RPR70H7</t>
        </is>
      </c>
    </row>
    <row r="1028">
      <c r="A1028" t="inlineStr">
        <is>
          <t>BBG00VXXVN43 Equity</t>
        </is>
      </c>
      <c r="B1028" t="inlineStr">
        <is>
          <t>TSLA US 06/17/22 P324</t>
        </is>
      </c>
      <c r="C1028" t="inlineStr">
        <is>
          <t>2022-06-17</t>
        </is>
      </c>
      <c r="D1028" t="n">
        <v>324</v>
      </c>
      <c r="E1028" t="inlineStr">
        <is>
          <t>BBG00VXXVN43</t>
        </is>
      </c>
    </row>
    <row r="1029">
      <c r="A1029" t="inlineStr">
        <is>
          <t>BBG00VXXVP75 Equity</t>
        </is>
      </c>
      <c r="B1029" t="inlineStr">
        <is>
          <t>TSLA US 06/17/22 P328</t>
        </is>
      </c>
      <c r="C1029" t="inlineStr">
        <is>
          <t>2022-06-17</t>
        </is>
      </c>
      <c r="D1029" t="n">
        <v>328</v>
      </c>
      <c r="E1029" t="inlineStr">
        <is>
          <t>BBG00VXXVP75</t>
        </is>
      </c>
    </row>
    <row r="1030">
      <c r="A1030" t="inlineStr">
        <is>
          <t>BBG00RVBYWL0 Equity</t>
        </is>
      </c>
      <c r="B1030" t="inlineStr">
        <is>
          <t>TSLA US 06/17/22 P330</t>
        </is>
      </c>
      <c r="C1030" t="inlineStr">
        <is>
          <t>2022-06-17</t>
        </is>
      </c>
      <c r="D1030" t="n">
        <v>330</v>
      </c>
      <c r="E1030" t="inlineStr">
        <is>
          <t>BBG00RVBYWL0</t>
        </is>
      </c>
    </row>
    <row r="1031">
      <c r="A1031" t="inlineStr">
        <is>
          <t>BBG00VXXVQC7 Equity</t>
        </is>
      </c>
      <c r="B1031" t="inlineStr">
        <is>
          <t>TSLA US 06/17/22 P332</t>
        </is>
      </c>
      <c r="C1031" t="inlineStr">
        <is>
          <t>2022-06-17</t>
        </is>
      </c>
      <c r="D1031" t="n">
        <v>332</v>
      </c>
      <c r="E1031" t="inlineStr">
        <is>
          <t>BBG00VXXVQC7</t>
        </is>
      </c>
    </row>
    <row r="1032">
      <c r="A1032" t="inlineStr">
        <is>
          <t>BBG00VXXVRG1 Equity</t>
        </is>
      </c>
      <c r="B1032" t="inlineStr">
        <is>
          <t>TSLA US 06/17/22 P336</t>
        </is>
      </c>
      <c r="C1032" t="inlineStr">
        <is>
          <t>2022-06-17</t>
        </is>
      </c>
      <c r="D1032" t="n">
        <v>336</v>
      </c>
      <c r="E1032" t="inlineStr">
        <is>
          <t>BBG00VXXVRG1</t>
        </is>
      </c>
    </row>
    <row r="1033">
      <c r="A1033" t="inlineStr">
        <is>
          <t>BBG00RVBYXP4 Equity</t>
        </is>
      </c>
      <c r="B1033" t="inlineStr">
        <is>
          <t>TSLA US 06/17/22 P340</t>
        </is>
      </c>
      <c r="C1033" t="inlineStr">
        <is>
          <t>2022-06-17</t>
        </is>
      </c>
      <c r="D1033" t="n">
        <v>340</v>
      </c>
      <c r="E1033" t="inlineStr">
        <is>
          <t>BBG00RVBYXP4</t>
        </is>
      </c>
    </row>
    <row r="1034">
      <c r="A1034" t="inlineStr">
        <is>
          <t>BBG00VXXVSK4 Equity</t>
        </is>
      </c>
      <c r="B1034" t="inlineStr">
        <is>
          <t>TSLA US 06/17/22 P344</t>
        </is>
      </c>
      <c r="C1034" t="inlineStr">
        <is>
          <t>2022-06-17</t>
        </is>
      </c>
      <c r="D1034" t="n">
        <v>344</v>
      </c>
      <c r="E1034" t="inlineStr">
        <is>
          <t>BBG00VXXVSK4</t>
        </is>
      </c>
    </row>
    <row r="1035">
      <c r="A1035" t="inlineStr">
        <is>
          <t>BBG00VXXVTP7 Equity</t>
        </is>
      </c>
      <c r="B1035" t="inlineStr">
        <is>
          <t>TSLA US 06/17/22 P348</t>
        </is>
      </c>
      <c r="C1035" t="inlineStr">
        <is>
          <t>2022-06-17</t>
        </is>
      </c>
      <c r="D1035" t="n">
        <v>348</v>
      </c>
      <c r="E1035" t="inlineStr">
        <is>
          <t>BBG00VXXVTP7</t>
        </is>
      </c>
    </row>
    <row r="1036">
      <c r="A1036" t="inlineStr">
        <is>
          <t>BBG00RVBYYT8 Equity</t>
        </is>
      </c>
      <c r="B1036" t="inlineStr">
        <is>
          <t>TSLA US 06/17/22 P350</t>
        </is>
      </c>
      <c r="C1036" t="inlineStr">
        <is>
          <t>2022-06-17</t>
        </is>
      </c>
      <c r="D1036" t="n">
        <v>350</v>
      </c>
      <c r="E1036" t="inlineStr">
        <is>
          <t>BBG00RVBYYT8</t>
        </is>
      </c>
    </row>
    <row r="1037">
      <c r="A1037" t="inlineStr">
        <is>
          <t>BBG00VXXVVS9 Equity</t>
        </is>
      </c>
      <c r="B1037" t="inlineStr">
        <is>
          <t>TSLA US 06/17/22 P352</t>
        </is>
      </c>
      <c r="C1037" t="inlineStr">
        <is>
          <t>2022-06-17</t>
        </is>
      </c>
      <c r="D1037" t="n">
        <v>352</v>
      </c>
      <c r="E1037" t="inlineStr">
        <is>
          <t>BBG00VXXVVS9</t>
        </is>
      </c>
    </row>
    <row r="1038">
      <c r="A1038" t="inlineStr">
        <is>
          <t>BBG00VXXVWW2 Equity</t>
        </is>
      </c>
      <c r="B1038" t="inlineStr">
        <is>
          <t>TSLA US 06/17/22 P356</t>
        </is>
      </c>
      <c r="C1038" t="inlineStr">
        <is>
          <t>2022-06-17</t>
        </is>
      </c>
      <c r="D1038" t="n">
        <v>356</v>
      </c>
      <c r="E1038" t="inlineStr">
        <is>
          <t>BBG00VXXVWW2</t>
        </is>
      </c>
    </row>
    <row r="1039">
      <c r="A1039" t="inlineStr">
        <is>
          <t>BBG00RVBYZX0 Equity</t>
        </is>
      </c>
      <c r="B1039" t="inlineStr">
        <is>
          <t>TSLA US 06/17/22 P360</t>
        </is>
      </c>
      <c r="C1039" t="inlineStr">
        <is>
          <t>2022-06-17</t>
        </is>
      </c>
      <c r="D1039" t="n">
        <v>360</v>
      </c>
      <c r="E1039" t="inlineStr">
        <is>
          <t>BBG00RVBYZX0</t>
        </is>
      </c>
    </row>
    <row r="1040">
      <c r="A1040" t="inlineStr">
        <is>
          <t>BBG00VXXVY03 Equity</t>
        </is>
      </c>
      <c r="B1040" t="inlineStr">
        <is>
          <t>TSLA US 06/17/22 P364</t>
        </is>
      </c>
      <c r="C1040" t="inlineStr">
        <is>
          <t>2022-06-17</t>
        </is>
      </c>
      <c r="D1040" t="n">
        <v>364</v>
      </c>
      <c r="E1040" t="inlineStr">
        <is>
          <t>BBG00VXXVY03</t>
        </is>
      </c>
    </row>
    <row r="1041">
      <c r="A1041" t="inlineStr">
        <is>
          <t>BBG00VXXVZ37 Equity</t>
        </is>
      </c>
      <c r="B1041" t="inlineStr">
        <is>
          <t>TSLA US 06/17/22 P368</t>
        </is>
      </c>
      <c r="C1041" t="inlineStr">
        <is>
          <t>2022-06-17</t>
        </is>
      </c>
      <c r="D1041" t="n">
        <v>368</v>
      </c>
      <c r="E1041" t="inlineStr">
        <is>
          <t>BBG00VXXVZ37</t>
        </is>
      </c>
    </row>
    <row r="1042">
      <c r="A1042" t="inlineStr">
        <is>
          <t>BBG00VXXW060 Equity</t>
        </is>
      </c>
      <c r="B1042" t="inlineStr">
        <is>
          <t>TSLA US 06/17/22 P372</t>
        </is>
      </c>
      <c r="C1042" t="inlineStr">
        <is>
          <t>2022-06-17</t>
        </is>
      </c>
      <c r="D1042" t="n">
        <v>372</v>
      </c>
      <c r="E1042" t="inlineStr">
        <is>
          <t>BBG00VXXW060</t>
        </is>
      </c>
    </row>
    <row r="1043">
      <c r="A1043" t="inlineStr">
        <is>
          <t>BBG00VXXW1B2 Equity</t>
        </is>
      </c>
      <c r="B1043" t="inlineStr">
        <is>
          <t>TSLA US 06/17/22 P376</t>
        </is>
      </c>
      <c r="C1043" t="inlineStr">
        <is>
          <t>2022-06-17</t>
        </is>
      </c>
      <c r="D1043" t="n">
        <v>376</v>
      </c>
      <c r="E1043" t="inlineStr">
        <is>
          <t>BBG00VXXW1B2</t>
        </is>
      </c>
    </row>
    <row r="1044">
      <c r="A1044" t="inlineStr">
        <is>
          <t>BBG00VXXW2F6 Equity</t>
        </is>
      </c>
      <c r="B1044" t="inlineStr">
        <is>
          <t>TSLA US 06/17/22 P380</t>
        </is>
      </c>
      <c r="C1044" t="inlineStr">
        <is>
          <t>2022-06-17</t>
        </is>
      </c>
      <c r="D1044" t="n">
        <v>380</v>
      </c>
      <c r="E1044" t="inlineStr">
        <is>
          <t>BBG00VXXW2F6</t>
        </is>
      </c>
    </row>
    <row r="1045">
      <c r="A1045" t="inlineStr">
        <is>
          <t>BBG00VXXW3J0 Equity</t>
        </is>
      </c>
      <c r="B1045" t="inlineStr">
        <is>
          <t>TSLA US 06/17/22 P384</t>
        </is>
      </c>
      <c r="C1045" t="inlineStr">
        <is>
          <t>2022-06-17</t>
        </is>
      </c>
      <c r="D1045" t="n">
        <v>384</v>
      </c>
      <c r="E1045" t="inlineStr">
        <is>
          <t>BBG00VXXW3J0</t>
        </is>
      </c>
    </row>
    <row r="1046">
      <c r="A1046" t="inlineStr">
        <is>
          <t>BBG00VXXW4N3 Equity</t>
        </is>
      </c>
      <c r="B1046" t="inlineStr">
        <is>
          <t>TSLA US 06/17/22 P388</t>
        </is>
      </c>
      <c r="C1046" t="inlineStr">
        <is>
          <t>2022-06-17</t>
        </is>
      </c>
      <c r="D1046" t="n">
        <v>388</v>
      </c>
      <c r="E1046" t="inlineStr">
        <is>
          <t>BBG00VXXW4N3</t>
        </is>
      </c>
    </row>
    <row r="1047">
      <c r="A1047" t="inlineStr">
        <is>
          <t>BBG00VXXW5R6 Equity</t>
        </is>
      </c>
      <c r="B1047" t="inlineStr">
        <is>
          <t>TSLA US 06/17/22 P392</t>
        </is>
      </c>
      <c r="C1047" t="inlineStr">
        <is>
          <t>2022-06-17</t>
        </is>
      </c>
      <c r="D1047" t="n">
        <v>392</v>
      </c>
      <c r="E1047" t="inlineStr">
        <is>
          <t>BBG00VXXW5R6</t>
        </is>
      </c>
    </row>
    <row r="1048">
      <c r="A1048" t="inlineStr">
        <is>
          <t>BBG00VXXW6V9 Equity</t>
        </is>
      </c>
      <c r="B1048" t="inlineStr">
        <is>
          <t>TSLA US 06/17/22 P396</t>
        </is>
      </c>
      <c r="C1048" t="inlineStr">
        <is>
          <t>2022-06-17</t>
        </is>
      </c>
      <c r="D1048" t="n">
        <v>396</v>
      </c>
      <c r="E1048" t="inlineStr">
        <is>
          <t>BBG00VXXW6V9</t>
        </is>
      </c>
    </row>
    <row r="1049">
      <c r="A1049" t="inlineStr">
        <is>
          <t>BBG00VFDY927 Equity</t>
        </is>
      </c>
      <c r="B1049" t="inlineStr">
        <is>
          <t>TSLA US 06/17/22 P400</t>
        </is>
      </c>
      <c r="C1049" t="inlineStr">
        <is>
          <t>2022-06-17</t>
        </is>
      </c>
      <c r="D1049" t="n">
        <v>400</v>
      </c>
      <c r="E1049" t="inlineStr">
        <is>
          <t>BBG00VFDY927</t>
        </is>
      </c>
    </row>
    <row r="1050">
      <c r="A1050" t="inlineStr">
        <is>
          <t>BBG00VYH67K2 Equity</t>
        </is>
      </c>
      <c r="B1050" t="inlineStr">
        <is>
          <t>TSLA US 06/17/22 P410</t>
        </is>
      </c>
      <c r="C1050" t="inlineStr">
        <is>
          <t>2022-06-17</t>
        </is>
      </c>
      <c r="D1050" t="n">
        <v>410</v>
      </c>
      <c r="E1050" t="inlineStr">
        <is>
          <t>BBG00VYH67K2</t>
        </is>
      </c>
    </row>
    <row r="1051">
      <c r="A1051" t="inlineStr">
        <is>
          <t>BBG00VTDQ3M2 Equity</t>
        </is>
      </c>
      <c r="B1051" t="inlineStr">
        <is>
          <t>TSLA US 06/17/22 P420</t>
        </is>
      </c>
      <c r="C1051" t="inlineStr">
        <is>
          <t>2022-06-17</t>
        </is>
      </c>
      <c r="D1051" t="n">
        <v>420</v>
      </c>
      <c r="E1051" t="inlineStr">
        <is>
          <t>BBG00VTDQ3M2</t>
        </is>
      </c>
    </row>
    <row r="1052">
      <c r="A1052" t="inlineStr">
        <is>
          <t>BBG00VYH68N7 Equity</t>
        </is>
      </c>
      <c r="B1052" t="inlineStr">
        <is>
          <t>TSLA US 06/17/22 P430</t>
        </is>
      </c>
      <c r="C1052" t="inlineStr">
        <is>
          <t>2022-06-17</t>
        </is>
      </c>
      <c r="D1052" t="n">
        <v>430</v>
      </c>
      <c r="E1052" t="inlineStr">
        <is>
          <t>BBG00VYH68N7</t>
        </is>
      </c>
    </row>
    <row r="1053">
      <c r="A1053" t="inlineStr">
        <is>
          <t>BBG00VYH69S0 Equity</t>
        </is>
      </c>
      <c r="B1053" t="inlineStr">
        <is>
          <t>TSLA US 06/17/22 P440</t>
        </is>
      </c>
      <c r="C1053" t="inlineStr">
        <is>
          <t>2022-06-17</t>
        </is>
      </c>
      <c r="D1053" t="n">
        <v>440</v>
      </c>
      <c r="E1053" t="inlineStr">
        <is>
          <t>BBG00VYH69S0</t>
        </is>
      </c>
    </row>
    <row r="1054">
      <c r="A1054" t="inlineStr">
        <is>
          <t>BBG00VYH6BW0 Equity</t>
        </is>
      </c>
      <c r="B1054" t="inlineStr">
        <is>
          <t>TSLA US 06/17/22 P450</t>
        </is>
      </c>
      <c r="C1054" t="inlineStr">
        <is>
          <t>2022-06-17</t>
        </is>
      </c>
      <c r="D1054" t="n">
        <v>450</v>
      </c>
      <c r="E1054" t="inlineStr">
        <is>
          <t>BBG00VYH6BW0</t>
        </is>
      </c>
    </row>
    <row r="1055">
      <c r="A1055" t="inlineStr">
        <is>
          <t>BBG00VYH6CZ5 Equity</t>
        </is>
      </c>
      <c r="B1055" t="inlineStr">
        <is>
          <t>TSLA US 06/17/22 P460</t>
        </is>
      </c>
      <c r="C1055" t="inlineStr">
        <is>
          <t>2022-06-17</t>
        </is>
      </c>
      <c r="D1055" t="n">
        <v>460</v>
      </c>
      <c r="E1055" t="inlineStr">
        <is>
          <t>BBG00VYH6CZ5</t>
        </is>
      </c>
    </row>
    <row r="1056">
      <c r="A1056" t="inlineStr">
        <is>
          <t>BBG00VYH6F33 Equity</t>
        </is>
      </c>
      <c r="B1056" t="inlineStr">
        <is>
          <t>TSLA US 06/17/22 P470</t>
        </is>
      </c>
      <c r="C1056" t="inlineStr">
        <is>
          <t>2022-06-17</t>
        </is>
      </c>
      <c r="D1056" t="n">
        <v>470</v>
      </c>
      <c r="E1056" t="inlineStr">
        <is>
          <t>BBG00VYH6F33</t>
        </is>
      </c>
    </row>
    <row r="1057">
      <c r="A1057" t="inlineStr">
        <is>
          <t>BBG00VYH6G68 Equity</t>
        </is>
      </c>
      <c r="B1057" t="inlineStr">
        <is>
          <t>TSLA US 06/17/22 P480</t>
        </is>
      </c>
      <c r="C1057" t="inlineStr">
        <is>
          <t>2022-06-17</t>
        </is>
      </c>
      <c r="D1057" t="n">
        <v>480</v>
      </c>
      <c r="E1057" t="inlineStr">
        <is>
          <t>BBG00VYH6G68</t>
        </is>
      </c>
    </row>
    <row r="1058">
      <c r="A1058" t="inlineStr">
        <is>
          <t>BBG00VYH6H93 Equity</t>
        </is>
      </c>
      <c r="B1058" t="inlineStr">
        <is>
          <t>TSLA US 06/17/22 P490</t>
        </is>
      </c>
      <c r="C1058" t="inlineStr">
        <is>
          <t>2022-06-17</t>
        </is>
      </c>
      <c r="D1058" t="n">
        <v>490</v>
      </c>
      <c r="E1058" t="inlineStr">
        <is>
          <t>BBG00VYH6H93</t>
        </is>
      </c>
    </row>
    <row r="1059">
      <c r="A1059" t="inlineStr">
        <is>
          <t>BBG00VYH6JF2 Equity</t>
        </is>
      </c>
      <c r="B1059" t="inlineStr">
        <is>
          <t>TSLA US 06/17/22 P500</t>
        </is>
      </c>
      <c r="C1059" t="inlineStr">
        <is>
          <t>2022-06-17</t>
        </is>
      </c>
      <c r="D1059" t="n">
        <v>500</v>
      </c>
      <c r="E1059" t="inlineStr">
        <is>
          <t>BBG00VYH6JF2</t>
        </is>
      </c>
    </row>
    <row r="1060">
      <c r="A1060" t="inlineStr">
        <is>
          <t>BBG00VYH6KJ5 Equity</t>
        </is>
      </c>
      <c r="B1060" t="inlineStr">
        <is>
          <t>TSLA US 06/17/22 P510</t>
        </is>
      </c>
      <c r="C1060" t="inlineStr">
        <is>
          <t>2022-06-17</t>
        </is>
      </c>
      <c r="D1060" t="n">
        <v>510</v>
      </c>
      <c r="E1060" t="inlineStr">
        <is>
          <t>BBG00VYH6KJ5</t>
        </is>
      </c>
    </row>
    <row r="1061">
      <c r="A1061" t="inlineStr">
        <is>
          <t>BBG017Q4D0B9 Equity</t>
        </is>
      </c>
      <c r="B1061" t="inlineStr">
        <is>
          <t>TSLA US 07/15/22 P290</t>
        </is>
      </c>
      <c r="C1061" t="inlineStr">
        <is>
          <t>2022-07-15</t>
        </is>
      </c>
      <c r="D1061" t="n">
        <v>290</v>
      </c>
      <c r="E1061" t="inlineStr">
        <is>
          <t>BBG017Q4D0B9</t>
        </is>
      </c>
    </row>
    <row r="1062">
      <c r="A1062" t="inlineStr">
        <is>
          <t>BBG017Q4D1F3 Equity</t>
        </is>
      </c>
      <c r="B1062" t="inlineStr">
        <is>
          <t>TSLA US 07/15/22 P300</t>
        </is>
      </c>
      <c r="C1062" t="inlineStr">
        <is>
          <t>2022-07-15</t>
        </is>
      </c>
      <c r="D1062" t="n">
        <v>300</v>
      </c>
      <c r="E1062" t="inlineStr">
        <is>
          <t>BBG017Q4D1F3</t>
        </is>
      </c>
    </row>
    <row r="1063">
      <c r="A1063" t="inlineStr">
        <is>
          <t>BBG017Q4D2K5 Equity</t>
        </is>
      </c>
      <c r="B1063" t="inlineStr">
        <is>
          <t>TSLA US 07/15/22 P310</t>
        </is>
      </c>
      <c r="C1063" t="inlineStr">
        <is>
          <t>2022-07-15</t>
        </is>
      </c>
      <c r="D1063" t="n">
        <v>310</v>
      </c>
      <c r="E1063" t="inlineStr">
        <is>
          <t>BBG017Q4D2K5</t>
        </is>
      </c>
    </row>
    <row r="1064">
      <c r="A1064" t="inlineStr">
        <is>
          <t>BBG017Q4D3N0 Equity</t>
        </is>
      </c>
      <c r="B1064" t="inlineStr">
        <is>
          <t>TSLA US 07/15/22 P320</t>
        </is>
      </c>
      <c r="C1064" t="inlineStr">
        <is>
          <t>2022-07-15</t>
        </is>
      </c>
      <c r="D1064" t="n">
        <v>320</v>
      </c>
      <c r="E1064" t="inlineStr">
        <is>
          <t>BBG017Q4D3N0</t>
        </is>
      </c>
    </row>
    <row r="1065">
      <c r="A1065" t="inlineStr">
        <is>
          <t>BBG017Q4D4R4 Equity</t>
        </is>
      </c>
      <c r="B1065" t="inlineStr">
        <is>
          <t>TSLA US 07/15/22 P330</t>
        </is>
      </c>
      <c r="C1065" t="inlineStr">
        <is>
          <t>2022-07-15</t>
        </is>
      </c>
      <c r="D1065" t="n">
        <v>330</v>
      </c>
      <c r="E1065" t="inlineStr">
        <is>
          <t>BBG017Q4D4R4</t>
        </is>
      </c>
    </row>
    <row r="1066">
      <c r="A1066" t="inlineStr">
        <is>
          <t>BBG017Q4D5W5 Equity</t>
        </is>
      </c>
      <c r="B1066" t="inlineStr">
        <is>
          <t>TSLA US 07/15/22 P340</t>
        </is>
      </c>
      <c r="C1066" t="inlineStr">
        <is>
          <t>2022-07-15</t>
        </is>
      </c>
      <c r="D1066" t="n">
        <v>340</v>
      </c>
      <c r="E1066" t="inlineStr">
        <is>
          <t>BBG017Q4D5W5</t>
        </is>
      </c>
    </row>
    <row r="1067">
      <c r="A1067" t="inlineStr">
        <is>
          <t>BBG017Q4D6Z0 Equity</t>
        </is>
      </c>
      <c r="B1067" t="inlineStr">
        <is>
          <t>TSLA US 07/15/22 P350</t>
        </is>
      </c>
      <c r="C1067" t="inlineStr">
        <is>
          <t>2022-07-15</t>
        </is>
      </c>
      <c r="D1067" t="n">
        <v>350</v>
      </c>
      <c r="E1067" t="inlineStr">
        <is>
          <t>BBG017Q4D6Z0</t>
        </is>
      </c>
    </row>
    <row r="1068">
      <c r="A1068" t="inlineStr">
        <is>
          <t>BBG017Q4D822 Equity</t>
        </is>
      </c>
      <c r="B1068" t="inlineStr">
        <is>
          <t>TSLA US 07/15/22 P360</t>
        </is>
      </c>
      <c r="C1068" t="inlineStr">
        <is>
          <t>2022-07-15</t>
        </is>
      </c>
      <c r="D1068" t="n">
        <v>360</v>
      </c>
      <c r="E1068" t="inlineStr">
        <is>
          <t>BBG017Q4D822</t>
        </is>
      </c>
    </row>
    <row r="1069">
      <c r="A1069" t="inlineStr">
        <is>
          <t>BBG017FX7M35 Equity</t>
        </is>
      </c>
      <c r="B1069" t="inlineStr">
        <is>
          <t>TSLA US 07/15/22 P370</t>
        </is>
      </c>
      <c r="C1069" t="inlineStr">
        <is>
          <t>2022-07-15</t>
        </is>
      </c>
      <c r="D1069" t="n">
        <v>370</v>
      </c>
      <c r="E1069" t="inlineStr">
        <is>
          <t>BBG017FX7M35</t>
        </is>
      </c>
    </row>
    <row r="1070">
      <c r="A1070" t="inlineStr">
        <is>
          <t>BBG017FX7N60 Equity</t>
        </is>
      </c>
      <c r="B1070" t="inlineStr">
        <is>
          <t>TSLA US 07/15/22 P375</t>
        </is>
      </c>
      <c r="C1070" t="inlineStr">
        <is>
          <t>2022-07-15</t>
        </is>
      </c>
      <c r="D1070" t="n">
        <v>375</v>
      </c>
      <c r="E1070" t="inlineStr">
        <is>
          <t>BBG017FX7N60</t>
        </is>
      </c>
    </row>
    <row r="1071">
      <c r="A1071" t="inlineStr">
        <is>
          <t>BBG017FX7P92 Equity</t>
        </is>
      </c>
      <c r="B1071" t="inlineStr">
        <is>
          <t>TSLA US 07/15/22 P380</t>
        </is>
      </c>
      <c r="C1071" t="inlineStr">
        <is>
          <t>2022-07-15</t>
        </is>
      </c>
      <c r="D1071" t="n">
        <v>380</v>
      </c>
      <c r="E1071" t="inlineStr">
        <is>
          <t>BBG017FX7P92</t>
        </is>
      </c>
    </row>
    <row r="1072">
      <c r="A1072" t="inlineStr">
        <is>
          <t>BBG017FX7QF3 Equity</t>
        </is>
      </c>
      <c r="B1072" t="inlineStr">
        <is>
          <t>TSLA US 07/15/22 P385</t>
        </is>
      </c>
      <c r="C1072" t="inlineStr">
        <is>
          <t>2022-07-15</t>
        </is>
      </c>
      <c r="D1072" t="n">
        <v>385</v>
      </c>
      <c r="E1072" t="inlineStr">
        <is>
          <t>BBG017FX7QF3</t>
        </is>
      </c>
    </row>
    <row r="1073">
      <c r="A1073" t="inlineStr">
        <is>
          <t>BBG017FX7RJ7 Equity</t>
        </is>
      </c>
      <c r="B1073" t="inlineStr">
        <is>
          <t>TSLA US 07/15/22 P390</t>
        </is>
      </c>
      <c r="C1073" t="inlineStr">
        <is>
          <t>2022-07-15</t>
        </is>
      </c>
      <c r="D1073" t="n">
        <v>390</v>
      </c>
      <c r="E1073" t="inlineStr">
        <is>
          <t>BBG017FX7RJ7</t>
        </is>
      </c>
    </row>
    <row r="1074">
      <c r="A1074" t="inlineStr">
        <is>
          <t>BBG017FX7SM1 Equity</t>
        </is>
      </c>
      <c r="B1074" t="inlineStr">
        <is>
          <t>TSLA US 07/15/22 P395</t>
        </is>
      </c>
      <c r="C1074" t="inlineStr">
        <is>
          <t>2022-07-15</t>
        </is>
      </c>
      <c r="D1074" t="n">
        <v>395</v>
      </c>
      <c r="E1074" t="inlineStr">
        <is>
          <t>BBG017FX7SM1</t>
        </is>
      </c>
    </row>
    <row r="1075">
      <c r="A1075" t="inlineStr">
        <is>
          <t>BBG0174KL732 Equity</t>
        </is>
      </c>
      <c r="B1075" t="inlineStr">
        <is>
          <t>TSLA US 07/15/22 P400</t>
        </is>
      </c>
      <c r="C1075" t="inlineStr">
        <is>
          <t>2022-07-15</t>
        </is>
      </c>
      <c r="D1075" t="n">
        <v>400</v>
      </c>
      <c r="E1075" t="inlineStr">
        <is>
          <t>BBG0174KL732</t>
        </is>
      </c>
    </row>
    <row r="1076">
      <c r="A1076" t="inlineStr">
        <is>
          <t>BBG017FX7TR4 Equity</t>
        </is>
      </c>
      <c r="B1076" t="inlineStr">
        <is>
          <t>TSLA US 07/15/22 P405</t>
        </is>
      </c>
      <c r="C1076" t="inlineStr">
        <is>
          <t>2022-07-15</t>
        </is>
      </c>
      <c r="D1076" t="n">
        <v>405</v>
      </c>
      <c r="E1076" t="inlineStr">
        <is>
          <t>BBG017FX7TR4</t>
        </is>
      </c>
    </row>
    <row r="1077">
      <c r="A1077" t="inlineStr">
        <is>
          <t>BBG017FX7VV4 Equity</t>
        </is>
      </c>
      <c r="B1077" t="inlineStr">
        <is>
          <t>TSLA US 07/15/22 P410</t>
        </is>
      </c>
      <c r="C1077" t="inlineStr">
        <is>
          <t>2022-07-15</t>
        </is>
      </c>
      <c r="D1077" t="n">
        <v>410</v>
      </c>
      <c r="E1077" t="inlineStr">
        <is>
          <t>BBG017FX7VV4</t>
        </is>
      </c>
    </row>
    <row r="1078">
      <c r="A1078" t="inlineStr">
        <is>
          <t>BBG017FX7WY9 Equity</t>
        </is>
      </c>
      <c r="B1078" t="inlineStr">
        <is>
          <t>TSLA US 07/15/22 P415</t>
        </is>
      </c>
      <c r="C1078" t="inlineStr">
        <is>
          <t>2022-07-15</t>
        </is>
      </c>
      <c r="D1078" t="n">
        <v>415</v>
      </c>
      <c r="E1078" t="inlineStr">
        <is>
          <t>BBG017FX7WY9</t>
        </is>
      </c>
    </row>
    <row r="1079">
      <c r="A1079" t="inlineStr">
        <is>
          <t>BBG017FX7Y20 Equity</t>
        </is>
      </c>
      <c r="B1079" t="inlineStr">
        <is>
          <t>TSLA US 07/15/22 P420</t>
        </is>
      </c>
      <c r="C1079" t="inlineStr">
        <is>
          <t>2022-07-15</t>
        </is>
      </c>
      <c r="D1079" t="n">
        <v>420</v>
      </c>
      <c r="E1079" t="inlineStr">
        <is>
          <t>BBG017FX7Y20</t>
        </is>
      </c>
    </row>
    <row r="1080">
      <c r="A1080" t="inlineStr">
        <is>
          <t>BBG0174KL867 Equity</t>
        </is>
      </c>
      <c r="B1080" t="inlineStr">
        <is>
          <t>TSLA US 07/15/22 P425</t>
        </is>
      </c>
      <c r="C1080" t="inlineStr">
        <is>
          <t>2022-07-15</t>
        </is>
      </c>
      <c r="D1080" t="n">
        <v>425</v>
      </c>
      <c r="E1080" t="inlineStr">
        <is>
          <t>BBG0174KL867</t>
        </is>
      </c>
    </row>
    <row r="1081">
      <c r="A1081" t="inlineStr">
        <is>
          <t>BBG017FX7Z54 Equity</t>
        </is>
      </c>
      <c r="B1081" t="inlineStr">
        <is>
          <t>TSLA US 07/15/22 P430</t>
        </is>
      </c>
      <c r="C1081" t="inlineStr">
        <is>
          <t>2022-07-15</t>
        </is>
      </c>
      <c r="D1081" t="n">
        <v>430</v>
      </c>
      <c r="E1081" t="inlineStr">
        <is>
          <t>BBG017FX7Z54</t>
        </is>
      </c>
    </row>
    <row r="1082">
      <c r="A1082" t="inlineStr">
        <is>
          <t>BBG017FX8087 Equity</t>
        </is>
      </c>
      <c r="B1082" t="inlineStr">
        <is>
          <t>TSLA US 07/15/22 P435</t>
        </is>
      </c>
      <c r="C1082" t="inlineStr">
        <is>
          <t>2022-07-15</t>
        </is>
      </c>
      <c r="D1082" t="n">
        <v>435</v>
      </c>
      <c r="E1082" t="inlineStr">
        <is>
          <t>BBG017FX8087</t>
        </is>
      </c>
    </row>
    <row r="1083">
      <c r="A1083" t="inlineStr">
        <is>
          <t>BBG017FX81D9 Equity</t>
        </is>
      </c>
      <c r="B1083" t="inlineStr">
        <is>
          <t>TSLA US 07/15/22 P440</t>
        </is>
      </c>
      <c r="C1083" t="inlineStr">
        <is>
          <t>2022-07-15</t>
        </is>
      </c>
      <c r="D1083" t="n">
        <v>440</v>
      </c>
      <c r="E1083" t="inlineStr">
        <is>
          <t>BBG017FX81D9</t>
        </is>
      </c>
    </row>
    <row r="1084">
      <c r="A1084" t="inlineStr">
        <is>
          <t>BBG017FX82H3 Equity</t>
        </is>
      </c>
      <c r="B1084" t="inlineStr">
        <is>
          <t>TSLA US 07/15/22 P445</t>
        </is>
      </c>
      <c r="C1084" t="inlineStr">
        <is>
          <t>2022-07-15</t>
        </is>
      </c>
      <c r="D1084" t="n">
        <v>445</v>
      </c>
      <c r="E1084" t="inlineStr">
        <is>
          <t>BBG017FX82H3</t>
        </is>
      </c>
    </row>
    <row r="1085">
      <c r="A1085" t="inlineStr">
        <is>
          <t>BBG0174KL992 Equity</t>
        </is>
      </c>
      <c r="B1085" t="inlineStr">
        <is>
          <t>TSLA US 07/15/22 P450</t>
        </is>
      </c>
      <c r="C1085" t="inlineStr">
        <is>
          <t>2022-07-15</t>
        </is>
      </c>
      <c r="D1085" t="n">
        <v>450</v>
      </c>
      <c r="E1085" t="inlineStr">
        <is>
          <t>BBG0174KL992</t>
        </is>
      </c>
    </row>
    <row r="1086">
      <c r="A1086" t="inlineStr">
        <is>
          <t>BBG017FX83L6 Equity</t>
        </is>
      </c>
      <c r="B1086" t="inlineStr">
        <is>
          <t>TSLA US 07/15/22 P455</t>
        </is>
      </c>
      <c r="C1086" t="inlineStr">
        <is>
          <t>2022-07-15</t>
        </is>
      </c>
      <c r="D1086" t="n">
        <v>455</v>
      </c>
      <c r="E1086" t="inlineStr">
        <is>
          <t>BBG017FX83L6</t>
        </is>
      </c>
    </row>
    <row r="1087">
      <c r="A1087" t="inlineStr">
        <is>
          <t>BBG017FX84S7 Equity</t>
        </is>
      </c>
      <c r="B1087" t="inlineStr">
        <is>
          <t>TSLA US 07/15/22 P460</t>
        </is>
      </c>
      <c r="C1087" t="inlineStr">
        <is>
          <t>2022-07-15</t>
        </is>
      </c>
      <c r="D1087" t="n">
        <v>460</v>
      </c>
      <c r="E1087" t="inlineStr">
        <is>
          <t>BBG017FX84S7</t>
        </is>
      </c>
    </row>
    <row r="1088">
      <c r="A1088" t="inlineStr">
        <is>
          <t>BBG017FX85W9 Equity</t>
        </is>
      </c>
      <c r="B1088" t="inlineStr">
        <is>
          <t>TSLA US 07/15/22 P465</t>
        </is>
      </c>
      <c r="C1088" t="inlineStr">
        <is>
          <t>2022-07-15</t>
        </is>
      </c>
      <c r="D1088" t="n">
        <v>465</v>
      </c>
      <c r="E1088" t="inlineStr">
        <is>
          <t>BBG017FX85W9</t>
        </is>
      </c>
    </row>
    <row r="1089">
      <c r="A1089" t="inlineStr">
        <is>
          <t>BBG014D1NT59 Equity</t>
        </is>
      </c>
      <c r="B1089" t="inlineStr">
        <is>
          <t>TSLA US 08/19/22 P200</t>
        </is>
      </c>
      <c r="C1089" t="inlineStr">
        <is>
          <t>2022-08-19</t>
        </is>
      </c>
      <c r="D1089" t="n">
        <v>200</v>
      </c>
      <c r="E1089" t="inlineStr">
        <is>
          <t>BBG014D1NT59</t>
        </is>
      </c>
    </row>
    <row r="1090">
      <c r="A1090" t="inlineStr">
        <is>
          <t>BBG014D1NV81 Equity</t>
        </is>
      </c>
      <c r="B1090" t="inlineStr">
        <is>
          <t>TSLA US 08/19/22 P250</t>
        </is>
      </c>
      <c r="C1090" t="inlineStr">
        <is>
          <t>2022-08-19</t>
        </is>
      </c>
      <c r="D1090" t="n">
        <v>250</v>
      </c>
      <c r="E1090" t="inlineStr">
        <is>
          <t>BBG014D1NV81</t>
        </is>
      </c>
    </row>
    <row r="1091">
      <c r="A1091" t="inlineStr">
        <is>
          <t>BBG014D1NWG0 Equity</t>
        </is>
      </c>
      <c r="B1091" t="inlineStr">
        <is>
          <t>TSLA US 08/19/22 P300</t>
        </is>
      </c>
      <c r="C1091" t="inlineStr">
        <is>
          <t>2022-08-19</t>
        </is>
      </c>
      <c r="D1091" t="n">
        <v>300</v>
      </c>
      <c r="E1091" t="inlineStr">
        <is>
          <t>BBG014D1NWG0</t>
        </is>
      </c>
    </row>
    <row r="1092">
      <c r="A1092" t="inlineStr">
        <is>
          <t>BBG018DFBYJ6 Equity</t>
        </is>
      </c>
      <c r="B1092" t="inlineStr">
        <is>
          <t>TSLA US 08/19/22 P340</t>
        </is>
      </c>
      <c r="C1092" t="inlineStr">
        <is>
          <t>2022-08-19</t>
        </is>
      </c>
      <c r="D1092" t="n">
        <v>340</v>
      </c>
      <c r="E1092" t="inlineStr">
        <is>
          <t>BBG018DFBYJ6</t>
        </is>
      </c>
    </row>
    <row r="1093">
      <c r="A1093" t="inlineStr">
        <is>
          <t>BBG014D1NXK3 Equity</t>
        </is>
      </c>
      <c r="B1093" t="inlineStr">
        <is>
          <t>TSLA US 08/19/22 P350</t>
        </is>
      </c>
      <c r="C1093" t="inlineStr">
        <is>
          <t>2022-08-19</t>
        </is>
      </c>
      <c r="D1093" t="n">
        <v>350</v>
      </c>
      <c r="E1093" t="inlineStr">
        <is>
          <t>BBG014D1NXK3</t>
        </is>
      </c>
    </row>
    <row r="1094">
      <c r="A1094" t="inlineStr">
        <is>
          <t>BBG018DFBZM9 Equity</t>
        </is>
      </c>
      <c r="B1094" t="inlineStr">
        <is>
          <t>TSLA US 08/19/22 P360</t>
        </is>
      </c>
      <c r="C1094" t="inlineStr">
        <is>
          <t>2022-08-19</t>
        </is>
      </c>
      <c r="D1094" t="n">
        <v>360</v>
      </c>
      <c r="E1094" t="inlineStr">
        <is>
          <t>BBG018DFBZM9</t>
        </is>
      </c>
    </row>
    <row r="1095">
      <c r="A1095" t="inlineStr">
        <is>
          <t>BBG017FXCFG0 Equity</t>
        </is>
      </c>
      <c r="B1095" t="inlineStr">
        <is>
          <t>TSLA US 08/19/22 P370</t>
        </is>
      </c>
      <c r="C1095" t="inlineStr">
        <is>
          <t>2022-08-19</t>
        </is>
      </c>
      <c r="D1095" t="n">
        <v>370</v>
      </c>
      <c r="E1095" t="inlineStr">
        <is>
          <t>BBG017FXCFG0</t>
        </is>
      </c>
    </row>
    <row r="1096">
      <c r="A1096" t="inlineStr">
        <is>
          <t>BBG017FXCGK3 Equity</t>
        </is>
      </c>
      <c r="B1096" t="inlineStr">
        <is>
          <t>TSLA US 08/19/22 P380</t>
        </is>
      </c>
      <c r="C1096" t="inlineStr">
        <is>
          <t>2022-08-19</t>
        </is>
      </c>
      <c r="D1096" t="n">
        <v>380</v>
      </c>
      <c r="E1096" t="inlineStr">
        <is>
          <t>BBG017FXCGK3</t>
        </is>
      </c>
    </row>
    <row r="1097">
      <c r="A1097" t="inlineStr">
        <is>
          <t>BBG017FXCHQ5 Equity</t>
        </is>
      </c>
      <c r="B1097" t="inlineStr">
        <is>
          <t>TSLA US 08/19/22 P390</t>
        </is>
      </c>
      <c r="C1097" t="inlineStr">
        <is>
          <t>2022-08-19</t>
        </is>
      </c>
      <c r="D1097" t="n">
        <v>390</v>
      </c>
      <c r="E1097" t="inlineStr">
        <is>
          <t>BBG017FXCHQ5</t>
        </is>
      </c>
    </row>
    <row r="1098">
      <c r="A1098" t="inlineStr">
        <is>
          <t>BBG014D1NYN8 Equity</t>
        </is>
      </c>
      <c r="B1098" t="inlineStr">
        <is>
          <t>TSLA US 08/19/22 P400</t>
        </is>
      </c>
      <c r="C1098" t="inlineStr">
        <is>
          <t>2022-08-19</t>
        </is>
      </c>
      <c r="D1098" t="n">
        <v>400</v>
      </c>
      <c r="E1098" t="inlineStr">
        <is>
          <t>BBG014D1NYN8</t>
        </is>
      </c>
    </row>
    <row r="1099">
      <c r="A1099" t="inlineStr">
        <is>
          <t>BBG017FXCJT8 Equity</t>
        </is>
      </c>
      <c r="B1099" t="inlineStr">
        <is>
          <t>TSLA US 08/19/22 P410</t>
        </is>
      </c>
      <c r="C1099" t="inlineStr">
        <is>
          <t>2022-08-19</t>
        </is>
      </c>
      <c r="D1099" t="n">
        <v>410</v>
      </c>
      <c r="E1099" t="inlineStr">
        <is>
          <t>BBG017FXCJT8</t>
        </is>
      </c>
    </row>
    <row r="1100">
      <c r="A1100" t="inlineStr">
        <is>
          <t>BBG017FXCKX0 Equity</t>
        </is>
      </c>
      <c r="B1100" t="inlineStr">
        <is>
          <t>TSLA US 08/19/22 P420</t>
        </is>
      </c>
      <c r="C1100" t="inlineStr">
        <is>
          <t>2022-08-19</t>
        </is>
      </c>
      <c r="D1100" t="n">
        <v>420</v>
      </c>
      <c r="E1100" t="inlineStr">
        <is>
          <t>BBG017FXCKX0</t>
        </is>
      </c>
    </row>
    <row r="1101">
      <c r="A1101" t="inlineStr">
        <is>
          <t>BBG017FXCM20 Equity</t>
        </is>
      </c>
      <c r="B1101" t="inlineStr">
        <is>
          <t>TSLA US 08/19/22 P430</t>
        </is>
      </c>
      <c r="C1101" t="inlineStr">
        <is>
          <t>2022-08-19</t>
        </is>
      </c>
      <c r="D1101" t="n">
        <v>430</v>
      </c>
      <c r="E1101" t="inlineStr">
        <is>
          <t>BBG017FXCM20</t>
        </is>
      </c>
    </row>
    <row r="1102">
      <c r="A1102" t="inlineStr">
        <is>
          <t>BBG017FXCN55 Equity</t>
        </is>
      </c>
      <c r="B1102" t="inlineStr">
        <is>
          <t>TSLA US 08/19/22 P440</t>
        </is>
      </c>
      <c r="C1102" t="inlineStr">
        <is>
          <t>2022-08-19</t>
        </is>
      </c>
      <c r="D1102" t="n">
        <v>440</v>
      </c>
      <c r="E1102" t="inlineStr">
        <is>
          <t>BBG017FXCN55</t>
        </is>
      </c>
    </row>
    <row r="1103">
      <c r="A1103" t="inlineStr">
        <is>
          <t>BBG014D1NZS0 Equity</t>
        </is>
      </c>
      <c r="B1103" t="inlineStr">
        <is>
          <t>TSLA US 08/19/22 P450</t>
        </is>
      </c>
      <c r="C1103" t="inlineStr">
        <is>
          <t>2022-08-19</t>
        </is>
      </c>
      <c r="D1103" t="n">
        <v>450</v>
      </c>
      <c r="E1103" t="inlineStr">
        <is>
          <t>BBG014D1NZS0</t>
        </is>
      </c>
    </row>
    <row r="1104">
      <c r="A1104" t="inlineStr">
        <is>
          <t>BBG017FXCP87 Equity</t>
        </is>
      </c>
      <c r="B1104" t="inlineStr">
        <is>
          <t>TSLA US 08/19/22 P460</t>
        </is>
      </c>
      <c r="C1104" t="inlineStr">
        <is>
          <t>2022-08-19</t>
        </is>
      </c>
      <c r="D1104" t="n">
        <v>460</v>
      </c>
      <c r="E1104" t="inlineStr">
        <is>
          <t>BBG017FXCP87</t>
        </is>
      </c>
    </row>
    <row r="1105">
      <c r="A1105" t="inlineStr">
        <is>
          <t>BBG00W5BLM52 Equity</t>
        </is>
      </c>
      <c r="B1105" t="inlineStr">
        <is>
          <t>TSLA US 09/16/22 P183.33</t>
        </is>
      </c>
      <c r="C1105" t="inlineStr">
        <is>
          <t>2022-09-16</t>
        </is>
      </c>
      <c r="D1105" t="n">
        <v>183.33</v>
      </c>
      <c r="E1105" t="inlineStr">
        <is>
          <t>BBG00W5BLM52</t>
        </is>
      </c>
    </row>
    <row r="1106">
      <c r="A1106" t="inlineStr">
        <is>
          <t>BBG00W5BLN87 Equity</t>
        </is>
      </c>
      <c r="B1106" t="inlineStr">
        <is>
          <t>TSLA US 09/16/22 P186.67</t>
        </is>
      </c>
      <c r="C1106" t="inlineStr">
        <is>
          <t>2022-09-16</t>
        </is>
      </c>
      <c r="D1106" t="n">
        <v>186.67</v>
      </c>
      <c r="E1106" t="inlineStr">
        <is>
          <t>BBG00W5BLN87</t>
        </is>
      </c>
    </row>
    <row r="1107">
      <c r="A1107" t="inlineStr">
        <is>
          <t>BBG00W5BLPD6 Equity</t>
        </is>
      </c>
      <c r="B1107" t="inlineStr">
        <is>
          <t>TSLA US 09/16/22 P190</t>
        </is>
      </c>
      <c r="C1107" t="inlineStr">
        <is>
          <t>2022-09-16</t>
        </is>
      </c>
      <c r="D1107" t="n">
        <v>190</v>
      </c>
      <c r="E1107" t="inlineStr">
        <is>
          <t>BBG00W5BLPD6</t>
        </is>
      </c>
    </row>
    <row r="1108">
      <c r="A1108" t="inlineStr">
        <is>
          <t>BBG00W5BLQH0 Equity</t>
        </is>
      </c>
      <c r="B1108" t="inlineStr">
        <is>
          <t>TSLA US 09/16/22 P193.33</t>
        </is>
      </c>
      <c r="C1108" t="inlineStr">
        <is>
          <t>2022-09-16</t>
        </is>
      </c>
      <c r="D1108" t="n">
        <v>193.33</v>
      </c>
      <c r="E1108" t="inlineStr">
        <is>
          <t>BBG00W5BLQH0</t>
        </is>
      </c>
    </row>
    <row r="1109">
      <c r="A1109" t="inlineStr">
        <is>
          <t>BBG00W5BLRL3 Equity</t>
        </is>
      </c>
      <c r="B1109" t="inlineStr">
        <is>
          <t>TSLA US 09/16/22 P196.67</t>
        </is>
      </c>
      <c r="C1109" t="inlineStr">
        <is>
          <t>2022-09-16</t>
        </is>
      </c>
      <c r="D1109" t="n">
        <v>196.67</v>
      </c>
      <c r="E1109" t="inlineStr">
        <is>
          <t>BBG00W5BLRL3</t>
        </is>
      </c>
    </row>
    <row r="1110">
      <c r="A1110" t="inlineStr">
        <is>
          <t>BBG00W5BLSQ6 Equity</t>
        </is>
      </c>
      <c r="B1110" t="inlineStr">
        <is>
          <t>TSLA US 09/16/22 P200</t>
        </is>
      </c>
      <c r="C1110" t="inlineStr">
        <is>
          <t>2022-09-16</t>
        </is>
      </c>
      <c r="D1110" t="n">
        <v>200</v>
      </c>
      <c r="E1110" t="inlineStr">
        <is>
          <t>BBG00W5BLSQ6</t>
        </is>
      </c>
    </row>
    <row r="1111">
      <c r="A1111" t="inlineStr">
        <is>
          <t>BBG00W5BLTT1 Equity</t>
        </is>
      </c>
      <c r="B1111" t="inlineStr">
        <is>
          <t>TSLA US 09/16/22 P203.33</t>
        </is>
      </c>
      <c r="C1111" t="inlineStr">
        <is>
          <t>2022-09-16</t>
        </is>
      </c>
      <c r="D1111" t="n">
        <v>203.33</v>
      </c>
      <c r="E1111" t="inlineStr">
        <is>
          <t>BBG00W5BLTT1</t>
        </is>
      </c>
    </row>
    <row r="1112">
      <c r="A1112" t="inlineStr">
        <is>
          <t>BBG00WVD0GR1 Equity</t>
        </is>
      </c>
      <c r="B1112" t="inlineStr">
        <is>
          <t>TSLA US 09/16/22 P206.67</t>
        </is>
      </c>
      <c r="C1112" t="inlineStr">
        <is>
          <t>2022-09-16</t>
        </is>
      </c>
      <c r="D1112" t="n">
        <v>206.67</v>
      </c>
      <c r="E1112" t="inlineStr">
        <is>
          <t>BBG00WVD0GR1</t>
        </is>
      </c>
    </row>
    <row r="1113">
      <c r="A1113" t="inlineStr">
        <is>
          <t>BBG00YD3YNY9 Equity</t>
        </is>
      </c>
      <c r="B1113" t="inlineStr">
        <is>
          <t>TSLA US 09/16/22 P210</t>
        </is>
      </c>
      <c r="C1113" t="inlineStr">
        <is>
          <t>2022-09-16</t>
        </is>
      </c>
      <c r="D1113" t="n">
        <v>210</v>
      </c>
      <c r="E1113" t="inlineStr">
        <is>
          <t>BBG00YD3YNY9</t>
        </is>
      </c>
    </row>
    <row r="1114">
      <c r="A1114" t="inlineStr">
        <is>
          <t>BBG00WVD0HV4 Equity</t>
        </is>
      </c>
      <c r="B1114" t="inlineStr">
        <is>
          <t>TSLA US 09/16/22 P213.33</t>
        </is>
      </c>
      <c r="C1114" t="inlineStr">
        <is>
          <t>2022-09-16</t>
        </is>
      </c>
      <c r="D1114" t="n">
        <v>213.33</v>
      </c>
      <c r="E1114" t="inlineStr">
        <is>
          <t>BBG00WVD0HV4</t>
        </is>
      </c>
    </row>
    <row r="1115">
      <c r="A1115" t="inlineStr">
        <is>
          <t>BBG00X9B2PZ7 Equity</t>
        </is>
      </c>
      <c r="B1115" t="inlineStr">
        <is>
          <t>TSLA US 09/16/22 P216.67</t>
        </is>
      </c>
      <c r="C1115" t="inlineStr">
        <is>
          <t>2022-09-16</t>
        </is>
      </c>
      <c r="D1115" t="n">
        <v>216.67</v>
      </c>
      <c r="E1115" t="inlineStr">
        <is>
          <t>BBG00X9B2PZ7</t>
        </is>
      </c>
    </row>
    <row r="1116">
      <c r="A1116" t="inlineStr">
        <is>
          <t>BBG00WVD0JY7 Equity</t>
        </is>
      </c>
      <c r="B1116" t="inlineStr">
        <is>
          <t>TSLA US 09/16/22 P220</t>
        </is>
      </c>
      <c r="C1116" t="inlineStr">
        <is>
          <t>2022-09-16</t>
        </is>
      </c>
      <c r="D1116" t="n">
        <v>220</v>
      </c>
      <c r="E1116" t="inlineStr">
        <is>
          <t>BBG00WVD0JY7</t>
        </is>
      </c>
    </row>
    <row r="1117">
      <c r="A1117" t="inlineStr">
        <is>
          <t>BBG00Y2FFZC2 Equity</t>
        </is>
      </c>
      <c r="B1117" t="inlineStr">
        <is>
          <t>TSLA US 09/16/22 P223.33</t>
        </is>
      </c>
      <c r="C1117" t="inlineStr">
        <is>
          <t>2022-09-16</t>
        </is>
      </c>
      <c r="D1117" t="n">
        <v>223.33</v>
      </c>
      <c r="E1117" t="inlineStr">
        <is>
          <t>BBG00Y2FFZC2</t>
        </is>
      </c>
    </row>
    <row r="1118">
      <c r="A1118" t="inlineStr">
        <is>
          <t>BBG00WVD0L36 Equity</t>
        </is>
      </c>
      <c r="B1118" t="inlineStr">
        <is>
          <t>TSLA US 09/16/22 P226.67</t>
        </is>
      </c>
      <c r="C1118" t="inlineStr">
        <is>
          <t>2022-09-16</t>
        </is>
      </c>
      <c r="D1118" t="n">
        <v>226.67</v>
      </c>
      <c r="E1118" t="inlineStr">
        <is>
          <t>BBG00WVD0L36</t>
        </is>
      </c>
    </row>
    <row r="1119">
      <c r="A1119" t="inlineStr">
        <is>
          <t>BBG00Y2FG0G4 Equity</t>
        </is>
      </c>
      <c r="B1119" t="inlineStr">
        <is>
          <t>TSLA US 09/16/22 P230</t>
        </is>
      </c>
      <c r="C1119" t="inlineStr">
        <is>
          <t>2022-09-16</t>
        </is>
      </c>
      <c r="D1119" t="n">
        <v>230</v>
      </c>
      <c r="E1119" t="inlineStr">
        <is>
          <t>BBG00Y2FG0G4</t>
        </is>
      </c>
    </row>
    <row r="1120">
      <c r="A1120" t="inlineStr">
        <is>
          <t>BBG00WVD0M61 Equity</t>
        </is>
      </c>
      <c r="B1120" t="inlineStr">
        <is>
          <t>TSLA US 09/16/22 P233.33</t>
        </is>
      </c>
      <c r="C1120" t="inlineStr">
        <is>
          <t>2022-09-16</t>
        </is>
      </c>
      <c r="D1120" t="n">
        <v>233.33</v>
      </c>
      <c r="E1120" t="inlineStr">
        <is>
          <t>BBG00WVD0M61</t>
        </is>
      </c>
    </row>
    <row r="1121">
      <c r="A1121" t="inlineStr">
        <is>
          <t>BBG00Y2M2555 Equity</t>
        </is>
      </c>
      <c r="B1121" t="inlineStr">
        <is>
          <t>TSLA US 09/16/22 P236.67</t>
        </is>
      </c>
      <c r="C1121" t="inlineStr">
        <is>
          <t>2022-09-16</t>
        </is>
      </c>
      <c r="D1121" t="n">
        <v>236.67</v>
      </c>
      <c r="E1121" t="inlineStr">
        <is>
          <t>BBG00Y2M2555</t>
        </is>
      </c>
    </row>
    <row r="1122">
      <c r="A1122" t="inlineStr">
        <is>
          <t>BBG00WVD0N96 Equity</t>
        </is>
      </c>
      <c r="B1122" t="inlineStr">
        <is>
          <t>TSLA US 09/16/22 P240</t>
        </is>
      </c>
      <c r="C1122" t="inlineStr">
        <is>
          <t>2022-09-16</t>
        </is>
      </c>
      <c r="D1122" t="n">
        <v>240</v>
      </c>
      <c r="E1122" t="inlineStr">
        <is>
          <t>BBG00WVD0N96</t>
        </is>
      </c>
    </row>
    <row r="1123">
      <c r="A1123" t="inlineStr">
        <is>
          <t>BBG00Y2M2680 Equity</t>
        </is>
      </c>
      <c r="B1123" t="inlineStr">
        <is>
          <t>TSLA US 09/16/22 P243.33</t>
        </is>
      </c>
      <c r="C1123" t="inlineStr">
        <is>
          <t>2022-09-16</t>
        </is>
      </c>
      <c r="D1123" t="n">
        <v>243.33</v>
      </c>
      <c r="E1123" t="inlineStr">
        <is>
          <t>BBG00Y2M2680</t>
        </is>
      </c>
    </row>
    <row r="1124">
      <c r="A1124" t="inlineStr">
        <is>
          <t>BBG00WVD0PF4 Equity</t>
        </is>
      </c>
      <c r="B1124" t="inlineStr">
        <is>
          <t>TSLA US 09/16/22 P246.67</t>
        </is>
      </c>
      <c r="C1124" t="inlineStr">
        <is>
          <t>2022-09-16</t>
        </is>
      </c>
      <c r="D1124" t="n">
        <v>246.67</v>
      </c>
      <c r="E1124" t="inlineStr">
        <is>
          <t>BBG00WVD0PF4</t>
        </is>
      </c>
    </row>
    <row r="1125">
      <c r="A1125" t="inlineStr">
        <is>
          <t>BBG00X9B2R38 Equity</t>
        </is>
      </c>
      <c r="B1125" t="inlineStr">
        <is>
          <t>TSLA US 09/16/22 P250</t>
        </is>
      </c>
      <c r="C1125" t="inlineStr">
        <is>
          <t>2022-09-16</t>
        </is>
      </c>
      <c r="D1125" t="n">
        <v>250</v>
      </c>
      <c r="E1125" t="inlineStr">
        <is>
          <t>BBG00X9B2R38</t>
        </is>
      </c>
    </row>
    <row r="1126">
      <c r="A1126" t="inlineStr">
        <is>
          <t>BBG00WVD0QJ8 Equity</t>
        </is>
      </c>
      <c r="B1126" t="inlineStr">
        <is>
          <t>TSLA US 09/16/22 P253.33</t>
        </is>
      </c>
      <c r="C1126" t="inlineStr">
        <is>
          <t>2022-09-16</t>
        </is>
      </c>
      <c r="D1126" t="n">
        <v>253.33</v>
      </c>
      <c r="E1126" t="inlineStr">
        <is>
          <t>BBG00WVD0QJ8</t>
        </is>
      </c>
    </row>
    <row r="1127">
      <c r="A1127" t="inlineStr">
        <is>
          <t>BBG00Y9SJYT8 Equity</t>
        </is>
      </c>
      <c r="B1127" t="inlineStr">
        <is>
          <t>TSLA US 09/16/22 P256.67</t>
        </is>
      </c>
      <c r="C1127" t="inlineStr">
        <is>
          <t>2022-09-16</t>
        </is>
      </c>
      <c r="D1127" t="n">
        <v>256.67</v>
      </c>
      <c r="E1127" t="inlineStr">
        <is>
          <t>BBG00Y9SJYT8</t>
        </is>
      </c>
    </row>
    <row r="1128">
      <c r="A1128" t="inlineStr">
        <is>
          <t>BBG00WYDFDC5 Equity</t>
        </is>
      </c>
      <c r="B1128" t="inlineStr">
        <is>
          <t>TSLA US 09/16/22 P260</t>
        </is>
      </c>
      <c r="C1128" t="inlineStr">
        <is>
          <t>2022-09-16</t>
        </is>
      </c>
      <c r="D1128" t="n">
        <v>260</v>
      </c>
      <c r="E1128" t="inlineStr">
        <is>
          <t>BBG00WYDFDC5</t>
        </is>
      </c>
    </row>
    <row r="1129">
      <c r="A1129" t="inlineStr">
        <is>
          <t>BBG00Y9SJZY9 Equity</t>
        </is>
      </c>
      <c r="B1129" t="inlineStr">
        <is>
          <t>TSLA US 09/16/22 P263.33</t>
        </is>
      </c>
      <c r="C1129" t="inlineStr">
        <is>
          <t>2022-09-16</t>
        </is>
      </c>
      <c r="D1129" t="n">
        <v>263.33</v>
      </c>
      <c r="E1129" t="inlineStr">
        <is>
          <t>BBG00Y9SJZY9</t>
        </is>
      </c>
    </row>
    <row r="1130">
      <c r="A1130" t="inlineStr">
        <is>
          <t>BBG00WYDFFG6 Equity</t>
        </is>
      </c>
      <c r="B1130" t="inlineStr">
        <is>
          <t>TSLA US 09/16/22 P266.67</t>
        </is>
      </c>
      <c r="C1130" t="inlineStr">
        <is>
          <t>2022-09-16</t>
        </is>
      </c>
      <c r="D1130" t="n">
        <v>266.67</v>
      </c>
      <c r="E1130" t="inlineStr">
        <is>
          <t>BBG00WYDFFG6</t>
        </is>
      </c>
    </row>
    <row r="1131">
      <c r="A1131" t="inlineStr">
        <is>
          <t>BBG00Y9SK118 Equity</t>
        </is>
      </c>
      <c r="B1131" t="inlineStr">
        <is>
          <t>TSLA US 09/16/22 P270</t>
        </is>
      </c>
      <c r="C1131" t="inlineStr">
        <is>
          <t>2022-09-16</t>
        </is>
      </c>
      <c r="D1131" t="n">
        <v>270</v>
      </c>
      <c r="E1131" t="inlineStr">
        <is>
          <t>BBG00Y9SK118</t>
        </is>
      </c>
    </row>
    <row r="1132">
      <c r="A1132" t="inlineStr">
        <is>
          <t>BBG00WYDFGK9 Equity</t>
        </is>
      </c>
      <c r="B1132" t="inlineStr">
        <is>
          <t>TSLA US 09/16/22 P273.33</t>
        </is>
      </c>
      <c r="C1132" t="inlineStr">
        <is>
          <t>2022-09-16</t>
        </is>
      </c>
      <c r="D1132" t="n">
        <v>273.33</v>
      </c>
      <c r="E1132" t="inlineStr">
        <is>
          <t>BBG00WYDFGK9</t>
        </is>
      </c>
    </row>
    <row r="1133">
      <c r="A1133" t="inlineStr">
        <is>
          <t>BBG00Y9SK243 Equity</t>
        </is>
      </c>
      <c r="B1133" t="inlineStr">
        <is>
          <t>TSLA US 09/16/22 P276.67</t>
        </is>
      </c>
      <c r="C1133" t="inlineStr">
        <is>
          <t>2022-09-16</t>
        </is>
      </c>
      <c r="D1133" t="n">
        <v>276.67</v>
      </c>
      <c r="E1133" t="inlineStr">
        <is>
          <t>BBG00Y9SK243</t>
        </is>
      </c>
    </row>
    <row r="1134">
      <c r="A1134" t="inlineStr">
        <is>
          <t>BBG00WYDFHQ1 Equity</t>
        </is>
      </c>
      <c r="B1134" t="inlineStr">
        <is>
          <t>TSLA US 09/16/22 P280</t>
        </is>
      </c>
      <c r="C1134" t="inlineStr">
        <is>
          <t>2022-09-16</t>
        </is>
      </c>
      <c r="D1134" t="n">
        <v>280</v>
      </c>
      <c r="E1134" t="inlineStr">
        <is>
          <t>BBG00WYDFHQ1</t>
        </is>
      </c>
    </row>
    <row r="1135">
      <c r="A1135" t="inlineStr">
        <is>
          <t>BBG00X2R2RS3 Equity</t>
        </is>
      </c>
      <c r="B1135" t="inlineStr">
        <is>
          <t>TSLA US 09/16/22 P283.33</t>
        </is>
      </c>
      <c r="C1135" t="inlineStr">
        <is>
          <t>2022-09-16</t>
        </is>
      </c>
      <c r="D1135" t="n">
        <v>283.33</v>
      </c>
      <c r="E1135" t="inlineStr">
        <is>
          <t>BBG00X2R2RS3</t>
        </is>
      </c>
    </row>
    <row r="1136">
      <c r="A1136" t="inlineStr">
        <is>
          <t>BBG00Y9SK387 Equity</t>
        </is>
      </c>
      <c r="B1136" t="inlineStr">
        <is>
          <t>TSLA US 09/16/22 P286.67</t>
        </is>
      </c>
      <c r="C1136" t="inlineStr">
        <is>
          <t>2022-09-16</t>
        </is>
      </c>
      <c r="D1136" t="n">
        <v>286.67</v>
      </c>
      <c r="E1136" t="inlineStr">
        <is>
          <t>BBG00Y9SK387</t>
        </is>
      </c>
    </row>
    <row r="1137">
      <c r="A1137" t="inlineStr">
        <is>
          <t>BBG00X4L4JW5 Equity</t>
        </is>
      </c>
      <c r="B1137" t="inlineStr">
        <is>
          <t>TSLA US 09/16/22 P290</t>
        </is>
      </c>
      <c r="C1137" t="inlineStr">
        <is>
          <t>2022-09-16</t>
        </is>
      </c>
      <c r="D1137" t="n">
        <v>290</v>
      </c>
      <c r="E1137" t="inlineStr">
        <is>
          <t>BBG00X4L4JW5</t>
        </is>
      </c>
    </row>
    <row r="1138">
      <c r="A1138" t="inlineStr">
        <is>
          <t>BBG00X4L4L05 Equity</t>
        </is>
      </c>
      <c r="B1138" t="inlineStr">
        <is>
          <t>TSLA US 09/16/22 P293.33</t>
        </is>
      </c>
      <c r="C1138" t="inlineStr">
        <is>
          <t>2022-09-16</t>
        </is>
      </c>
      <c r="D1138" t="n">
        <v>293.33</v>
      </c>
      <c r="E1138" t="inlineStr">
        <is>
          <t>BBG00X4L4L05</t>
        </is>
      </c>
    </row>
    <row r="1139">
      <c r="A1139" t="inlineStr">
        <is>
          <t>BBG00X4L4M30 Equity</t>
        </is>
      </c>
      <c r="B1139" t="inlineStr">
        <is>
          <t>TSLA US 09/16/22 P296.67</t>
        </is>
      </c>
      <c r="C1139" t="inlineStr">
        <is>
          <t>2022-09-16</t>
        </is>
      </c>
      <c r="D1139" t="n">
        <v>296.67</v>
      </c>
      <c r="E1139" t="inlineStr">
        <is>
          <t>BBG00X4L4M30</t>
        </is>
      </c>
    </row>
    <row r="1140">
      <c r="A1140" t="inlineStr">
        <is>
          <t>BBG00X2R2SW6 Equity</t>
        </is>
      </c>
      <c r="B1140" t="inlineStr">
        <is>
          <t>TSLA US 09/16/22 P300</t>
        </is>
      </c>
      <c r="C1140" t="inlineStr">
        <is>
          <t>2022-09-16</t>
        </is>
      </c>
      <c r="D1140" t="n">
        <v>300</v>
      </c>
      <c r="E1140" t="inlineStr">
        <is>
          <t>BBG00X2R2SW6</t>
        </is>
      </c>
    </row>
    <row r="1141">
      <c r="A1141" t="inlineStr">
        <is>
          <t>BBG00X4L4N65 Equity</t>
        </is>
      </c>
      <c r="B1141" t="inlineStr">
        <is>
          <t>TSLA US 09/16/22 P303.33</t>
        </is>
      </c>
      <c r="C1141" t="inlineStr">
        <is>
          <t>2022-09-16</t>
        </is>
      </c>
      <c r="D1141" t="n">
        <v>303.33</v>
      </c>
      <c r="E1141" t="inlineStr">
        <is>
          <t>BBG00X4L4N65</t>
        </is>
      </c>
    </row>
    <row r="1142">
      <c r="A1142" t="inlineStr">
        <is>
          <t>BBG00X4L4PB4 Equity</t>
        </is>
      </c>
      <c r="B1142" t="inlineStr">
        <is>
          <t>TSLA US 09/16/22 P306.67</t>
        </is>
      </c>
      <c r="C1142" t="inlineStr">
        <is>
          <t>2022-09-16</t>
        </is>
      </c>
      <c r="D1142" t="n">
        <v>306.67</v>
      </c>
      <c r="E1142" t="inlineStr">
        <is>
          <t>BBG00X4L4PB4</t>
        </is>
      </c>
    </row>
    <row r="1143">
      <c r="A1143" t="inlineStr">
        <is>
          <t>BBG00X4L4QF8 Equity</t>
        </is>
      </c>
      <c r="B1143" t="inlineStr">
        <is>
          <t>TSLA US 09/16/22 P310</t>
        </is>
      </c>
      <c r="C1143" t="inlineStr">
        <is>
          <t>2022-09-16</t>
        </is>
      </c>
      <c r="D1143" t="n">
        <v>310</v>
      </c>
      <c r="E1143" t="inlineStr">
        <is>
          <t>BBG00X4L4QF8</t>
        </is>
      </c>
    </row>
    <row r="1144">
      <c r="A1144" t="inlineStr">
        <is>
          <t>BBG014PYR0M4 Equity</t>
        </is>
      </c>
      <c r="B1144" t="inlineStr">
        <is>
          <t>TSLA US 09/16/22 P311.67</t>
        </is>
      </c>
      <c r="C1144" t="inlineStr">
        <is>
          <t>2022-09-16</t>
        </is>
      </c>
      <c r="D1144" t="n">
        <v>311.67</v>
      </c>
      <c r="E1144" t="inlineStr">
        <is>
          <t>BBG014PYR0M4</t>
        </is>
      </c>
    </row>
    <row r="1145">
      <c r="A1145" t="inlineStr">
        <is>
          <t>BBG014PYR1Q8 Equity</t>
        </is>
      </c>
      <c r="B1145" t="inlineStr">
        <is>
          <t>TSLA US 09/16/22 P313.33</t>
        </is>
      </c>
      <c r="C1145" t="inlineStr">
        <is>
          <t>2022-09-16</t>
        </is>
      </c>
      <c r="D1145" t="n">
        <v>313.33</v>
      </c>
      <c r="E1145" t="inlineStr">
        <is>
          <t>BBG014PYR1Q8</t>
        </is>
      </c>
    </row>
    <row r="1146">
      <c r="A1146" t="inlineStr">
        <is>
          <t>BBG014PYR2T3 Equity</t>
        </is>
      </c>
      <c r="B1146" t="inlineStr">
        <is>
          <t>TSLA US 09/16/22 P315</t>
        </is>
      </c>
      <c r="C1146" t="inlineStr">
        <is>
          <t>2022-09-16</t>
        </is>
      </c>
      <c r="D1146" t="n">
        <v>315</v>
      </c>
      <c r="E1146" t="inlineStr">
        <is>
          <t>BBG014PYR2T3</t>
        </is>
      </c>
    </row>
    <row r="1147">
      <c r="A1147" t="inlineStr">
        <is>
          <t>BBG00X2R2TZ1 Equity</t>
        </is>
      </c>
      <c r="B1147" t="inlineStr">
        <is>
          <t>TSLA US 09/16/22 P316.67</t>
        </is>
      </c>
      <c r="C1147" t="inlineStr">
        <is>
          <t>2022-09-16</t>
        </is>
      </c>
      <c r="D1147" t="n">
        <v>316.67</v>
      </c>
      <c r="E1147" t="inlineStr">
        <is>
          <t>BBG00X2R2TZ1</t>
        </is>
      </c>
    </row>
    <row r="1148">
      <c r="A1148" t="inlineStr">
        <is>
          <t>BBG014PYR3Y5 Equity</t>
        </is>
      </c>
      <c r="B1148" t="inlineStr">
        <is>
          <t>TSLA US 09/16/22 P318.33</t>
        </is>
      </c>
      <c r="C1148" t="inlineStr">
        <is>
          <t>2022-09-16</t>
        </is>
      </c>
      <c r="D1148" t="n">
        <v>318.33</v>
      </c>
      <c r="E1148" t="inlineStr">
        <is>
          <t>BBG014PYR3Y5</t>
        </is>
      </c>
    </row>
    <row r="1149">
      <c r="A1149" t="inlineStr">
        <is>
          <t>BBG014PYR516 Equity</t>
        </is>
      </c>
      <c r="B1149" t="inlineStr">
        <is>
          <t>TSLA US 09/16/22 P320</t>
        </is>
      </c>
      <c r="C1149" t="inlineStr">
        <is>
          <t>2022-09-16</t>
        </is>
      </c>
      <c r="D1149" t="n">
        <v>320</v>
      </c>
      <c r="E1149" t="inlineStr">
        <is>
          <t>BBG014PYR516</t>
        </is>
      </c>
    </row>
    <row r="1150">
      <c r="A1150" t="inlineStr">
        <is>
          <t>BBG014PYR669 Equity</t>
        </is>
      </c>
      <c r="B1150" t="inlineStr">
        <is>
          <t>TSLA US 09/16/22 P321.67</t>
        </is>
      </c>
      <c r="C1150" t="inlineStr">
        <is>
          <t>2022-09-16</t>
        </is>
      </c>
      <c r="D1150" t="n">
        <v>321.67</v>
      </c>
      <c r="E1150" t="inlineStr">
        <is>
          <t>BBG014PYR669</t>
        </is>
      </c>
    </row>
    <row r="1151">
      <c r="A1151" t="inlineStr">
        <is>
          <t>BBG014PYR794 Equity</t>
        </is>
      </c>
      <c r="B1151" t="inlineStr">
        <is>
          <t>TSLA US 09/16/22 P323.33</t>
        </is>
      </c>
      <c r="C1151" t="inlineStr">
        <is>
          <t>2022-09-16</t>
        </is>
      </c>
      <c r="D1151" t="n">
        <v>323.33</v>
      </c>
      <c r="E1151" t="inlineStr">
        <is>
          <t>BBG014PYR794</t>
        </is>
      </c>
    </row>
    <row r="1152">
      <c r="A1152" t="inlineStr">
        <is>
          <t>BBG00YD3YQ27 Equity</t>
        </is>
      </c>
      <c r="B1152" t="inlineStr">
        <is>
          <t>TSLA US 09/16/22 P325</t>
        </is>
      </c>
      <c r="C1152" t="inlineStr">
        <is>
          <t>2022-09-16</t>
        </is>
      </c>
      <c r="D1152" t="n">
        <v>325</v>
      </c>
      <c r="E1152" t="inlineStr">
        <is>
          <t>BBG00YD3YQ27</t>
        </is>
      </c>
    </row>
    <row r="1153">
      <c r="A1153" t="inlineStr">
        <is>
          <t>BBG014PYR8D7 Equity</t>
        </is>
      </c>
      <c r="B1153" t="inlineStr">
        <is>
          <t>TSLA US 09/16/22 P326.67</t>
        </is>
      </c>
      <c r="C1153" t="inlineStr">
        <is>
          <t>2022-09-16</t>
        </is>
      </c>
      <c r="D1153" t="n">
        <v>326.67</v>
      </c>
      <c r="E1153" t="inlineStr">
        <is>
          <t>BBG014PYR8D7</t>
        </is>
      </c>
    </row>
    <row r="1154">
      <c r="A1154" t="inlineStr">
        <is>
          <t>BBG014PYR9K7 Equity</t>
        </is>
      </c>
      <c r="B1154" t="inlineStr">
        <is>
          <t>TSLA US 09/16/22 P328.33</t>
        </is>
      </c>
      <c r="C1154" t="inlineStr">
        <is>
          <t>2022-09-16</t>
        </is>
      </c>
      <c r="D1154" t="n">
        <v>328.33</v>
      </c>
      <c r="E1154" t="inlineStr">
        <is>
          <t>BBG014PYR9K7</t>
        </is>
      </c>
    </row>
    <row r="1155">
      <c r="A1155" t="inlineStr">
        <is>
          <t>BBG014PYRBN9 Equity</t>
        </is>
      </c>
      <c r="B1155" t="inlineStr">
        <is>
          <t>TSLA US 09/16/22 P330</t>
        </is>
      </c>
      <c r="C1155" t="inlineStr">
        <is>
          <t>2022-09-16</t>
        </is>
      </c>
      <c r="D1155" t="n">
        <v>330</v>
      </c>
      <c r="E1155" t="inlineStr">
        <is>
          <t>BBG014PYRBN9</t>
        </is>
      </c>
    </row>
    <row r="1156">
      <c r="A1156" t="inlineStr">
        <is>
          <t>BBG014PYRCR3 Equity</t>
        </is>
      </c>
      <c r="B1156" t="inlineStr">
        <is>
          <t>TSLA US 09/16/22 P331.67</t>
        </is>
      </c>
      <c r="C1156" t="inlineStr">
        <is>
          <t>2022-09-16</t>
        </is>
      </c>
      <c r="D1156" t="n">
        <v>331.67</v>
      </c>
      <c r="E1156" t="inlineStr">
        <is>
          <t>BBG014PYRCR3</t>
        </is>
      </c>
    </row>
    <row r="1157">
      <c r="A1157" t="inlineStr">
        <is>
          <t>BBG00X2R2W48 Equity</t>
        </is>
      </c>
      <c r="B1157" t="inlineStr">
        <is>
          <t>TSLA US 09/16/22 P333.33</t>
        </is>
      </c>
      <c r="C1157" t="inlineStr">
        <is>
          <t>2022-09-16</t>
        </is>
      </c>
      <c r="D1157" t="n">
        <v>333.33</v>
      </c>
      <c r="E1157" t="inlineStr">
        <is>
          <t>BBG00X2R2W48</t>
        </is>
      </c>
    </row>
    <row r="1158">
      <c r="A1158" t="inlineStr">
        <is>
          <t>BBG014PYRDY3 Equity</t>
        </is>
      </c>
      <c r="B1158" t="inlineStr">
        <is>
          <t>TSLA US 09/16/22 P335</t>
        </is>
      </c>
      <c r="C1158" t="inlineStr">
        <is>
          <t>2022-09-16</t>
        </is>
      </c>
      <c r="D1158" t="n">
        <v>335</v>
      </c>
      <c r="E1158" t="inlineStr">
        <is>
          <t>BBG014PYRDY3</t>
        </is>
      </c>
    </row>
    <row r="1159">
      <c r="A1159" t="inlineStr">
        <is>
          <t>BBG014PYRG12 Equity</t>
        </is>
      </c>
      <c r="B1159" t="inlineStr">
        <is>
          <t>TSLA US 09/16/22 P336.67</t>
        </is>
      </c>
      <c r="C1159" t="inlineStr">
        <is>
          <t>2022-09-16</t>
        </is>
      </c>
      <c r="D1159" t="n">
        <v>336.67</v>
      </c>
      <c r="E1159" t="inlineStr">
        <is>
          <t>BBG014PYRG12</t>
        </is>
      </c>
    </row>
    <row r="1160">
      <c r="A1160" t="inlineStr">
        <is>
          <t>BBG014PYRH47 Equity</t>
        </is>
      </c>
      <c r="B1160" t="inlineStr">
        <is>
          <t>TSLA US 09/16/22 P338.33</t>
        </is>
      </c>
      <c r="C1160" t="inlineStr">
        <is>
          <t>2022-09-16</t>
        </is>
      </c>
      <c r="D1160" t="n">
        <v>338.33</v>
      </c>
      <c r="E1160" t="inlineStr">
        <is>
          <t>BBG014PYRH47</t>
        </is>
      </c>
    </row>
    <row r="1161">
      <c r="A1161" t="inlineStr">
        <is>
          <t>BBG014PYRJB5 Equity</t>
        </is>
      </c>
      <c r="B1161" t="inlineStr">
        <is>
          <t>TSLA US 09/16/22 P340</t>
        </is>
      </c>
      <c r="C1161" t="inlineStr">
        <is>
          <t>2022-09-16</t>
        </is>
      </c>
      <c r="D1161" t="n">
        <v>340</v>
      </c>
      <c r="E1161" t="inlineStr">
        <is>
          <t>BBG014PYRJB5</t>
        </is>
      </c>
    </row>
    <row r="1162">
      <c r="A1162" t="inlineStr">
        <is>
          <t>BBG00YB60WT7 Equity</t>
        </is>
      </c>
      <c r="B1162" t="inlineStr">
        <is>
          <t>TSLA US 09/16/22 P341.67</t>
        </is>
      </c>
      <c r="C1162" t="inlineStr">
        <is>
          <t>2022-09-16</t>
        </is>
      </c>
      <c r="D1162" t="n">
        <v>341.67</v>
      </c>
      <c r="E1162" t="inlineStr">
        <is>
          <t>BBG00YB60WT7</t>
        </is>
      </c>
    </row>
    <row r="1163">
      <c r="A1163" t="inlineStr">
        <is>
          <t>BBG014PYRKF8 Equity</t>
        </is>
      </c>
      <c r="B1163" t="inlineStr">
        <is>
          <t>TSLA US 09/16/22 P343.33</t>
        </is>
      </c>
      <c r="C1163" t="inlineStr">
        <is>
          <t>2022-09-16</t>
        </is>
      </c>
      <c r="D1163" t="n">
        <v>343.33</v>
      </c>
      <c r="E1163" t="inlineStr">
        <is>
          <t>BBG014PYRKF8</t>
        </is>
      </c>
    </row>
    <row r="1164">
      <c r="A1164" t="inlineStr">
        <is>
          <t>BBG014PYRLJ2 Equity</t>
        </is>
      </c>
      <c r="B1164" t="inlineStr">
        <is>
          <t>TSLA US 09/16/22 P345</t>
        </is>
      </c>
      <c r="C1164" t="inlineStr">
        <is>
          <t>2022-09-16</t>
        </is>
      </c>
      <c r="D1164" t="n">
        <v>345</v>
      </c>
      <c r="E1164" t="inlineStr">
        <is>
          <t>BBG014PYRLJ2</t>
        </is>
      </c>
    </row>
    <row r="1165">
      <c r="A1165" t="inlineStr">
        <is>
          <t>BBG014PYRMN5 Equity</t>
        </is>
      </c>
      <c r="B1165" t="inlineStr">
        <is>
          <t>TSLA US 09/16/22 P346.67</t>
        </is>
      </c>
      <c r="C1165" t="inlineStr">
        <is>
          <t>2022-09-16</t>
        </is>
      </c>
      <c r="D1165" t="n">
        <v>346.67</v>
      </c>
      <c r="E1165" t="inlineStr">
        <is>
          <t>BBG014PYRMN5</t>
        </is>
      </c>
    </row>
    <row r="1166">
      <c r="A1166" t="inlineStr">
        <is>
          <t>BBG014PYRNR9 Equity</t>
        </is>
      </c>
      <c r="B1166" t="inlineStr">
        <is>
          <t>TSLA US 09/16/22 P348.33</t>
        </is>
      </c>
      <c r="C1166" t="inlineStr">
        <is>
          <t>2022-09-16</t>
        </is>
      </c>
      <c r="D1166" t="n">
        <v>348.33</v>
      </c>
      <c r="E1166" t="inlineStr">
        <is>
          <t>BBG014PYRNR9</t>
        </is>
      </c>
    </row>
    <row r="1167">
      <c r="A1167" t="inlineStr">
        <is>
          <t>BBG00YB60XY9 Equity</t>
        </is>
      </c>
      <c r="B1167" t="inlineStr">
        <is>
          <t>TSLA US 09/16/22 P350</t>
        </is>
      </c>
      <c r="C1167" t="inlineStr">
        <is>
          <t>2022-09-16</t>
        </is>
      </c>
      <c r="D1167" t="n">
        <v>350</v>
      </c>
      <c r="E1167" t="inlineStr">
        <is>
          <t>BBG00YB60XY9</t>
        </is>
      </c>
    </row>
    <row r="1168">
      <c r="A1168" t="inlineStr">
        <is>
          <t>BBG014PYRPV9 Equity</t>
        </is>
      </c>
      <c r="B1168" t="inlineStr">
        <is>
          <t>TSLA US 09/16/22 P351.67</t>
        </is>
      </c>
      <c r="C1168" t="inlineStr">
        <is>
          <t>2022-09-16</t>
        </is>
      </c>
      <c r="D1168" t="n">
        <v>351.67</v>
      </c>
      <c r="E1168" t="inlineStr">
        <is>
          <t>BBG014PYRPV9</t>
        </is>
      </c>
    </row>
    <row r="1169">
      <c r="A1169" t="inlineStr">
        <is>
          <t>BBG014PYRQZ3 Equity</t>
        </is>
      </c>
      <c r="B1169" t="inlineStr">
        <is>
          <t>TSLA US 09/16/22 P353.33</t>
        </is>
      </c>
      <c r="C1169" t="inlineStr">
        <is>
          <t>2022-09-16</t>
        </is>
      </c>
      <c r="D1169" t="n">
        <v>353.33</v>
      </c>
      <c r="E1169" t="inlineStr">
        <is>
          <t>BBG014PYRQZ3</t>
        </is>
      </c>
    </row>
    <row r="1170">
      <c r="A1170" t="inlineStr">
        <is>
          <t>BBG014PYRS25 Equity</t>
        </is>
      </c>
      <c r="B1170" t="inlineStr">
        <is>
          <t>TSLA US 09/16/22 P355</t>
        </is>
      </c>
      <c r="C1170" t="inlineStr">
        <is>
          <t>2022-09-16</t>
        </is>
      </c>
      <c r="D1170" t="n">
        <v>355</v>
      </c>
      <c r="E1170" t="inlineStr">
        <is>
          <t>BBG014PYRS25</t>
        </is>
      </c>
    </row>
    <row r="1171">
      <c r="A1171" t="inlineStr">
        <is>
          <t>BBG014PYRT50 Equity</t>
        </is>
      </c>
      <c r="B1171" t="inlineStr">
        <is>
          <t>TSLA US 09/16/22 P356.67</t>
        </is>
      </c>
      <c r="C1171" t="inlineStr">
        <is>
          <t>2022-09-16</t>
        </is>
      </c>
      <c r="D1171" t="n">
        <v>356.67</v>
      </c>
      <c r="E1171" t="inlineStr">
        <is>
          <t>BBG014PYRT50</t>
        </is>
      </c>
    </row>
    <row r="1172">
      <c r="A1172" t="inlineStr">
        <is>
          <t>BBG00YCFH1T6 Equity</t>
        </is>
      </c>
      <c r="B1172" t="inlineStr">
        <is>
          <t>TSLA US 09/16/22 P358.33</t>
        </is>
      </c>
      <c r="C1172" t="inlineStr">
        <is>
          <t>2022-09-16</t>
        </is>
      </c>
      <c r="D1172" t="n">
        <v>358.33</v>
      </c>
      <c r="E1172" t="inlineStr">
        <is>
          <t>BBG00YCFH1T6</t>
        </is>
      </c>
    </row>
    <row r="1173">
      <c r="A1173" t="inlineStr">
        <is>
          <t>BBG014PYRV91 Equity</t>
        </is>
      </c>
      <c r="B1173" t="inlineStr">
        <is>
          <t>TSLA US 09/16/22 P360</t>
        </is>
      </c>
      <c r="C1173" t="inlineStr">
        <is>
          <t>2022-09-16</t>
        </is>
      </c>
      <c r="D1173" t="n">
        <v>360</v>
      </c>
      <c r="E1173" t="inlineStr">
        <is>
          <t>BBG014PYRV91</t>
        </is>
      </c>
    </row>
    <row r="1174">
      <c r="A1174" t="inlineStr">
        <is>
          <t>BBG014PYRWD4 Equity</t>
        </is>
      </c>
      <c r="B1174" t="inlineStr">
        <is>
          <t>TSLA US 09/16/22 P361.67</t>
        </is>
      </c>
      <c r="C1174" t="inlineStr">
        <is>
          <t>2022-09-16</t>
        </is>
      </c>
      <c r="D1174" t="n">
        <v>361.67</v>
      </c>
      <c r="E1174" t="inlineStr">
        <is>
          <t>BBG014PYRWD4</t>
        </is>
      </c>
    </row>
    <row r="1175">
      <c r="A1175" t="inlineStr">
        <is>
          <t>BBG014PYRXH8 Equity</t>
        </is>
      </c>
      <c r="B1175" t="inlineStr">
        <is>
          <t>TSLA US 09/16/22 P363.33</t>
        </is>
      </c>
      <c r="C1175" t="inlineStr">
        <is>
          <t>2022-09-16</t>
        </is>
      </c>
      <c r="D1175" t="n">
        <v>363.33</v>
      </c>
      <c r="E1175" t="inlineStr">
        <is>
          <t>BBG014PYRXH8</t>
        </is>
      </c>
    </row>
    <row r="1176">
      <c r="A1176" t="inlineStr">
        <is>
          <t>BBG014PYRYM0 Equity</t>
        </is>
      </c>
      <c r="B1176" t="inlineStr">
        <is>
          <t>TSLA US 09/16/22 P365</t>
        </is>
      </c>
      <c r="C1176" t="inlineStr">
        <is>
          <t>2022-09-16</t>
        </is>
      </c>
      <c r="D1176" t="n">
        <v>365</v>
      </c>
      <c r="E1176" t="inlineStr">
        <is>
          <t>BBG014PYRYM0</t>
        </is>
      </c>
    </row>
    <row r="1177">
      <c r="A1177" t="inlineStr">
        <is>
          <t>BBG00YCFH2X9 Equity</t>
        </is>
      </c>
      <c r="B1177" t="inlineStr">
        <is>
          <t>TSLA US 09/16/22 P366.67</t>
        </is>
      </c>
      <c r="C1177" t="inlineStr">
        <is>
          <t>2022-09-16</t>
        </is>
      </c>
      <c r="D1177" t="n">
        <v>366.67</v>
      </c>
      <c r="E1177" t="inlineStr">
        <is>
          <t>BBG00YCFH2X9</t>
        </is>
      </c>
    </row>
    <row r="1178">
      <c r="A1178" t="inlineStr">
        <is>
          <t>BBG014PYRZQ3 Equity</t>
        </is>
      </c>
      <c r="B1178" t="inlineStr">
        <is>
          <t>TSLA US 09/16/22 P368.33</t>
        </is>
      </c>
      <c r="C1178" t="inlineStr">
        <is>
          <t>2022-09-16</t>
        </is>
      </c>
      <c r="D1178" t="n">
        <v>368.33</v>
      </c>
      <c r="E1178" t="inlineStr">
        <is>
          <t>BBG014PYRZQ3</t>
        </is>
      </c>
    </row>
    <row r="1179">
      <c r="A1179" t="inlineStr">
        <is>
          <t>BBG014PYS0T6 Equity</t>
        </is>
      </c>
      <c r="B1179" t="inlineStr">
        <is>
          <t>TSLA US 09/16/22 P370</t>
        </is>
      </c>
      <c r="C1179" t="inlineStr">
        <is>
          <t>2022-09-16</t>
        </is>
      </c>
      <c r="D1179" t="n">
        <v>370</v>
      </c>
      <c r="E1179" t="inlineStr">
        <is>
          <t>BBG014PYS0T6</t>
        </is>
      </c>
    </row>
    <row r="1180">
      <c r="A1180" t="inlineStr">
        <is>
          <t>BBG014PYS1Y8 Equity</t>
        </is>
      </c>
      <c r="B1180" t="inlineStr">
        <is>
          <t>TSLA US 09/16/22 P371.67</t>
        </is>
      </c>
      <c r="C1180" t="inlineStr">
        <is>
          <t>2022-09-16</t>
        </is>
      </c>
      <c r="D1180" t="n">
        <v>371.67</v>
      </c>
      <c r="E1180" t="inlineStr">
        <is>
          <t>BBG014PYS1Y8</t>
        </is>
      </c>
    </row>
    <row r="1181">
      <c r="A1181" t="inlineStr">
        <is>
          <t>BBG014PYS310 Equity</t>
        </is>
      </c>
      <c r="B1181" t="inlineStr">
        <is>
          <t>TSLA US 09/16/22 P373.33</t>
        </is>
      </c>
      <c r="C1181" t="inlineStr">
        <is>
          <t>2022-09-16</t>
        </is>
      </c>
      <c r="D1181" t="n">
        <v>373.33</v>
      </c>
      <c r="E1181" t="inlineStr">
        <is>
          <t>BBG014PYS310</t>
        </is>
      </c>
    </row>
    <row r="1182">
      <c r="A1182" t="inlineStr">
        <is>
          <t>BBG00YD3YR52 Equity</t>
        </is>
      </c>
      <c r="B1182" t="inlineStr">
        <is>
          <t>TSLA US 09/16/22 P375</t>
        </is>
      </c>
      <c r="C1182" t="inlineStr">
        <is>
          <t>2022-09-16</t>
        </is>
      </c>
      <c r="D1182" t="n">
        <v>375</v>
      </c>
      <c r="E1182" t="inlineStr">
        <is>
          <t>BBG00YD3YR52</t>
        </is>
      </c>
    </row>
    <row r="1183">
      <c r="A1183" t="inlineStr">
        <is>
          <t>BBG014PYS445 Equity</t>
        </is>
      </c>
      <c r="B1183" t="inlineStr">
        <is>
          <t>TSLA US 09/16/22 P376.67</t>
        </is>
      </c>
      <c r="C1183" t="inlineStr">
        <is>
          <t>2022-09-16</t>
        </is>
      </c>
      <c r="D1183" t="n">
        <v>376.67</v>
      </c>
      <c r="E1183" t="inlineStr">
        <is>
          <t>BBG014PYS445</t>
        </is>
      </c>
    </row>
    <row r="1184">
      <c r="A1184" t="inlineStr">
        <is>
          <t>BBG014PYS597 Equity</t>
        </is>
      </c>
      <c r="B1184" t="inlineStr">
        <is>
          <t>TSLA US 09/16/22 P378.33</t>
        </is>
      </c>
      <c r="C1184" t="inlineStr">
        <is>
          <t>2022-09-16</t>
        </is>
      </c>
      <c r="D1184" t="n">
        <v>378.33</v>
      </c>
      <c r="E1184" t="inlineStr">
        <is>
          <t>BBG014PYS597</t>
        </is>
      </c>
    </row>
    <row r="1185">
      <c r="A1185" t="inlineStr">
        <is>
          <t>BBG014PYS6D0 Equity</t>
        </is>
      </c>
      <c r="B1185" t="inlineStr">
        <is>
          <t>TSLA US 09/16/22 P380</t>
        </is>
      </c>
      <c r="C1185" t="inlineStr">
        <is>
          <t>2022-09-16</t>
        </is>
      </c>
      <c r="D1185" t="n">
        <v>380</v>
      </c>
      <c r="E1185" t="inlineStr">
        <is>
          <t>BBG014PYS6D0</t>
        </is>
      </c>
    </row>
    <row r="1186">
      <c r="A1186" t="inlineStr">
        <is>
          <t>BBG014PYS7H4 Equity</t>
        </is>
      </c>
      <c r="B1186" t="inlineStr">
        <is>
          <t>TSLA US 09/16/22 P381.67</t>
        </is>
      </c>
      <c r="C1186" t="inlineStr">
        <is>
          <t>2022-09-16</t>
        </is>
      </c>
      <c r="D1186" t="n">
        <v>381.67</v>
      </c>
      <c r="E1186" t="inlineStr">
        <is>
          <t>BBG014PYS7H4</t>
        </is>
      </c>
    </row>
    <row r="1187">
      <c r="A1187" t="inlineStr">
        <is>
          <t>BBG00YD3YS96 Equity</t>
        </is>
      </c>
      <c r="B1187" t="inlineStr">
        <is>
          <t>TSLA US 09/16/22 P383.33</t>
        </is>
      </c>
      <c r="C1187" t="inlineStr">
        <is>
          <t>2022-09-16</t>
        </is>
      </c>
      <c r="D1187" t="n">
        <v>383.33</v>
      </c>
      <c r="E1187" t="inlineStr">
        <is>
          <t>BBG00YD3YS96</t>
        </is>
      </c>
    </row>
    <row r="1188">
      <c r="A1188" t="inlineStr">
        <is>
          <t>BBG00YD3YTD9 Equity</t>
        </is>
      </c>
      <c r="B1188" t="inlineStr">
        <is>
          <t>TSLA US 09/16/22 P391.67</t>
        </is>
      </c>
      <c r="C1188" t="inlineStr">
        <is>
          <t>2022-09-16</t>
        </is>
      </c>
      <c r="D1188" t="n">
        <v>391.67</v>
      </c>
      <c r="E1188" t="inlineStr">
        <is>
          <t>BBG00YD3YTD9</t>
        </is>
      </c>
    </row>
    <row r="1189">
      <c r="A1189" t="inlineStr">
        <is>
          <t>BBG00YD3YVH0 Equity</t>
        </is>
      </c>
      <c r="B1189" t="inlineStr">
        <is>
          <t>TSLA US 09/16/22 P400</t>
        </is>
      </c>
      <c r="C1189" t="inlineStr">
        <is>
          <t>2022-09-16</t>
        </is>
      </c>
      <c r="D1189" t="n">
        <v>400</v>
      </c>
      <c r="E1189" t="inlineStr">
        <is>
          <t>BBG00YD3YVH0</t>
        </is>
      </c>
    </row>
    <row r="1190">
      <c r="A1190" t="inlineStr">
        <is>
          <t>BBG00YGHZQS4 Equity</t>
        </is>
      </c>
      <c r="B1190" t="inlineStr">
        <is>
          <t>TSLA US 09/16/22 P408.33</t>
        </is>
      </c>
      <c r="C1190" t="inlineStr">
        <is>
          <t>2022-09-16</t>
        </is>
      </c>
      <c r="D1190" t="n">
        <v>408.33</v>
      </c>
      <c r="E1190" t="inlineStr">
        <is>
          <t>BBG00YGHZQS4</t>
        </is>
      </c>
    </row>
    <row r="1191">
      <c r="A1191" t="inlineStr">
        <is>
          <t>BBG00YGHZRW7 Equity</t>
        </is>
      </c>
      <c r="B1191" t="inlineStr">
        <is>
          <t>TSLA US 09/16/22 P416.67</t>
        </is>
      </c>
      <c r="C1191" t="inlineStr">
        <is>
          <t>2022-09-16</t>
        </is>
      </c>
      <c r="D1191" t="n">
        <v>416.67</v>
      </c>
      <c r="E1191" t="inlineStr">
        <is>
          <t>BBG00YGHZRW7</t>
        </is>
      </c>
    </row>
    <row r="1192">
      <c r="A1192" t="inlineStr">
        <is>
          <t>BBG00YGHZT26 Equity</t>
        </is>
      </c>
      <c r="B1192" t="inlineStr">
        <is>
          <t>TSLA US 09/16/22 P425</t>
        </is>
      </c>
      <c r="C1192" t="inlineStr">
        <is>
          <t>2022-09-16</t>
        </is>
      </c>
      <c r="D1192" t="n">
        <v>425</v>
      </c>
      <c r="E1192" t="inlineStr">
        <is>
          <t>BBG00YGHZT26</t>
        </is>
      </c>
    </row>
    <row r="1193">
      <c r="A1193" t="inlineStr">
        <is>
          <t>BBG00YGHZV58 Equity</t>
        </is>
      </c>
      <c r="B1193" t="inlineStr">
        <is>
          <t>TSLA US 09/16/22 P433.33</t>
        </is>
      </c>
      <c r="C1193" t="inlineStr">
        <is>
          <t>2022-09-16</t>
        </is>
      </c>
      <c r="D1193" t="n">
        <v>433.33</v>
      </c>
      <c r="E1193" t="inlineStr">
        <is>
          <t>BBG00YGHZV58</t>
        </is>
      </c>
    </row>
    <row r="1194">
      <c r="A1194" t="inlineStr">
        <is>
          <t>BBG00YR942P0 Equity</t>
        </is>
      </c>
      <c r="B1194" t="inlineStr">
        <is>
          <t>TSLA US 09/16/22 P441.67</t>
        </is>
      </c>
      <c r="C1194" t="inlineStr">
        <is>
          <t>2022-09-16</t>
        </is>
      </c>
      <c r="D1194" t="n">
        <v>441.67</v>
      </c>
      <c r="E1194" t="inlineStr">
        <is>
          <t>BBG00YR942P0</t>
        </is>
      </c>
    </row>
    <row r="1195">
      <c r="A1195" t="inlineStr">
        <is>
          <t>BBG00YR943S5 Equity</t>
        </is>
      </c>
      <c r="B1195" t="inlineStr">
        <is>
          <t>TSLA US 09/16/22 P450</t>
        </is>
      </c>
      <c r="C1195" t="inlineStr">
        <is>
          <t>2022-09-16</t>
        </is>
      </c>
      <c r="D1195" t="n">
        <v>450</v>
      </c>
      <c r="E1195" t="inlineStr">
        <is>
          <t>BBG00YR943S5</t>
        </is>
      </c>
    </row>
    <row r="1196">
      <c r="A1196" t="inlineStr">
        <is>
          <t>BBG00YR944W8 Equity</t>
        </is>
      </c>
      <c r="B1196" t="inlineStr">
        <is>
          <t>TSLA US 09/16/22 P458.33</t>
        </is>
      </c>
      <c r="C1196" t="inlineStr">
        <is>
          <t>2022-09-16</t>
        </is>
      </c>
      <c r="D1196" t="n">
        <v>458.33</v>
      </c>
      <c r="E1196" t="inlineStr">
        <is>
          <t>BBG00YR944W8</t>
        </is>
      </c>
    </row>
    <row r="1197">
      <c r="A1197" t="inlineStr">
        <is>
          <t>BBG00YR94608 Equity</t>
        </is>
      </c>
      <c r="B1197" t="inlineStr">
        <is>
          <t>TSLA US 09/16/22 P466.67</t>
        </is>
      </c>
      <c r="C1197" t="inlineStr">
        <is>
          <t>2022-09-16</t>
        </is>
      </c>
      <c r="D1197" t="n">
        <v>466.67</v>
      </c>
      <c r="E1197" t="inlineStr">
        <is>
          <t>BBG00YR94608</t>
        </is>
      </c>
    </row>
    <row r="1198">
      <c r="A1198" t="inlineStr">
        <is>
          <t>BBG014D1QSC0 Equity</t>
        </is>
      </c>
      <c r="B1198" t="inlineStr">
        <is>
          <t>TSLA US 10/21/22 P183.33</t>
        </is>
      </c>
      <c r="C1198" t="inlineStr">
        <is>
          <t>2022-10-21</t>
        </is>
      </c>
      <c r="D1198" t="n">
        <v>183.33</v>
      </c>
      <c r="E1198" t="inlineStr">
        <is>
          <t>BBG014D1QSC0</t>
        </is>
      </c>
    </row>
    <row r="1199">
      <c r="A1199" t="inlineStr">
        <is>
          <t>BBG017FXF677 Equity</t>
        </is>
      </c>
      <c r="B1199" t="inlineStr">
        <is>
          <t>TSLA US 10/21/22 P186.67</t>
        </is>
      </c>
      <c r="C1199" t="inlineStr">
        <is>
          <t>2022-10-21</t>
        </is>
      </c>
      <c r="D1199" t="n">
        <v>186.67</v>
      </c>
      <c r="E1199" t="inlineStr">
        <is>
          <t>BBG017FXF677</t>
        </is>
      </c>
    </row>
    <row r="1200">
      <c r="A1200" t="inlineStr">
        <is>
          <t>BBG017R3L1P4 Equity</t>
        </is>
      </c>
      <c r="B1200" t="inlineStr">
        <is>
          <t>TSLA US 10/21/22 P190</t>
        </is>
      </c>
      <c r="C1200" t="inlineStr">
        <is>
          <t>2022-10-21</t>
        </is>
      </c>
      <c r="D1200" t="n">
        <v>190</v>
      </c>
      <c r="E1200" t="inlineStr">
        <is>
          <t>BBG017R3L1P4</t>
        </is>
      </c>
    </row>
    <row r="1201">
      <c r="A1201" t="inlineStr">
        <is>
          <t>BBG017FXF7G5 Equity</t>
        </is>
      </c>
      <c r="B1201" t="inlineStr">
        <is>
          <t>TSLA US 10/21/22 P193.33</t>
        </is>
      </c>
      <c r="C1201" t="inlineStr">
        <is>
          <t>2022-10-21</t>
        </is>
      </c>
      <c r="D1201" t="n">
        <v>193.33</v>
      </c>
      <c r="E1201" t="inlineStr">
        <is>
          <t>BBG017FXF7G5</t>
        </is>
      </c>
    </row>
    <row r="1202">
      <c r="A1202" t="inlineStr">
        <is>
          <t>BBG017R3L2S9 Equity</t>
        </is>
      </c>
      <c r="B1202" t="inlineStr">
        <is>
          <t>TSLA US 10/21/22 P196.67</t>
        </is>
      </c>
      <c r="C1202" t="inlineStr">
        <is>
          <t>2022-10-21</t>
        </is>
      </c>
      <c r="D1202" t="n">
        <v>196.67</v>
      </c>
      <c r="E1202" t="inlineStr">
        <is>
          <t>BBG017R3L2S9</t>
        </is>
      </c>
    </row>
    <row r="1203">
      <c r="A1203" t="inlineStr">
        <is>
          <t>BBG014D1QTG4 Equity</t>
        </is>
      </c>
      <c r="B1203" t="inlineStr">
        <is>
          <t>TSLA US 10/21/22 P200</t>
        </is>
      </c>
      <c r="C1203" t="inlineStr">
        <is>
          <t>2022-10-21</t>
        </is>
      </c>
      <c r="D1203" t="n">
        <v>200</v>
      </c>
      <c r="E1203" t="inlineStr">
        <is>
          <t>BBG014D1QTG4</t>
        </is>
      </c>
    </row>
    <row r="1204">
      <c r="A1204" t="inlineStr">
        <is>
          <t>BBG017R3L3W2 Equity</t>
        </is>
      </c>
      <c r="B1204" t="inlineStr">
        <is>
          <t>TSLA US 10/21/22 P203.33</t>
        </is>
      </c>
      <c r="C1204" t="inlineStr">
        <is>
          <t>2022-10-21</t>
        </is>
      </c>
      <c r="D1204" t="n">
        <v>203.33</v>
      </c>
      <c r="E1204" t="inlineStr">
        <is>
          <t>BBG017R3L3W2</t>
        </is>
      </c>
    </row>
    <row r="1205">
      <c r="A1205" t="inlineStr">
        <is>
          <t>BBG019QN4ZG1 Equity</t>
        </is>
      </c>
      <c r="B1205" t="inlineStr">
        <is>
          <t>TSLA US 10/21/22 P205</t>
        </is>
      </c>
      <c r="C1205" t="inlineStr">
        <is>
          <t>2022-10-21</t>
        </is>
      </c>
      <c r="D1205" t="n">
        <v>205</v>
      </c>
      <c r="E1205" t="inlineStr">
        <is>
          <t>BBG019QN4ZG1</t>
        </is>
      </c>
    </row>
    <row r="1206">
      <c r="A1206" t="inlineStr">
        <is>
          <t>BBG017FXF8K8 Equity</t>
        </is>
      </c>
      <c r="B1206" t="inlineStr">
        <is>
          <t>TSLA US 10/21/22 P206.67</t>
        </is>
      </c>
      <c r="C1206" t="inlineStr">
        <is>
          <t>2022-10-21</t>
        </is>
      </c>
      <c r="D1206" t="n">
        <v>206.67</v>
      </c>
      <c r="E1206" t="inlineStr">
        <is>
          <t>BBG017FXF8K8</t>
        </is>
      </c>
    </row>
    <row r="1207">
      <c r="A1207" t="inlineStr">
        <is>
          <t>BBG017R3L511 Equity</t>
        </is>
      </c>
      <c r="B1207" t="inlineStr">
        <is>
          <t>TSLA US 10/21/22 P210</t>
        </is>
      </c>
      <c r="C1207" t="inlineStr">
        <is>
          <t>2022-10-21</t>
        </is>
      </c>
      <c r="D1207" t="n">
        <v>210</v>
      </c>
      <c r="E1207" t="inlineStr">
        <is>
          <t>BBG017R3L511</t>
        </is>
      </c>
    </row>
    <row r="1208">
      <c r="A1208" t="inlineStr">
        <is>
          <t>BBG017FXF9N3 Equity</t>
        </is>
      </c>
      <c r="B1208" t="inlineStr">
        <is>
          <t>TSLA US 10/21/22 P213.33</t>
        </is>
      </c>
      <c r="C1208" t="inlineStr">
        <is>
          <t>2022-10-21</t>
        </is>
      </c>
      <c r="D1208" t="n">
        <v>213.33</v>
      </c>
      <c r="E1208" t="inlineStr">
        <is>
          <t>BBG017FXF9N3</t>
        </is>
      </c>
    </row>
    <row r="1209">
      <c r="A1209" t="inlineStr">
        <is>
          <t>BBG019QN50K2 Equity</t>
        </is>
      </c>
      <c r="B1209" t="inlineStr">
        <is>
          <t>TSLA US 10/21/22 P215</t>
        </is>
      </c>
      <c r="C1209" t="inlineStr">
        <is>
          <t>2022-10-21</t>
        </is>
      </c>
      <c r="D1209" t="n">
        <v>215</v>
      </c>
      <c r="E1209" t="inlineStr">
        <is>
          <t>BBG019QN50K2</t>
        </is>
      </c>
    </row>
    <row r="1210">
      <c r="A1210" t="inlineStr">
        <is>
          <t>BBG014D1QVL3 Equity</t>
        </is>
      </c>
      <c r="B1210" t="inlineStr">
        <is>
          <t>TSLA US 10/21/22 P216.67</t>
        </is>
      </c>
      <c r="C1210" t="inlineStr">
        <is>
          <t>2022-10-21</t>
        </is>
      </c>
      <c r="D1210" t="n">
        <v>216.67</v>
      </c>
      <c r="E1210" t="inlineStr">
        <is>
          <t>BBG014D1QVL3</t>
        </is>
      </c>
    </row>
    <row r="1211">
      <c r="A1211" t="inlineStr">
        <is>
          <t>BBG017FXFBW8 Equity</t>
        </is>
      </c>
      <c r="B1211" t="inlineStr">
        <is>
          <t>TSLA US 10/21/22 P220</t>
        </is>
      </c>
      <c r="C1211" t="inlineStr">
        <is>
          <t>2022-10-21</t>
        </is>
      </c>
      <c r="D1211" t="n">
        <v>220</v>
      </c>
      <c r="E1211" t="inlineStr">
        <is>
          <t>BBG017FXFBW8</t>
        </is>
      </c>
    </row>
    <row r="1212">
      <c r="A1212" t="inlineStr">
        <is>
          <t>BBG017R3L646 Equity</t>
        </is>
      </c>
      <c r="B1212" t="inlineStr">
        <is>
          <t>TSLA US 10/21/22 P223.33</t>
        </is>
      </c>
      <c r="C1212" t="inlineStr">
        <is>
          <t>2022-10-21</t>
        </is>
      </c>
      <c r="D1212" t="n">
        <v>223.33</v>
      </c>
      <c r="E1212" t="inlineStr">
        <is>
          <t>BBG017R3L646</t>
        </is>
      </c>
    </row>
    <row r="1213">
      <c r="A1213" t="inlineStr">
        <is>
          <t>BBG019QN51N7 Equity</t>
        </is>
      </c>
      <c r="B1213" t="inlineStr">
        <is>
          <t>TSLA US 10/21/22 P225</t>
        </is>
      </c>
      <c r="C1213" t="inlineStr">
        <is>
          <t>2022-10-21</t>
        </is>
      </c>
      <c r="D1213" t="n">
        <v>225</v>
      </c>
      <c r="E1213" t="inlineStr">
        <is>
          <t>BBG019QN51N7</t>
        </is>
      </c>
    </row>
    <row r="1214">
      <c r="A1214" t="inlineStr">
        <is>
          <t>BBG017FXFCZ3 Equity</t>
        </is>
      </c>
      <c r="B1214" t="inlineStr">
        <is>
          <t>TSLA US 10/21/22 P226.67</t>
        </is>
      </c>
      <c r="C1214" t="inlineStr">
        <is>
          <t>2022-10-21</t>
        </is>
      </c>
      <c r="D1214" t="n">
        <v>226.67</v>
      </c>
      <c r="E1214" t="inlineStr">
        <is>
          <t>BBG017FXFCZ3</t>
        </is>
      </c>
    </row>
    <row r="1215">
      <c r="A1215" t="inlineStr">
        <is>
          <t>BBG017R3L771 Equity</t>
        </is>
      </c>
      <c r="B1215" t="inlineStr">
        <is>
          <t>TSLA US 10/21/22 P230</t>
        </is>
      </c>
      <c r="C1215" t="inlineStr">
        <is>
          <t>2022-10-21</t>
        </is>
      </c>
      <c r="D1215" t="n">
        <v>230</v>
      </c>
      <c r="E1215" t="inlineStr">
        <is>
          <t>BBG017R3L771</t>
        </is>
      </c>
    </row>
    <row r="1216">
      <c r="A1216" t="inlineStr">
        <is>
          <t>BBG014D1QWP7 Equity</t>
        </is>
      </c>
      <c r="B1216" t="inlineStr">
        <is>
          <t>TSLA US 10/21/22 P233.33</t>
        </is>
      </c>
      <c r="C1216" t="inlineStr">
        <is>
          <t>2022-10-21</t>
        </is>
      </c>
      <c r="D1216" t="n">
        <v>233.33</v>
      </c>
      <c r="E1216" t="inlineStr">
        <is>
          <t>BBG014D1QWP7</t>
        </is>
      </c>
    </row>
    <row r="1217">
      <c r="A1217" t="inlineStr">
        <is>
          <t>BBG019QN52S0 Equity</t>
        </is>
      </c>
      <c r="B1217" t="inlineStr">
        <is>
          <t>TSLA US 10/21/22 P235</t>
        </is>
      </c>
      <c r="C1217" t="inlineStr">
        <is>
          <t>2022-10-21</t>
        </is>
      </c>
      <c r="D1217" t="n">
        <v>235</v>
      </c>
      <c r="E1217" t="inlineStr">
        <is>
          <t>BBG019QN52S0</t>
        </is>
      </c>
    </row>
    <row r="1218">
      <c r="A1218" t="inlineStr">
        <is>
          <t>BBG017R3L8F0 Equity</t>
        </is>
      </c>
      <c r="B1218" t="inlineStr">
        <is>
          <t>TSLA US 10/21/22 P236.67</t>
        </is>
      </c>
      <c r="C1218" t="inlineStr">
        <is>
          <t>2022-10-21</t>
        </is>
      </c>
      <c r="D1218" t="n">
        <v>236.67</v>
      </c>
      <c r="E1218" t="inlineStr">
        <is>
          <t>BBG017R3L8F0</t>
        </is>
      </c>
    </row>
    <row r="1219">
      <c r="A1219" t="inlineStr">
        <is>
          <t>BBG017FXFF22 Equity</t>
        </is>
      </c>
      <c r="B1219" t="inlineStr">
        <is>
          <t>TSLA US 10/21/22 P240</t>
        </is>
      </c>
      <c r="C1219" t="inlineStr">
        <is>
          <t>2022-10-21</t>
        </is>
      </c>
      <c r="D1219" t="n">
        <v>240</v>
      </c>
      <c r="E1219" t="inlineStr">
        <is>
          <t>BBG017FXFF22</t>
        </is>
      </c>
    </row>
    <row r="1220">
      <c r="A1220" t="inlineStr">
        <is>
          <t>BBG017R3L9J4 Equity</t>
        </is>
      </c>
      <c r="B1220" t="inlineStr">
        <is>
          <t>TSLA US 10/21/22 P243.33</t>
        </is>
      </c>
      <c r="C1220" t="inlineStr">
        <is>
          <t>2022-10-21</t>
        </is>
      </c>
      <c r="D1220" t="n">
        <v>243.33</v>
      </c>
      <c r="E1220" t="inlineStr">
        <is>
          <t>BBG017R3L9J4</t>
        </is>
      </c>
    </row>
    <row r="1221">
      <c r="A1221" t="inlineStr">
        <is>
          <t>BBG019QN53W3 Equity</t>
        </is>
      </c>
      <c r="B1221" t="inlineStr">
        <is>
          <t>TSLA US 10/21/22 P245</t>
        </is>
      </c>
      <c r="C1221" t="inlineStr">
        <is>
          <t>2022-10-21</t>
        </is>
      </c>
      <c r="D1221" t="n">
        <v>245</v>
      </c>
      <c r="E1221" t="inlineStr">
        <is>
          <t>BBG019QN53W3</t>
        </is>
      </c>
    </row>
    <row r="1222">
      <c r="A1222" t="inlineStr">
        <is>
          <t>BBG017FXFGB0 Equity</t>
        </is>
      </c>
      <c r="B1222" t="inlineStr">
        <is>
          <t>TSLA US 10/21/22 P246.67</t>
        </is>
      </c>
      <c r="C1222" t="inlineStr">
        <is>
          <t>2022-10-21</t>
        </is>
      </c>
      <c r="D1222" t="n">
        <v>246.67</v>
      </c>
      <c r="E1222" t="inlineStr">
        <is>
          <t>BBG017FXFGB0</t>
        </is>
      </c>
    </row>
    <row r="1223">
      <c r="A1223" t="inlineStr">
        <is>
          <t>BBG014D1QXS2 Equity</t>
        </is>
      </c>
      <c r="B1223" t="inlineStr">
        <is>
          <t>TSLA US 10/21/22 P250</t>
        </is>
      </c>
      <c r="C1223" t="inlineStr">
        <is>
          <t>2022-10-21</t>
        </is>
      </c>
      <c r="D1223" t="n">
        <v>250</v>
      </c>
      <c r="E1223" t="inlineStr">
        <is>
          <t>BBG014D1QXS2</t>
        </is>
      </c>
    </row>
    <row r="1224">
      <c r="A1224" t="inlineStr">
        <is>
          <t>BBG017FXFHF4 Equity</t>
        </is>
      </c>
      <c r="B1224" t="inlineStr">
        <is>
          <t>TSLA US 10/21/22 P253.33</t>
        </is>
      </c>
      <c r="C1224" t="inlineStr">
        <is>
          <t>2022-10-21</t>
        </is>
      </c>
      <c r="D1224" t="n">
        <v>253.33</v>
      </c>
      <c r="E1224" t="inlineStr">
        <is>
          <t>BBG017FXFHF4</t>
        </is>
      </c>
    </row>
    <row r="1225">
      <c r="A1225" t="inlineStr">
        <is>
          <t>BBG019QN54Z8 Equity</t>
        </is>
      </c>
      <c r="B1225" t="inlineStr">
        <is>
          <t>TSLA US 10/21/22 P255</t>
        </is>
      </c>
      <c r="C1225" t="inlineStr">
        <is>
          <t>2022-10-21</t>
        </is>
      </c>
      <c r="D1225" t="n">
        <v>255</v>
      </c>
      <c r="E1225" t="inlineStr">
        <is>
          <t>BBG019QN54Z8</t>
        </is>
      </c>
    </row>
    <row r="1226">
      <c r="A1226" t="inlineStr">
        <is>
          <t>BBG017R3LBM5 Equity</t>
        </is>
      </c>
      <c r="B1226" t="inlineStr">
        <is>
          <t>TSLA US 10/21/22 P256.67</t>
        </is>
      </c>
      <c r="C1226" t="inlineStr">
        <is>
          <t>2022-10-21</t>
        </is>
      </c>
      <c r="D1226" t="n">
        <v>256.67</v>
      </c>
      <c r="E1226" t="inlineStr">
        <is>
          <t>BBG017R3LBM5</t>
        </is>
      </c>
    </row>
    <row r="1227">
      <c r="A1227" t="inlineStr">
        <is>
          <t>BBG017FXFJP9 Equity</t>
        </is>
      </c>
      <c r="B1227" t="inlineStr">
        <is>
          <t>TSLA US 10/21/22 P260</t>
        </is>
      </c>
      <c r="C1227" t="inlineStr">
        <is>
          <t>2022-10-21</t>
        </is>
      </c>
      <c r="D1227" t="n">
        <v>260</v>
      </c>
      <c r="E1227" t="inlineStr">
        <is>
          <t>BBG017FXFJP9</t>
        </is>
      </c>
    </row>
    <row r="1228">
      <c r="A1228" t="inlineStr">
        <is>
          <t>BBG017R3LCS7 Equity</t>
        </is>
      </c>
      <c r="B1228" t="inlineStr">
        <is>
          <t>TSLA US 10/21/22 P263.33</t>
        </is>
      </c>
      <c r="C1228" t="inlineStr">
        <is>
          <t>2022-10-21</t>
        </is>
      </c>
      <c r="D1228" t="n">
        <v>263.33</v>
      </c>
      <c r="E1228" t="inlineStr">
        <is>
          <t>BBG017R3LCS7</t>
        </is>
      </c>
    </row>
    <row r="1229">
      <c r="A1229" t="inlineStr">
        <is>
          <t>BBG019QN5638 Equity</t>
        </is>
      </c>
      <c r="B1229" t="inlineStr">
        <is>
          <t>TSLA US 10/21/22 P265</t>
        </is>
      </c>
      <c r="C1229" t="inlineStr">
        <is>
          <t>2022-10-21</t>
        </is>
      </c>
      <c r="D1229" t="n">
        <v>265</v>
      </c>
      <c r="E1229" t="inlineStr">
        <is>
          <t>BBG019QN5638</t>
        </is>
      </c>
    </row>
    <row r="1230">
      <c r="A1230" t="inlineStr">
        <is>
          <t>BBG014D1QYX4 Equity</t>
        </is>
      </c>
      <c r="B1230" t="inlineStr">
        <is>
          <t>TSLA US 10/21/22 P266.67</t>
        </is>
      </c>
      <c r="C1230" t="inlineStr">
        <is>
          <t>2022-10-21</t>
        </is>
      </c>
      <c r="D1230" t="n">
        <v>266.67</v>
      </c>
      <c r="E1230" t="inlineStr">
        <is>
          <t>BBG014D1QYX4</t>
        </is>
      </c>
    </row>
    <row r="1231">
      <c r="A1231" t="inlineStr">
        <is>
          <t>BBG019CD70K7 Equity</t>
        </is>
      </c>
      <c r="B1231" t="inlineStr">
        <is>
          <t>TSLA US 10/21/22 P270</t>
        </is>
      </c>
      <c r="C1231" t="inlineStr">
        <is>
          <t>2022-10-21</t>
        </is>
      </c>
      <c r="D1231" t="n">
        <v>270</v>
      </c>
      <c r="E1231" t="inlineStr">
        <is>
          <t>BBG019CD70K7</t>
        </is>
      </c>
    </row>
    <row r="1232">
      <c r="A1232" t="inlineStr">
        <is>
          <t>BBG017FXFKS3 Equity</t>
        </is>
      </c>
      <c r="B1232" t="inlineStr">
        <is>
          <t>TSLA US 10/21/22 P273.33</t>
        </is>
      </c>
      <c r="C1232" t="inlineStr">
        <is>
          <t>2022-10-21</t>
        </is>
      </c>
      <c r="D1232" t="n">
        <v>273.33</v>
      </c>
      <c r="E1232" t="inlineStr">
        <is>
          <t>BBG017FXFKS3</t>
        </is>
      </c>
    </row>
    <row r="1233">
      <c r="A1233" t="inlineStr">
        <is>
          <t>BBG019QN5763 Equity</t>
        </is>
      </c>
      <c r="B1233" t="inlineStr">
        <is>
          <t>TSLA US 10/21/22 P275</t>
        </is>
      </c>
      <c r="C1233" t="inlineStr">
        <is>
          <t>2022-10-21</t>
        </is>
      </c>
      <c r="D1233" t="n">
        <v>275</v>
      </c>
      <c r="E1233" t="inlineStr">
        <is>
          <t>BBG019QN5763</t>
        </is>
      </c>
    </row>
    <row r="1234">
      <c r="A1234" t="inlineStr">
        <is>
          <t>BBG0198P5SN3 Equity</t>
        </is>
      </c>
      <c r="B1234" t="inlineStr">
        <is>
          <t>TSLA US 10/21/22 P276.67</t>
        </is>
      </c>
      <c r="C1234" t="inlineStr">
        <is>
          <t>2022-10-21</t>
        </is>
      </c>
      <c r="D1234" t="n">
        <v>276.67</v>
      </c>
      <c r="E1234" t="inlineStr">
        <is>
          <t>BBG0198P5SN3</t>
        </is>
      </c>
    </row>
    <row r="1235">
      <c r="A1235" t="inlineStr">
        <is>
          <t>BBG0198P5TS6 Equity</t>
        </is>
      </c>
      <c r="B1235" t="inlineStr">
        <is>
          <t>TSLA US 10/21/22 P278.33</t>
        </is>
      </c>
      <c r="C1235" t="inlineStr">
        <is>
          <t>2022-10-21</t>
        </is>
      </c>
      <c r="D1235" t="n">
        <v>278.33</v>
      </c>
      <c r="E1235" t="inlineStr">
        <is>
          <t>BBG0198P5TS6</t>
        </is>
      </c>
    </row>
    <row r="1236">
      <c r="A1236" t="inlineStr">
        <is>
          <t>BBG017FXFLW6 Equity</t>
        </is>
      </c>
      <c r="B1236" t="inlineStr">
        <is>
          <t>TSLA US 10/21/22 P280</t>
        </is>
      </c>
      <c r="C1236" t="inlineStr">
        <is>
          <t>2022-10-21</t>
        </is>
      </c>
      <c r="D1236" t="n">
        <v>280</v>
      </c>
      <c r="E1236" t="inlineStr">
        <is>
          <t>BBG017FXFLW6</t>
        </is>
      </c>
    </row>
    <row r="1237">
      <c r="A1237" t="inlineStr">
        <is>
          <t>BBG0198P5VW6 Equity</t>
        </is>
      </c>
      <c r="B1237" t="inlineStr">
        <is>
          <t>TSLA US 10/21/22 P281.67</t>
        </is>
      </c>
      <c r="C1237" t="inlineStr">
        <is>
          <t>2022-10-21</t>
        </is>
      </c>
      <c r="D1237" t="n">
        <v>281.67</v>
      </c>
      <c r="E1237" t="inlineStr">
        <is>
          <t>BBG0198P5VW6</t>
        </is>
      </c>
    </row>
    <row r="1238">
      <c r="A1238" t="inlineStr">
        <is>
          <t>BBG014D1R003 Equity</t>
        </is>
      </c>
      <c r="B1238" t="inlineStr">
        <is>
          <t>TSLA US 10/21/22 P283.33</t>
        </is>
      </c>
      <c r="C1238" t="inlineStr">
        <is>
          <t>2022-10-21</t>
        </is>
      </c>
      <c r="D1238" t="n">
        <v>283.33</v>
      </c>
      <c r="E1238" t="inlineStr">
        <is>
          <t>BBG014D1R003</t>
        </is>
      </c>
    </row>
    <row r="1239">
      <c r="A1239" t="inlineStr">
        <is>
          <t>BBG0198P5WZ1 Equity</t>
        </is>
      </c>
      <c r="B1239" t="inlineStr">
        <is>
          <t>TSLA US 10/21/22 P285</t>
        </is>
      </c>
      <c r="C1239" t="inlineStr">
        <is>
          <t>2022-10-21</t>
        </is>
      </c>
      <c r="D1239" t="n">
        <v>285</v>
      </c>
      <c r="E1239" t="inlineStr">
        <is>
          <t>BBG0198P5WZ1</t>
        </is>
      </c>
    </row>
    <row r="1240">
      <c r="A1240" t="inlineStr">
        <is>
          <t>BBG017FXFN43 Equity</t>
        </is>
      </c>
      <c r="B1240" t="inlineStr">
        <is>
          <t>TSLA US 10/21/22 P286.67</t>
        </is>
      </c>
      <c r="C1240" t="inlineStr">
        <is>
          <t>2022-10-21</t>
        </is>
      </c>
      <c r="D1240" t="n">
        <v>286.67</v>
      </c>
      <c r="E1240" t="inlineStr">
        <is>
          <t>BBG017FXFN43</t>
        </is>
      </c>
    </row>
    <row r="1241">
      <c r="A1241" t="inlineStr">
        <is>
          <t>BBG0198P5Y32 Equity</t>
        </is>
      </c>
      <c r="B1241" t="inlineStr">
        <is>
          <t>TSLA US 10/21/22 P288.33</t>
        </is>
      </c>
      <c r="C1241" t="inlineStr">
        <is>
          <t>2022-10-21</t>
        </is>
      </c>
      <c r="D1241" t="n">
        <v>288.33</v>
      </c>
      <c r="E1241" t="inlineStr">
        <is>
          <t>BBG0198P5Y32</t>
        </is>
      </c>
    </row>
    <row r="1242">
      <c r="A1242" t="inlineStr">
        <is>
          <t>BBG0198P5Z66 Equity</t>
        </is>
      </c>
      <c r="B1242" t="inlineStr">
        <is>
          <t>TSLA US 10/21/22 P290</t>
        </is>
      </c>
      <c r="C1242" t="inlineStr">
        <is>
          <t>2022-10-21</t>
        </is>
      </c>
      <c r="D1242" t="n">
        <v>290</v>
      </c>
      <c r="E1242" t="inlineStr">
        <is>
          <t>BBG0198P5Z66</t>
        </is>
      </c>
    </row>
    <row r="1243">
      <c r="A1243" t="inlineStr">
        <is>
          <t>BBG0198P6099 Equity</t>
        </is>
      </c>
      <c r="B1243" t="inlineStr">
        <is>
          <t>TSLA US 10/21/22 P291.67</t>
        </is>
      </c>
      <c r="C1243" t="inlineStr">
        <is>
          <t>2022-10-21</t>
        </is>
      </c>
      <c r="D1243" t="n">
        <v>291.67</v>
      </c>
      <c r="E1243" t="inlineStr">
        <is>
          <t>BBG0198P6099</t>
        </is>
      </c>
    </row>
    <row r="1244">
      <c r="A1244" t="inlineStr">
        <is>
          <t>BBG019QN5898 Equity</t>
        </is>
      </c>
      <c r="B1244" t="inlineStr">
        <is>
          <t>TSLA US 10/21/22 P292.5</t>
        </is>
      </c>
      <c r="C1244" t="inlineStr">
        <is>
          <t>2022-10-21</t>
        </is>
      </c>
      <c r="D1244" t="n">
        <v>292.5</v>
      </c>
      <c r="E1244" t="inlineStr">
        <is>
          <t>BBG019QN5898</t>
        </is>
      </c>
    </row>
    <row r="1245">
      <c r="A1245" t="inlineStr">
        <is>
          <t>BBG017FXFP75 Equity</t>
        </is>
      </c>
      <c r="B1245" t="inlineStr">
        <is>
          <t>TSLA US 10/21/22 P293.33</t>
        </is>
      </c>
      <c r="C1245" t="inlineStr">
        <is>
          <t>2022-10-21</t>
        </is>
      </c>
      <c r="D1245" t="n">
        <v>293.33</v>
      </c>
      <c r="E1245" t="inlineStr">
        <is>
          <t>BBG017FXFP75</t>
        </is>
      </c>
    </row>
    <row r="1246">
      <c r="A1246" t="inlineStr">
        <is>
          <t>BBG0198P61F0 Equity</t>
        </is>
      </c>
      <c r="B1246" t="inlineStr">
        <is>
          <t>TSLA US 10/21/22 P295</t>
        </is>
      </c>
      <c r="C1246" t="inlineStr">
        <is>
          <t>2022-10-21</t>
        </is>
      </c>
      <c r="D1246" t="n">
        <v>295</v>
      </c>
      <c r="E1246" t="inlineStr">
        <is>
          <t>BBG0198P61F0</t>
        </is>
      </c>
    </row>
    <row r="1247">
      <c r="A1247" t="inlineStr">
        <is>
          <t>BBG0198P62J4 Equity</t>
        </is>
      </c>
      <c r="B1247" t="inlineStr">
        <is>
          <t>TSLA US 10/21/22 P296.67</t>
        </is>
      </c>
      <c r="C1247" t="inlineStr">
        <is>
          <t>2022-10-21</t>
        </is>
      </c>
      <c r="D1247" t="n">
        <v>296.67</v>
      </c>
      <c r="E1247" t="inlineStr">
        <is>
          <t>BBG0198P62J4</t>
        </is>
      </c>
    </row>
    <row r="1248">
      <c r="A1248" t="inlineStr">
        <is>
          <t>BBG0198P63M8 Equity</t>
        </is>
      </c>
      <c r="B1248" t="inlineStr">
        <is>
          <t>TSLA US 10/21/22 P298.33</t>
        </is>
      </c>
      <c r="C1248" t="inlineStr">
        <is>
          <t>2022-10-21</t>
        </is>
      </c>
      <c r="D1248" t="n">
        <v>298.33</v>
      </c>
      <c r="E1248" t="inlineStr">
        <is>
          <t>BBG0198P63M8</t>
        </is>
      </c>
    </row>
    <row r="1249">
      <c r="A1249" t="inlineStr">
        <is>
          <t>BBG014D1R138 Equity</t>
        </is>
      </c>
      <c r="B1249" t="inlineStr">
        <is>
          <t>TSLA US 10/21/22 P300</t>
        </is>
      </c>
      <c r="C1249" t="inlineStr">
        <is>
          <t>2022-10-21</t>
        </is>
      </c>
      <c r="D1249" t="n">
        <v>300</v>
      </c>
      <c r="E1249" t="inlineStr">
        <is>
          <t>BBG014D1R138</t>
        </is>
      </c>
    </row>
    <row r="1250">
      <c r="A1250" t="inlineStr">
        <is>
          <t>BBG0198P64R1 Equity</t>
        </is>
      </c>
      <c r="B1250" t="inlineStr">
        <is>
          <t>TSLA US 10/21/22 P301.67</t>
        </is>
      </c>
      <c r="C1250" t="inlineStr">
        <is>
          <t>2022-10-21</t>
        </is>
      </c>
      <c r="D1250" t="n">
        <v>301.67</v>
      </c>
      <c r="E1250" t="inlineStr">
        <is>
          <t>BBG0198P64R1</t>
        </is>
      </c>
    </row>
    <row r="1251">
      <c r="A1251" t="inlineStr">
        <is>
          <t>BBG0198P65V3 Equity</t>
        </is>
      </c>
      <c r="B1251" t="inlineStr">
        <is>
          <t>TSLA US 10/21/22 P303.33</t>
        </is>
      </c>
      <c r="C1251" t="inlineStr">
        <is>
          <t>2022-10-21</t>
        </is>
      </c>
      <c r="D1251" t="n">
        <v>303.33</v>
      </c>
      <c r="E1251" t="inlineStr">
        <is>
          <t>BBG0198P65V3</t>
        </is>
      </c>
    </row>
    <row r="1252">
      <c r="A1252" t="inlineStr">
        <is>
          <t>BBG0198P66Y8 Equity</t>
        </is>
      </c>
      <c r="B1252" t="inlineStr">
        <is>
          <t>TSLA US 10/21/22 P305</t>
        </is>
      </c>
      <c r="C1252" t="inlineStr">
        <is>
          <t>2022-10-21</t>
        </is>
      </c>
      <c r="D1252" t="n">
        <v>305</v>
      </c>
      <c r="E1252" t="inlineStr">
        <is>
          <t>BBG0198P66Y8</t>
        </is>
      </c>
    </row>
    <row r="1253">
      <c r="A1253" t="inlineStr">
        <is>
          <t>BBG017FXFQB8 Equity</t>
        </is>
      </c>
      <c r="B1253" t="inlineStr">
        <is>
          <t>TSLA US 10/21/22 P306.67</t>
        </is>
      </c>
      <c r="C1253" t="inlineStr">
        <is>
          <t>2022-10-21</t>
        </is>
      </c>
      <c r="D1253" t="n">
        <v>306.67</v>
      </c>
      <c r="E1253" t="inlineStr">
        <is>
          <t>BBG017FXFQB8</t>
        </is>
      </c>
    </row>
    <row r="1254">
      <c r="A1254" t="inlineStr">
        <is>
          <t>BBG0198P6829 Equity</t>
        </is>
      </c>
      <c r="B1254" t="inlineStr">
        <is>
          <t>TSLA US 10/21/22 P308.33</t>
        </is>
      </c>
      <c r="C1254" t="inlineStr">
        <is>
          <t>2022-10-21</t>
        </is>
      </c>
      <c r="D1254" t="n">
        <v>308.33</v>
      </c>
      <c r="E1254" t="inlineStr">
        <is>
          <t>BBG0198P6829</t>
        </is>
      </c>
    </row>
    <row r="1255">
      <c r="A1255" t="inlineStr">
        <is>
          <t>BBG0198P6954 Equity</t>
        </is>
      </c>
      <c r="B1255" t="inlineStr">
        <is>
          <t>TSLA US 10/21/22 P310</t>
        </is>
      </c>
      <c r="C1255" t="inlineStr">
        <is>
          <t>2022-10-21</t>
        </is>
      </c>
      <c r="D1255" t="n">
        <v>310</v>
      </c>
      <c r="E1255" t="inlineStr">
        <is>
          <t>BBG0198P6954</t>
        </is>
      </c>
    </row>
    <row r="1256">
      <c r="A1256" t="inlineStr">
        <is>
          <t>BBG0198P6B86 Equity</t>
        </is>
      </c>
      <c r="B1256" t="inlineStr">
        <is>
          <t>TSLA US 10/21/22 P311.67</t>
        </is>
      </c>
      <c r="C1256" t="inlineStr">
        <is>
          <t>2022-10-21</t>
        </is>
      </c>
      <c r="D1256" t="n">
        <v>311.67</v>
      </c>
      <c r="E1256" t="inlineStr">
        <is>
          <t>BBG0198P6B86</t>
        </is>
      </c>
    </row>
    <row r="1257">
      <c r="A1257" t="inlineStr">
        <is>
          <t>BBG017FXFRK6 Equity</t>
        </is>
      </c>
      <c r="B1257" t="inlineStr">
        <is>
          <t>TSLA US 10/21/22 P313.33</t>
        </is>
      </c>
      <c r="C1257" t="inlineStr">
        <is>
          <t>2022-10-21</t>
        </is>
      </c>
      <c r="D1257" t="n">
        <v>313.33</v>
      </c>
      <c r="E1257" t="inlineStr">
        <is>
          <t>BBG017FXFRK6</t>
        </is>
      </c>
    </row>
    <row r="1258">
      <c r="A1258" t="inlineStr">
        <is>
          <t>BBG0198P6CD8 Equity</t>
        </is>
      </c>
      <c r="B1258" t="inlineStr">
        <is>
          <t>TSLA US 10/21/22 P315</t>
        </is>
      </c>
      <c r="C1258" t="inlineStr">
        <is>
          <t>2022-10-21</t>
        </is>
      </c>
      <c r="D1258" t="n">
        <v>315</v>
      </c>
      <c r="E1258" t="inlineStr">
        <is>
          <t>BBG0198P6CD8</t>
        </is>
      </c>
    </row>
    <row r="1259">
      <c r="A1259" t="inlineStr">
        <is>
          <t>BBG014D1SHN0 Equity</t>
        </is>
      </c>
      <c r="B1259" t="inlineStr">
        <is>
          <t>TSLA US 11/18/22 P183.33</t>
        </is>
      </c>
      <c r="C1259" t="inlineStr">
        <is>
          <t>2022-11-18</t>
        </is>
      </c>
      <c r="D1259" t="n">
        <v>183.33</v>
      </c>
      <c r="E1259" t="inlineStr">
        <is>
          <t>BBG014D1SHN0</t>
        </is>
      </c>
    </row>
    <row r="1260">
      <c r="A1260" t="inlineStr">
        <is>
          <t>BBG017FXGHM5 Equity</t>
        </is>
      </c>
      <c r="B1260" t="inlineStr">
        <is>
          <t>TSLA US 11/18/22 P186.67</t>
        </is>
      </c>
      <c r="C1260" t="inlineStr">
        <is>
          <t>2022-11-18</t>
        </is>
      </c>
      <c r="D1260" t="n">
        <v>186.67</v>
      </c>
      <c r="E1260" t="inlineStr">
        <is>
          <t>BBG017FXGHM5</t>
        </is>
      </c>
    </row>
    <row r="1261">
      <c r="A1261" t="inlineStr">
        <is>
          <t>BBG017R3LH51 Equity</t>
        </is>
      </c>
      <c r="B1261" t="inlineStr">
        <is>
          <t>TSLA US 11/18/22 P190</t>
        </is>
      </c>
      <c r="C1261" t="inlineStr">
        <is>
          <t>2022-11-18</t>
        </is>
      </c>
      <c r="D1261" t="n">
        <v>190</v>
      </c>
      <c r="E1261" t="inlineStr">
        <is>
          <t>BBG017R3LH51</t>
        </is>
      </c>
    </row>
    <row r="1262">
      <c r="A1262" t="inlineStr">
        <is>
          <t>BBG017FXGJV1 Equity</t>
        </is>
      </c>
      <c r="B1262" t="inlineStr">
        <is>
          <t>TSLA US 11/18/22 P193.33</t>
        </is>
      </c>
      <c r="C1262" t="inlineStr">
        <is>
          <t>2022-11-18</t>
        </is>
      </c>
      <c r="D1262" t="n">
        <v>193.33</v>
      </c>
      <c r="E1262" t="inlineStr">
        <is>
          <t>BBG017FXGJV1</t>
        </is>
      </c>
    </row>
    <row r="1263">
      <c r="A1263" t="inlineStr">
        <is>
          <t>BBG019P3SW59 Equity</t>
        </is>
      </c>
      <c r="B1263" t="inlineStr">
        <is>
          <t>TSLA US 11/18/22 P195</t>
        </is>
      </c>
      <c r="C1263" t="inlineStr">
        <is>
          <t>2022-11-18</t>
        </is>
      </c>
      <c r="D1263" t="n">
        <v>195</v>
      </c>
      <c r="E1263" t="inlineStr">
        <is>
          <t>BBG019P3SW59</t>
        </is>
      </c>
    </row>
    <row r="1264">
      <c r="A1264" t="inlineStr">
        <is>
          <t>BBG017R3LJ84 Equity</t>
        </is>
      </c>
      <c r="B1264" t="inlineStr">
        <is>
          <t>TSLA US 11/18/22 P196.67</t>
        </is>
      </c>
      <c r="C1264" t="inlineStr">
        <is>
          <t>2022-11-18</t>
        </is>
      </c>
      <c r="D1264" t="n">
        <v>196.67</v>
      </c>
      <c r="E1264" t="inlineStr">
        <is>
          <t>BBG017R3LJ84</t>
        </is>
      </c>
    </row>
    <row r="1265">
      <c r="A1265" t="inlineStr">
        <is>
          <t>BBG014D1SJV7 Equity</t>
        </is>
      </c>
      <c r="B1265" t="inlineStr">
        <is>
          <t>TSLA US 11/18/22 P200</t>
        </is>
      </c>
      <c r="C1265" t="inlineStr">
        <is>
          <t>2022-11-18</t>
        </is>
      </c>
      <c r="D1265" t="n">
        <v>200</v>
      </c>
      <c r="E1265" t="inlineStr">
        <is>
          <t>BBG014D1SJV7</t>
        </is>
      </c>
    </row>
    <row r="1266">
      <c r="A1266" t="inlineStr">
        <is>
          <t>BBG017R3LKC6 Equity</t>
        </is>
      </c>
      <c r="B1266" t="inlineStr">
        <is>
          <t>TSLA US 11/18/22 P203.33</t>
        </is>
      </c>
      <c r="C1266" t="inlineStr">
        <is>
          <t>2022-11-18</t>
        </is>
      </c>
      <c r="D1266" t="n">
        <v>203.33</v>
      </c>
      <c r="E1266" t="inlineStr">
        <is>
          <t>BBG017R3LKC6</t>
        </is>
      </c>
    </row>
    <row r="1267">
      <c r="A1267" t="inlineStr">
        <is>
          <t>BBG019P3SX93 Equity</t>
        </is>
      </c>
      <c r="B1267" t="inlineStr">
        <is>
          <t>TSLA US 11/18/22 P205</t>
        </is>
      </c>
      <c r="C1267" t="inlineStr">
        <is>
          <t>2022-11-18</t>
        </is>
      </c>
      <c r="D1267" t="n">
        <v>205</v>
      </c>
      <c r="E1267" t="inlineStr">
        <is>
          <t>BBG019P3SX93</t>
        </is>
      </c>
    </row>
    <row r="1268">
      <c r="A1268" t="inlineStr">
        <is>
          <t>BBG017FXGKY5 Equity</t>
        </is>
      </c>
      <c r="B1268" t="inlineStr">
        <is>
          <t>TSLA US 11/18/22 P206.67</t>
        </is>
      </c>
      <c r="C1268" t="inlineStr">
        <is>
          <t>2022-11-18</t>
        </is>
      </c>
      <c r="D1268" t="n">
        <v>206.67</v>
      </c>
      <c r="E1268" t="inlineStr">
        <is>
          <t>BBG017FXGKY5</t>
        </is>
      </c>
    </row>
    <row r="1269">
      <c r="A1269" t="inlineStr">
        <is>
          <t>BBG017R3LLK5 Equity</t>
        </is>
      </c>
      <c r="B1269" t="inlineStr">
        <is>
          <t>TSLA US 11/18/22 P210</t>
        </is>
      </c>
      <c r="C1269" t="inlineStr">
        <is>
          <t>2022-11-18</t>
        </is>
      </c>
      <c r="D1269" t="n">
        <v>210</v>
      </c>
      <c r="E1269" t="inlineStr">
        <is>
          <t>BBG017R3LLK5</t>
        </is>
      </c>
    </row>
    <row r="1270">
      <c r="A1270" t="inlineStr">
        <is>
          <t>BBG017FXGM17 Equity</t>
        </is>
      </c>
      <c r="B1270" t="inlineStr">
        <is>
          <t>TSLA US 11/18/22 P213.33</t>
        </is>
      </c>
      <c r="C1270" t="inlineStr">
        <is>
          <t>2022-11-18</t>
        </is>
      </c>
      <c r="D1270" t="n">
        <v>213.33</v>
      </c>
      <c r="E1270" t="inlineStr">
        <is>
          <t>BBG017FXGM17</t>
        </is>
      </c>
    </row>
    <row r="1271">
      <c r="A1271" t="inlineStr">
        <is>
          <t>BBG019P3SYD6 Equity</t>
        </is>
      </c>
      <c r="B1271" t="inlineStr">
        <is>
          <t>TSLA US 11/18/22 P215</t>
        </is>
      </c>
      <c r="C1271" t="inlineStr">
        <is>
          <t>2022-11-18</t>
        </is>
      </c>
      <c r="D1271" t="n">
        <v>215</v>
      </c>
      <c r="E1271" t="inlineStr">
        <is>
          <t>BBG019P3SYD6</t>
        </is>
      </c>
    </row>
    <row r="1272">
      <c r="A1272" t="inlineStr">
        <is>
          <t>BBG014D1SKY1 Equity</t>
        </is>
      </c>
      <c r="B1272" t="inlineStr">
        <is>
          <t>TSLA US 11/18/22 P216.67</t>
        </is>
      </c>
      <c r="C1272" t="inlineStr">
        <is>
          <t>2022-11-18</t>
        </is>
      </c>
      <c r="D1272" t="n">
        <v>216.67</v>
      </c>
      <c r="E1272" t="inlineStr">
        <is>
          <t>BBG014D1SKY1</t>
        </is>
      </c>
    </row>
    <row r="1273">
      <c r="A1273" t="inlineStr">
        <is>
          <t>BBG017FXGN60 Equity</t>
        </is>
      </c>
      <c r="B1273" t="inlineStr">
        <is>
          <t>TSLA US 11/18/22 P220</t>
        </is>
      </c>
      <c r="C1273" t="inlineStr">
        <is>
          <t>2022-11-18</t>
        </is>
      </c>
      <c r="D1273" t="n">
        <v>220</v>
      </c>
      <c r="E1273" t="inlineStr">
        <is>
          <t>BBG017FXGN60</t>
        </is>
      </c>
    </row>
    <row r="1274">
      <c r="A1274" t="inlineStr">
        <is>
          <t>BBG017R3LMN0 Equity</t>
        </is>
      </c>
      <c r="B1274" t="inlineStr">
        <is>
          <t>TSLA US 11/18/22 P223.33</t>
        </is>
      </c>
      <c r="C1274" t="inlineStr">
        <is>
          <t>2022-11-18</t>
        </is>
      </c>
      <c r="D1274" t="n">
        <v>223.33</v>
      </c>
      <c r="E1274" t="inlineStr">
        <is>
          <t>BBG017R3LMN0</t>
        </is>
      </c>
    </row>
    <row r="1275">
      <c r="A1275" t="inlineStr">
        <is>
          <t>BBG019P3SZH9 Equity</t>
        </is>
      </c>
      <c r="B1275" t="inlineStr">
        <is>
          <t>TSLA US 11/18/22 P225</t>
        </is>
      </c>
      <c r="C1275" t="inlineStr">
        <is>
          <t>2022-11-18</t>
        </is>
      </c>
      <c r="D1275" t="n">
        <v>225</v>
      </c>
      <c r="E1275" t="inlineStr">
        <is>
          <t>BBG019P3SZH9</t>
        </is>
      </c>
    </row>
    <row r="1276">
      <c r="A1276" t="inlineStr">
        <is>
          <t>BBG017FXGP92 Equity</t>
        </is>
      </c>
      <c r="B1276" t="inlineStr">
        <is>
          <t>TSLA US 11/18/22 P226.67</t>
        </is>
      </c>
      <c r="C1276" t="inlineStr">
        <is>
          <t>2022-11-18</t>
        </is>
      </c>
      <c r="D1276" t="n">
        <v>226.67</v>
      </c>
      <c r="E1276" t="inlineStr">
        <is>
          <t>BBG017FXGP92</t>
        </is>
      </c>
    </row>
    <row r="1277">
      <c r="A1277" t="inlineStr">
        <is>
          <t>BBG017R3LNR4 Equity</t>
        </is>
      </c>
      <c r="B1277" t="inlineStr">
        <is>
          <t>TSLA US 11/18/22 P230</t>
        </is>
      </c>
      <c r="C1277" t="inlineStr">
        <is>
          <t>2022-11-18</t>
        </is>
      </c>
      <c r="D1277" t="n">
        <v>230</v>
      </c>
      <c r="E1277" t="inlineStr">
        <is>
          <t>BBG017R3LNR4</t>
        </is>
      </c>
    </row>
    <row r="1278">
      <c r="A1278" t="inlineStr">
        <is>
          <t>BBG014D1SM13 Equity</t>
        </is>
      </c>
      <c r="B1278" t="inlineStr">
        <is>
          <t>TSLA US 11/18/22 P233.33</t>
        </is>
      </c>
      <c r="C1278" t="inlineStr">
        <is>
          <t>2022-11-18</t>
        </is>
      </c>
      <c r="D1278" t="n">
        <v>233.33</v>
      </c>
      <c r="E1278" t="inlineStr">
        <is>
          <t>BBG014D1SM13</t>
        </is>
      </c>
    </row>
    <row r="1279">
      <c r="A1279" t="inlineStr">
        <is>
          <t>BBG019P3T0M9 Equity</t>
        </is>
      </c>
      <c r="B1279" t="inlineStr">
        <is>
          <t>TSLA US 11/18/22 P235</t>
        </is>
      </c>
      <c r="C1279" t="inlineStr">
        <is>
          <t>2022-11-18</t>
        </is>
      </c>
      <c r="D1279" t="n">
        <v>235</v>
      </c>
      <c r="E1279" t="inlineStr">
        <is>
          <t>BBG019P3T0M9</t>
        </is>
      </c>
    </row>
    <row r="1280">
      <c r="A1280" t="inlineStr">
        <is>
          <t>BBG017R3LPX2 Equity</t>
        </is>
      </c>
      <c r="B1280" t="inlineStr">
        <is>
          <t>TSLA US 11/18/22 P236.67</t>
        </is>
      </c>
      <c r="C1280" t="inlineStr">
        <is>
          <t>2022-11-18</t>
        </is>
      </c>
      <c r="D1280" t="n">
        <v>236.67</v>
      </c>
      <c r="E1280" t="inlineStr">
        <is>
          <t>BBG017R3LPX2</t>
        </is>
      </c>
    </row>
    <row r="1281">
      <c r="A1281" t="inlineStr">
        <is>
          <t>BBG017FXGQD5 Equity</t>
        </is>
      </c>
      <c r="B1281" t="inlineStr">
        <is>
          <t>TSLA US 11/18/22 P240</t>
        </is>
      </c>
      <c r="C1281" t="inlineStr">
        <is>
          <t>2022-11-18</t>
        </is>
      </c>
      <c r="D1281" t="n">
        <v>240</v>
      </c>
      <c r="E1281" t="inlineStr">
        <is>
          <t>BBG017FXGQD5</t>
        </is>
      </c>
    </row>
    <row r="1282">
      <c r="A1282" t="inlineStr">
        <is>
          <t>BBG017R3LR04 Equity</t>
        </is>
      </c>
      <c r="B1282" t="inlineStr">
        <is>
          <t>TSLA US 11/18/22 P243.33</t>
        </is>
      </c>
      <c r="C1282" t="inlineStr">
        <is>
          <t>2022-11-18</t>
        </is>
      </c>
      <c r="D1282" t="n">
        <v>243.33</v>
      </c>
      <c r="E1282" t="inlineStr">
        <is>
          <t>BBG017R3LR04</t>
        </is>
      </c>
    </row>
    <row r="1283">
      <c r="A1283" t="inlineStr">
        <is>
          <t>BBG019P3T1Q3 Equity</t>
        </is>
      </c>
      <c r="B1283" t="inlineStr">
        <is>
          <t>TSLA US 11/18/22 P245</t>
        </is>
      </c>
      <c r="C1283" t="inlineStr">
        <is>
          <t>2022-11-18</t>
        </is>
      </c>
      <c r="D1283" t="n">
        <v>245</v>
      </c>
      <c r="E1283" t="inlineStr">
        <is>
          <t>BBG019P3T1Q3</t>
        </is>
      </c>
    </row>
    <row r="1284">
      <c r="A1284" t="inlineStr">
        <is>
          <t>BBG017FXGRM3 Equity</t>
        </is>
      </c>
      <c r="B1284" t="inlineStr">
        <is>
          <t>TSLA US 11/18/22 P246.67</t>
        </is>
      </c>
      <c r="C1284" t="inlineStr">
        <is>
          <t>2022-11-18</t>
        </is>
      </c>
      <c r="D1284" t="n">
        <v>246.67</v>
      </c>
      <c r="E1284" t="inlineStr">
        <is>
          <t>BBG017FXGRM3</t>
        </is>
      </c>
    </row>
    <row r="1285">
      <c r="A1285" t="inlineStr">
        <is>
          <t>BBG014D1SN66 Equity</t>
        </is>
      </c>
      <c r="B1285" t="inlineStr">
        <is>
          <t>TSLA US 11/18/22 P250</t>
        </is>
      </c>
      <c r="C1285" t="inlineStr">
        <is>
          <t>2022-11-18</t>
        </is>
      </c>
      <c r="D1285" t="n">
        <v>250</v>
      </c>
      <c r="E1285" t="inlineStr">
        <is>
          <t>BBG014D1SN66</t>
        </is>
      </c>
    </row>
    <row r="1286">
      <c r="A1286" t="inlineStr">
        <is>
          <t>BBG017FXGSQ7 Equity</t>
        </is>
      </c>
      <c r="B1286" t="inlineStr">
        <is>
          <t>TSLA US 11/18/22 P253.33</t>
        </is>
      </c>
      <c r="C1286" t="inlineStr">
        <is>
          <t>2022-11-18</t>
        </is>
      </c>
      <c r="D1286" t="n">
        <v>253.33</v>
      </c>
      <c r="E1286" t="inlineStr">
        <is>
          <t>BBG017FXGSQ7</t>
        </is>
      </c>
    </row>
    <row r="1287">
      <c r="A1287" t="inlineStr">
        <is>
          <t>BBG019P3T2T8 Equity</t>
        </is>
      </c>
      <c r="B1287" t="inlineStr">
        <is>
          <t>TSLA US 11/18/22 P255</t>
        </is>
      </c>
      <c r="C1287" t="inlineStr">
        <is>
          <t>2022-11-18</t>
        </is>
      </c>
      <c r="D1287" t="n">
        <v>255</v>
      </c>
      <c r="E1287" t="inlineStr">
        <is>
          <t>BBG019P3T2T8</t>
        </is>
      </c>
    </row>
    <row r="1288">
      <c r="A1288" t="inlineStr">
        <is>
          <t>BBG017R3LS39 Equity</t>
        </is>
      </c>
      <c r="B1288" t="inlineStr">
        <is>
          <t>TSLA US 11/18/22 P256.67</t>
        </is>
      </c>
      <c r="C1288" t="inlineStr">
        <is>
          <t>2022-11-18</t>
        </is>
      </c>
      <c r="D1288" t="n">
        <v>256.67</v>
      </c>
      <c r="E1288" t="inlineStr">
        <is>
          <t>BBG017R3LS39</t>
        </is>
      </c>
    </row>
    <row r="1289">
      <c r="A1289" t="inlineStr">
        <is>
          <t>BBG017FXGTZ5 Equity</t>
        </is>
      </c>
      <c r="B1289" t="inlineStr">
        <is>
          <t>TSLA US 11/18/22 P260</t>
        </is>
      </c>
      <c r="C1289" t="inlineStr">
        <is>
          <t>2022-11-18</t>
        </is>
      </c>
      <c r="D1289" t="n">
        <v>260</v>
      </c>
      <c r="E1289" t="inlineStr">
        <is>
          <t>BBG017FXGTZ5</t>
        </is>
      </c>
    </row>
    <row r="1290">
      <c r="A1290" t="inlineStr">
        <is>
          <t>BBG017R3LT91 Equity</t>
        </is>
      </c>
      <c r="B1290" t="inlineStr">
        <is>
          <t>TSLA US 11/18/22 P263.33</t>
        </is>
      </c>
      <c r="C1290" t="inlineStr">
        <is>
          <t>2022-11-18</t>
        </is>
      </c>
      <c r="D1290" t="n">
        <v>263.33</v>
      </c>
      <c r="E1290" t="inlineStr">
        <is>
          <t>BBG017R3LT91</t>
        </is>
      </c>
    </row>
    <row r="1291">
      <c r="A1291" t="inlineStr">
        <is>
          <t>BBG019P3T3Y0 Equity</t>
        </is>
      </c>
      <c r="B1291" t="inlineStr">
        <is>
          <t>TSLA US 11/18/22 P265</t>
        </is>
      </c>
      <c r="C1291" t="inlineStr">
        <is>
          <t>2022-11-18</t>
        </is>
      </c>
      <c r="D1291" t="n">
        <v>265</v>
      </c>
      <c r="E1291" t="inlineStr">
        <is>
          <t>BBG019P3T3Y0</t>
        </is>
      </c>
    </row>
    <row r="1292">
      <c r="A1292" t="inlineStr">
        <is>
          <t>BBG014D1SP98 Equity</t>
        </is>
      </c>
      <c r="B1292" t="inlineStr">
        <is>
          <t>TSLA US 11/18/22 P266.67</t>
        </is>
      </c>
      <c r="C1292" t="inlineStr">
        <is>
          <t>2022-11-18</t>
        </is>
      </c>
      <c r="D1292" t="n">
        <v>266.67</v>
      </c>
      <c r="E1292" t="inlineStr">
        <is>
          <t>BBG014D1SP98</t>
        </is>
      </c>
    </row>
    <row r="1293">
      <c r="A1293" t="inlineStr">
        <is>
          <t>BBG019P3T511 Equity</t>
        </is>
      </c>
      <c r="B1293" t="inlineStr">
        <is>
          <t>TSLA US 11/18/22 P270</t>
        </is>
      </c>
      <c r="C1293" t="inlineStr">
        <is>
          <t>2022-11-18</t>
        </is>
      </c>
      <c r="D1293" t="n">
        <v>270</v>
      </c>
      <c r="E1293" t="inlineStr">
        <is>
          <t>BBG019P3T511</t>
        </is>
      </c>
    </row>
    <row r="1294">
      <c r="A1294" t="inlineStr">
        <is>
          <t>BBG017FXGW24 Equity</t>
        </is>
      </c>
      <c r="B1294" t="inlineStr">
        <is>
          <t>TSLA US 11/18/22 P273.33</t>
        </is>
      </c>
      <c r="C1294" t="inlineStr">
        <is>
          <t>2022-11-18</t>
        </is>
      </c>
      <c r="D1294" t="n">
        <v>273.33</v>
      </c>
      <c r="E1294" t="inlineStr">
        <is>
          <t>BBG017FXGW24</t>
        </is>
      </c>
    </row>
    <row r="1295">
      <c r="A1295" t="inlineStr">
        <is>
          <t>BBG019P3T646 Equity</t>
        </is>
      </c>
      <c r="B1295" t="inlineStr">
        <is>
          <t>TSLA US 11/18/22 P275</t>
        </is>
      </c>
      <c r="C1295" t="inlineStr">
        <is>
          <t>2022-11-18</t>
        </is>
      </c>
      <c r="D1295" t="n">
        <v>275</v>
      </c>
      <c r="E1295" t="inlineStr">
        <is>
          <t>BBG019P3T646</t>
        </is>
      </c>
    </row>
    <row r="1296">
      <c r="A1296" t="inlineStr">
        <is>
          <t>BBG017FXGX59 Equity</t>
        </is>
      </c>
      <c r="B1296" t="inlineStr">
        <is>
          <t>TSLA US 11/18/22 P280</t>
        </is>
      </c>
      <c r="C1296" t="inlineStr">
        <is>
          <t>2022-11-18</t>
        </is>
      </c>
      <c r="D1296" t="n">
        <v>280</v>
      </c>
      <c r="E1296" t="inlineStr">
        <is>
          <t>BBG017FXGX59</t>
        </is>
      </c>
    </row>
    <row r="1297">
      <c r="A1297" t="inlineStr">
        <is>
          <t>BBG014D1SQG8 Equity</t>
        </is>
      </c>
      <c r="B1297" t="inlineStr">
        <is>
          <t>TSLA US 11/18/22 P283.33</t>
        </is>
      </c>
      <c r="C1297" t="inlineStr">
        <is>
          <t>2022-11-18</t>
        </is>
      </c>
      <c r="D1297" t="n">
        <v>283.33</v>
      </c>
      <c r="E1297" t="inlineStr">
        <is>
          <t>BBG014D1SQG8</t>
        </is>
      </c>
    </row>
    <row r="1298">
      <c r="A1298" t="inlineStr">
        <is>
          <t>BBG019P3T780 Equity</t>
        </is>
      </c>
      <c r="B1298" t="inlineStr">
        <is>
          <t>TSLA US 11/18/22 P285</t>
        </is>
      </c>
      <c r="C1298" t="inlineStr">
        <is>
          <t>2022-11-18</t>
        </is>
      </c>
      <c r="D1298" t="n">
        <v>285</v>
      </c>
      <c r="E1298" t="inlineStr">
        <is>
          <t>BBG019P3T780</t>
        </is>
      </c>
    </row>
    <row r="1299">
      <c r="A1299" t="inlineStr">
        <is>
          <t>BBG017FXGYC9 Equity</t>
        </is>
      </c>
      <c r="B1299" t="inlineStr">
        <is>
          <t>TSLA US 11/18/22 P286.67</t>
        </is>
      </c>
      <c r="C1299" t="inlineStr">
        <is>
          <t>2022-11-18</t>
        </is>
      </c>
      <c r="D1299" t="n">
        <v>286.67</v>
      </c>
      <c r="E1299" t="inlineStr">
        <is>
          <t>BBG017FXGYC9</t>
        </is>
      </c>
    </row>
    <row r="1300">
      <c r="A1300" t="inlineStr">
        <is>
          <t>BBG019P3T8C3 Equity</t>
        </is>
      </c>
      <c r="B1300" t="inlineStr">
        <is>
          <t>TSLA US 11/18/22 P290</t>
        </is>
      </c>
      <c r="C1300" t="inlineStr">
        <is>
          <t>2022-11-18</t>
        </is>
      </c>
      <c r="D1300" t="n">
        <v>290</v>
      </c>
      <c r="E1300" t="inlineStr">
        <is>
          <t>BBG019P3T8C3</t>
        </is>
      </c>
    </row>
    <row r="1301">
      <c r="A1301" t="inlineStr">
        <is>
          <t>BBG017FXGZG2 Equity</t>
        </is>
      </c>
      <c r="B1301" t="inlineStr">
        <is>
          <t>TSLA US 11/18/22 P293.33</t>
        </is>
      </c>
      <c r="C1301" t="inlineStr">
        <is>
          <t>2022-11-18</t>
        </is>
      </c>
      <c r="D1301" t="n">
        <v>293.33</v>
      </c>
      <c r="E1301" t="inlineStr">
        <is>
          <t>BBG017FXGZG2</t>
        </is>
      </c>
    </row>
    <row r="1302">
      <c r="A1302" t="inlineStr">
        <is>
          <t>BBG019P3T9G7 Equity</t>
        </is>
      </c>
      <c r="B1302" t="inlineStr">
        <is>
          <t>TSLA US 11/18/22 P295</t>
        </is>
      </c>
      <c r="C1302" t="inlineStr">
        <is>
          <t>2022-11-18</t>
        </is>
      </c>
      <c r="D1302" t="n">
        <v>295</v>
      </c>
      <c r="E1302" t="inlineStr">
        <is>
          <t>BBG019P3T9G7</t>
        </is>
      </c>
    </row>
    <row r="1303">
      <c r="A1303" t="inlineStr">
        <is>
          <t>BBG014D1SRK1 Equity</t>
        </is>
      </c>
      <c r="B1303" t="inlineStr">
        <is>
          <t>TSLA US 11/18/22 P300</t>
        </is>
      </c>
      <c r="C1303" t="inlineStr">
        <is>
          <t>2022-11-18</t>
        </is>
      </c>
      <c r="D1303" t="n">
        <v>300</v>
      </c>
      <c r="E1303" t="inlineStr">
        <is>
          <t>BBG014D1SRK1</t>
        </is>
      </c>
    </row>
    <row r="1304">
      <c r="A1304" t="inlineStr">
        <is>
          <t>BBG019P3TBL6 Equity</t>
        </is>
      </c>
      <c r="B1304" t="inlineStr">
        <is>
          <t>TSLA US 11/18/22 P305</t>
        </is>
      </c>
      <c r="C1304" t="inlineStr">
        <is>
          <t>2022-11-18</t>
        </is>
      </c>
      <c r="D1304" t="n">
        <v>305</v>
      </c>
      <c r="E1304" t="inlineStr">
        <is>
          <t>BBG019P3TBL6</t>
        </is>
      </c>
    </row>
    <row r="1305">
      <c r="A1305" t="inlineStr">
        <is>
          <t>BBG017FXH0K3 Equity</t>
        </is>
      </c>
      <c r="B1305" t="inlineStr">
        <is>
          <t>TSLA US 11/18/22 P306.67</t>
        </is>
      </c>
      <c r="C1305" t="inlineStr">
        <is>
          <t>2022-11-18</t>
        </is>
      </c>
      <c r="D1305" t="n">
        <v>306.67</v>
      </c>
      <c r="E1305" t="inlineStr">
        <is>
          <t>BBG017FXH0K3</t>
        </is>
      </c>
    </row>
    <row r="1306">
      <c r="A1306" t="inlineStr">
        <is>
          <t>BBG019P3TCP0 Equity</t>
        </is>
      </c>
      <c r="B1306" t="inlineStr">
        <is>
          <t>TSLA US 11/18/22 P310</t>
        </is>
      </c>
      <c r="C1306" t="inlineStr">
        <is>
          <t>2022-11-18</t>
        </is>
      </c>
      <c r="D1306" t="n">
        <v>310</v>
      </c>
      <c r="E1306" t="inlineStr">
        <is>
          <t>BBG019P3TCP0</t>
        </is>
      </c>
    </row>
    <row r="1307">
      <c r="A1307" t="inlineStr">
        <is>
          <t>BBG017FXH1V9 Equity</t>
        </is>
      </c>
      <c r="B1307" t="inlineStr">
        <is>
          <t>TSLA US 11/18/22 P313.33</t>
        </is>
      </c>
      <c r="C1307" t="inlineStr">
        <is>
          <t>2022-11-18</t>
        </is>
      </c>
      <c r="D1307" t="n">
        <v>313.33</v>
      </c>
      <c r="E1307" t="inlineStr">
        <is>
          <t>BBG017FXH1V9</t>
        </is>
      </c>
    </row>
    <row r="1308">
      <c r="A1308" t="inlineStr">
        <is>
          <t>BBG019P3TDT4 Equity</t>
        </is>
      </c>
      <c r="B1308" t="inlineStr">
        <is>
          <t>TSLA US 11/18/22 P315</t>
        </is>
      </c>
      <c r="C1308" t="inlineStr">
        <is>
          <t>2022-11-18</t>
        </is>
      </c>
      <c r="D1308" t="n">
        <v>315</v>
      </c>
      <c r="E1308" t="inlineStr">
        <is>
          <t>BBG019P3TDT4</t>
        </is>
      </c>
    </row>
    <row r="1309">
      <c r="A1309" t="inlineStr">
        <is>
          <t>BBG014D1V829 Equity</t>
        </is>
      </c>
      <c r="B1309" t="inlineStr">
        <is>
          <t>TSLA US 12/16/22 P183.33</t>
        </is>
      </c>
      <c r="C1309" t="inlineStr">
        <is>
          <t>2022-12-16</t>
        </is>
      </c>
      <c r="D1309" t="n">
        <v>183.33</v>
      </c>
      <c r="E1309" t="inlineStr">
        <is>
          <t>BBG014D1V829</t>
        </is>
      </c>
    </row>
    <row r="1310">
      <c r="A1310" t="inlineStr">
        <is>
          <t>BBG016WQNGH3 Equity</t>
        </is>
      </c>
      <c r="B1310" t="inlineStr">
        <is>
          <t>TSLA US 12/16/22 P186.67</t>
        </is>
      </c>
      <c r="C1310" t="inlineStr">
        <is>
          <t>2022-12-16</t>
        </is>
      </c>
      <c r="D1310" t="n">
        <v>186.67</v>
      </c>
      <c r="E1310" t="inlineStr">
        <is>
          <t>BBG016WQNGH3</t>
        </is>
      </c>
    </row>
    <row r="1311">
      <c r="A1311" t="inlineStr">
        <is>
          <t>BBG016WQNHL6 Equity</t>
        </is>
      </c>
      <c r="B1311" t="inlineStr">
        <is>
          <t>TSLA US 12/16/22 P190</t>
        </is>
      </c>
      <c r="C1311" t="inlineStr">
        <is>
          <t>2022-12-16</t>
        </is>
      </c>
      <c r="D1311" t="n">
        <v>190</v>
      </c>
      <c r="E1311" t="inlineStr">
        <is>
          <t>BBG016WQNHL6</t>
        </is>
      </c>
    </row>
    <row r="1312">
      <c r="A1312" t="inlineStr">
        <is>
          <t>BBG016WQNJS5 Equity</t>
        </is>
      </c>
      <c r="B1312" t="inlineStr">
        <is>
          <t>TSLA US 12/16/22 P193.33</t>
        </is>
      </c>
      <c r="C1312" t="inlineStr">
        <is>
          <t>2022-12-16</t>
        </is>
      </c>
      <c r="D1312" t="n">
        <v>193.33</v>
      </c>
      <c r="E1312" t="inlineStr">
        <is>
          <t>BBG016WQNJS5</t>
        </is>
      </c>
    </row>
    <row r="1313">
      <c r="A1313" t="inlineStr">
        <is>
          <t>BBG016WQNKW7 Equity</t>
        </is>
      </c>
      <c r="B1313" t="inlineStr">
        <is>
          <t>TSLA US 12/16/22 P196.67</t>
        </is>
      </c>
      <c r="C1313" t="inlineStr">
        <is>
          <t>2022-12-16</t>
        </is>
      </c>
      <c r="D1313" t="n">
        <v>196.67</v>
      </c>
      <c r="E1313" t="inlineStr">
        <is>
          <t>BBG016WQNKW7</t>
        </is>
      </c>
    </row>
    <row r="1314">
      <c r="A1314" t="inlineStr">
        <is>
          <t>BBG014D1V954 Equity</t>
        </is>
      </c>
      <c r="B1314" t="inlineStr">
        <is>
          <t>TSLA US 12/16/22 P200</t>
        </is>
      </c>
      <c r="C1314" t="inlineStr">
        <is>
          <t>2022-12-16</t>
        </is>
      </c>
      <c r="D1314" t="n">
        <v>200</v>
      </c>
      <c r="E1314" t="inlineStr">
        <is>
          <t>BBG014D1V954</t>
        </is>
      </c>
    </row>
    <row r="1315">
      <c r="A1315" t="inlineStr">
        <is>
          <t>BBG016WQNLZ2 Equity</t>
        </is>
      </c>
      <c r="B1315" t="inlineStr">
        <is>
          <t>TSLA US 12/16/22 P203.33</t>
        </is>
      </c>
      <c r="C1315" t="inlineStr">
        <is>
          <t>2022-12-16</t>
        </is>
      </c>
      <c r="D1315" t="n">
        <v>203.33</v>
      </c>
      <c r="E1315" t="inlineStr">
        <is>
          <t>BBG016WQNLZ2</t>
        </is>
      </c>
    </row>
    <row r="1316">
      <c r="A1316" t="inlineStr">
        <is>
          <t>BBG016WQNN42 Equity</t>
        </is>
      </c>
      <c r="B1316" t="inlineStr">
        <is>
          <t>TSLA US 12/16/22 P206.67</t>
        </is>
      </c>
      <c r="C1316" t="inlineStr">
        <is>
          <t>2022-12-16</t>
        </is>
      </c>
      <c r="D1316" t="n">
        <v>206.67</v>
      </c>
      <c r="E1316" t="inlineStr">
        <is>
          <t>BBG016WQNN42</t>
        </is>
      </c>
    </row>
    <row r="1317">
      <c r="A1317" t="inlineStr">
        <is>
          <t>BBG016WQNP74 Equity</t>
        </is>
      </c>
      <c r="B1317" t="inlineStr">
        <is>
          <t>TSLA US 12/16/22 P210</t>
        </is>
      </c>
      <c r="C1317" t="inlineStr">
        <is>
          <t>2022-12-16</t>
        </is>
      </c>
      <c r="D1317" t="n">
        <v>210</v>
      </c>
      <c r="E1317" t="inlineStr">
        <is>
          <t>BBG016WQNP74</t>
        </is>
      </c>
    </row>
    <row r="1318">
      <c r="A1318" t="inlineStr">
        <is>
          <t>BBG016WQNQB7 Equity</t>
        </is>
      </c>
      <c r="B1318" t="inlineStr">
        <is>
          <t>TSLA US 12/16/22 P213.33</t>
        </is>
      </c>
      <c r="C1318" t="inlineStr">
        <is>
          <t>2022-12-16</t>
        </is>
      </c>
      <c r="D1318" t="n">
        <v>213.33</v>
      </c>
      <c r="E1318" t="inlineStr">
        <is>
          <t>BBG016WQNQB7</t>
        </is>
      </c>
    </row>
    <row r="1319">
      <c r="A1319" t="inlineStr">
        <is>
          <t>BBG014D1VBD0 Equity</t>
        </is>
      </c>
      <c r="B1319" t="inlineStr">
        <is>
          <t>TSLA US 12/16/22 P216.67</t>
        </is>
      </c>
      <c r="C1319" t="inlineStr">
        <is>
          <t>2022-12-16</t>
        </is>
      </c>
      <c r="D1319" t="n">
        <v>216.67</v>
      </c>
      <c r="E1319" t="inlineStr">
        <is>
          <t>BBG014D1VBD0</t>
        </is>
      </c>
    </row>
    <row r="1320">
      <c r="A1320" t="inlineStr">
        <is>
          <t>BBG016WQNRH9 Equity</t>
        </is>
      </c>
      <c r="B1320" t="inlineStr">
        <is>
          <t>TSLA US 12/16/22 P220</t>
        </is>
      </c>
      <c r="C1320" t="inlineStr">
        <is>
          <t>2022-12-16</t>
        </is>
      </c>
      <c r="D1320" t="n">
        <v>220</v>
      </c>
      <c r="E1320" t="inlineStr">
        <is>
          <t>BBG016WQNRH9</t>
        </is>
      </c>
    </row>
    <row r="1321">
      <c r="A1321" t="inlineStr">
        <is>
          <t>BBG016WQNSL2 Equity</t>
        </is>
      </c>
      <c r="B1321" t="inlineStr">
        <is>
          <t>TSLA US 12/16/22 P223.33</t>
        </is>
      </c>
      <c r="C1321" t="inlineStr">
        <is>
          <t>2022-12-16</t>
        </is>
      </c>
      <c r="D1321" t="n">
        <v>223.33</v>
      </c>
      <c r="E1321" t="inlineStr">
        <is>
          <t>BBG016WQNSL2</t>
        </is>
      </c>
    </row>
    <row r="1322">
      <c r="A1322" t="inlineStr">
        <is>
          <t>BBG016WQNTP6 Equity</t>
        </is>
      </c>
      <c r="B1322" t="inlineStr">
        <is>
          <t>TSLA US 12/16/22 P226.67</t>
        </is>
      </c>
      <c r="C1322" t="inlineStr">
        <is>
          <t>2022-12-16</t>
        </is>
      </c>
      <c r="D1322" t="n">
        <v>226.67</v>
      </c>
      <c r="E1322" t="inlineStr">
        <is>
          <t>BBG016WQNTP6</t>
        </is>
      </c>
    </row>
    <row r="1323">
      <c r="A1323" t="inlineStr">
        <is>
          <t>BBG016WQNVV4 Equity</t>
        </is>
      </c>
      <c r="B1323" t="inlineStr">
        <is>
          <t>TSLA US 12/16/22 P230</t>
        </is>
      </c>
      <c r="C1323" t="inlineStr">
        <is>
          <t>2022-12-16</t>
        </is>
      </c>
      <c r="D1323" t="n">
        <v>230</v>
      </c>
      <c r="E1323" t="inlineStr">
        <is>
          <t>BBG016WQNVV4</t>
        </is>
      </c>
    </row>
    <row r="1324">
      <c r="A1324" t="inlineStr">
        <is>
          <t>BBG014D1VCH4 Equity</t>
        </is>
      </c>
      <c r="B1324" t="inlineStr">
        <is>
          <t>TSLA US 12/16/22 P233.33</t>
        </is>
      </c>
      <c r="C1324" t="inlineStr">
        <is>
          <t>2022-12-16</t>
        </is>
      </c>
      <c r="D1324" t="n">
        <v>233.33</v>
      </c>
      <c r="E1324" t="inlineStr">
        <is>
          <t>BBG014D1VCH4</t>
        </is>
      </c>
    </row>
    <row r="1325">
      <c r="A1325" t="inlineStr">
        <is>
          <t>BBG016WQNWY9 Equity</t>
        </is>
      </c>
      <c r="B1325" t="inlineStr">
        <is>
          <t>TSLA US 12/16/22 P236.67</t>
        </is>
      </c>
      <c r="C1325" t="inlineStr">
        <is>
          <t>2022-12-16</t>
        </is>
      </c>
      <c r="D1325" t="n">
        <v>236.67</v>
      </c>
      <c r="E1325" t="inlineStr">
        <is>
          <t>BBG016WQNWY9</t>
        </is>
      </c>
    </row>
    <row r="1326">
      <c r="A1326" t="inlineStr">
        <is>
          <t>BBG016WQNY11 Equity</t>
        </is>
      </c>
      <c r="B1326" t="inlineStr">
        <is>
          <t>TSLA US 12/16/22 P240</t>
        </is>
      </c>
      <c r="C1326" t="inlineStr">
        <is>
          <t>2022-12-16</t>
        </is>
      </c>
      <c r="D1326" t="n">
        <v>240</v>
      </c>
      <c r="E1326" t="inlineStr">
        <is>
          <t>BBG016WQNY11</t>
        </is>
      </c>
    </row>
    <row r="1327">
      <c r="A1327" t="inlineStr">
        <is>
          <t>BBG016WQNZ63 Equity</t>
        </is>
      </c>
      <c r="B1327" t="inlineStr">
        <is>
          <t>TSLA US 12/16/22 P243.33</t>
        </is>
      </c>
      <c r="C1327" t="inlineStr">
        <is>
          <t>2022-12-16</t>
        </is>
      </c>
      <c r="D1327" t="n">
        <v>243.33</v>
      </c>
      <c r="E1327" t="inlineStr">
        <is>
          <t>BBG016WQNZ63</t>
        </is>
      </c>
    </row>
    <row r="1328">
      <c r="A1328" t="inlineStr">
        <is>
          <t>BBG016WQP095 Equity</t>
        </is>
      </c>
      <c r="B1328" t="inlineStr">
        <is>
          <t>TSLA US 12/16/22 P246.67</t>
        </is>
      </c>
      <c r="C1328" t="inlineStr">
        <is>
          <t>2022-12-16</t>
        </is>
      </c>
      <c r="D1328" t="n">
        <v>246.67</v>
      </c>
      <c r="E1328" t="inlineStr">
        <is>
          <t>BBG016WQP095</t>
        </is>
      </c>
    </row>
    <row r="1329">
      <c r="A1329" t="inlineStr">
        <is>
          <t>BBG014D1VDL7 Equity</t>
        </is>
      </c>
      <c r="B1329" t="inlineStr">
        <is>
          <t>TSLA US 12/16/22 P250</t>
        </is>
      </c>
      <c r="C1329" t="inlineStr">
        <is>
          <t>2022-12-16</t>
        </is>
      </c>
      <c r="D1329" t="n">
        <v>250</v>
      </c>
      <c r="E1329" t="inlineStr">
        <is>
          <t>BBG014D1VDL7</t>
        </is>
      </c>
    </row>
    <row r="1330">
      <c r="A1330" t="inlineStr">
        <is>
          <t>BBG016WQP1D8 Equity</t>
        </is>
      </c>
      <c r="B1330" t="inlineStr">
        <is>
          <t>TSLA US 12/16/22 P253.33</t>
        </is>
      </c>
      <c r="C1330" t="inlineStr">
        <is>
          <t>2022-12-16</t>
        </is>
      </c>
      <c r="D1330" t="n">
        <v>253.33</v>
      </c>
      <c r="E1330" t="inlineStr">
        <is>
          <t>BBG016WQP1D8</t>
        </is>
      </c>
    </row>
    <row r="1331">
      <c r="A1331" t="inlineStr">
        <is>
          <t>BBG016WQP2K8 Equity</t>
        </is>
      </c>
      <c r="B1331" t="inlineStr">
        <is>
          <t>TSLA US 12/16/22 P256.67</t>
        </is>
      </c>
      <c r="C1331" t="inlineStr">
        <is>
          <t>2022-12-16</t>
        </is>
      </c>
      <c r="D1331" t="n">
        <v>256.67</v>
      </c>
      <c r="E1331" t="inlineStr">
        <is>
          <t>BBG016WQP2K8</t>
        </is>
      </c>
    </row>
    <row r="1332">
      <c r="A1332" t="inlineStr">
        <is>
          <t>BBG016WQP3N3 Equity</t>
        </is>
      </c>
      <c r="B1332" t="inlineStr">
        <is>
          <t>TSLA US 12/16/22 P260</t>
        </is>
      </c>
      <c r="C1332" t="inlineStr">
        <is>
          <t>2022-12-16</t>
        </is>
      </c>
      <c r="D1332" t="n">
        <v>260</v>
      </c>
      <c r="E1332" t="inlineStr">
        <is>
          <t>BBG016WQP3N3</t>
        </is>
      </c>
    </row>
    <row r="1333">
      <c r="A1333" t="inlineStr">
        <is>
          <t>BBG016WQP4R7 Equity</t>
        </is>
      </c>
      <c r="B1333" t="inlineStr">
        <is>
          <t>TSLA US 12/16/22 P263.33</t>
        </is>
      </c>
      <c r="C1333" t="inlineStr">
        <is>
          <t>2022-12-16</t>
        </is>
      </c>
      <c r="D1333" t="n">
        <v>263.33</v>
      </c>
      <c r="E1333" t="inlineStr">
        <is>
          <t>BBG016WQP4R7</t>
        </is>
      </c>
    </row>
    <row r="1334">
      <c r="A1334" t="inlineStr">
        <is>
          <t>BBG014D1VFT4 Equity</t>
        </is>
      </c>
      <c r="B1334" t="inlineStr">
        <is>
          <t>TSLA US 12/16/22 P266.67</t>
        </is>
      </c>
      <c r="C1334" t="inlineStr">
        <is>
          <t>2022-12-16</t>
        </is>
      </c>
      <c r="D1334" t="n">
        <v>266.67</v>
      </c>
      <c r="E1334" t="inlineStr">
        <is>
          <t>BBG014D1VFT4</t>
        </is>
      </c>
    </row>
    <row r="1335">
      <c r="A1335" t="inlineStr">
        <is>
          <t>BBG016WQP5W8 Equity</t>
        </is>
      </c>
      <c r="B1335" t="inlineStr">
        <is>
          <t>TSLA US 12/16/22 P270</t>
        </is>
      </c>
      <c r="C1335" t="inlineStr">
        <is>
          <t>2022-12-16</t>
        </is>
      </c>
      <c r="D1335" t="n">
        <v>270</v>
      </c>
      <c r="E1335" t="inlineStr">
        <is>
          <t>BBG016WQP5W8</t>
        </is>
      </c>
    </row>
    <row r="1336">
      <c r="A1336" t="inlineStr">
        <is>
          <t>BBG016WQP6Z3 Equity</t>
        </is>
      </c>
      <c r="B1336" t="inlineStr">
        <is>
          <t>TSLA US 12/16/22 P273.33</t>
        </is>
      </c>
      <c r="C1336" t="inlineStr">
        <is>
          <t>2022-12-16</t>
        </is>
      </c>
      <c r="D1336" t="n">
        <v>273.33</v>
      </c>
      <c r="E1336" t="inlineStr">
        <is>
          <t>BBG016WQP6Z3</t>
        </is>
      </c>
    </row>
    <row r="1337">
      <c r="A1337" t="inlineStr">
        <is>
          <t>BBG016WQP825 Equity</t>
        </is>
      </c>
      <c r="B1337" t="inlineStr">
        <is>
          <t>TSLA US 12/16/22 P276.67</t>
        </is>
      </c>
      <c r="C1337" t="inlineStr">
        <is>
          <t>2022-12-16</t>
        </is>
      </c>
      <c r="D1337" t="n">
        <v>276.67</v>
      </c>
      <c r="E1337" t="inlineStr">
        <is>
          <t>BBG016WQP825</t>
        </is>
      </c>
    </row>
    <row r="1338">
      <c r="A1338" t="inlineStr">
        <is>
          <t>BBG016WQP969 Equity</t>
        </is>
      </c>
      <c r="B1338" t="inlineStr">
        <is>
          <t>TSLA US 12/16/22 P280</t>
        </is>
      </c>
      <c r="C1338" t="inlineStr">
        <is>
          <t>2022-12-16</t>
        </is>
      </c>
      <c r="D1338" t="n">
        <v>280</v>
      </c>
      <c r="E1338" t="inlineStr">
        <is>
          <t>BBG016WQP969</t>
        </is>
      </c>
    </row>
    <row r="1339">
      <c r="A1339" t="inlineStr">
        <is>
          <t>BBG014D1VGX7 Equity</t>
        </is>
      </c>
      <c r="B1339" t="inlineStr">
        <is>
          <t>TSLA US 12/16/22 P283.33</t>
        </is>
      </c>
      <c r="C1339" t="inlineStr">
        <is>
          <t>2022-12-16</t>
        </is>
      </c>
      <c r="D1339" t="n">
        <v>283.33</v>
      </c>
      <c r="E1339" t="inlineStr">
        <is>
          <t>BBG014D1VGX7</t>
        </is>
      </c>
    </row>
    <row r="1340">
      <c r="A1340" t="inlineStr">
        <is>
          <t>BBG016WQPB91 Equity</t>
        </is>
      </c>
      <c r="B1340" t="inlineStr">
        <is>
          <t>TSLA US 12/16/22 P286.67</t>
        </is>
      </c>
      <c r="C1340" t="inlineStr">
        <is>
          <t>2022-12-16</t>
        </is>
      </c>
      <c r="D1340" t="n">
        <v>286.67</v>
      </c>
      <c r="E1340" t="inlineStr">
        <is>
          <t>BBG016WQPB91</t>
        </is>
      </c>
    </row>
    <row r="1341">
      <c r="A1341" t="inlineStr">
        <is>
          <t>BBG016WQPCD4 Equity</t>
        </is>
      </c>
      <c r="B1341" t="inlineStr">
        <is>
          <t>TSLA US 12/16/22 P290</t>
        </is>
      </c>
      <c r="C1341" t="inlineStr">
        <is>
          <t>2022-12-16</t>
        </is>
      </c>
      <c r="D1341" t="n">
        <v>290</v>
      </c>
      <c r="E1341" t="inlineStr">
        <is>
          <t>BBG016WQPCD4</t>
        </is>
      </c>
    </row>
    <row r="1342">
      <c r="A1342" t="inlineStr">
        <is>
          <t>BBG016WQPDJ6 Equity</t>
        </is>
      </c>
      <c r="B1342" t="inlineStr">
        <is>
          <t>TSLA US 12/16/22 P293.33</t>
        </is>
      </c>
      <c r="C1342" t="inlineStr">
        <is>
          <t>2022-12-16</t>
        </is>
      </c>
      <c r="D1342" t="n">
        <v>293.33</v>
      </c>
      <c r="E1342" t="inlineStr">
        <is>
          <t>BBG016WQPDJ6</t>
        </is>
      </c>
    </row>
    <row r="1343">
      <c r="A1343" t="inlineStr">
        <is>
          <t>BBG016TKZM66 Equity</t>
        </is>
      </c>
      <c r="B1343" t="inlineStr">
        <is>
          <t>TSLA US 12/16/22 P295</t>
        </is>
      </c>
      <c r="C1343" t="inlineStr">
        <is>
          <t>2022-12-16</t>
        </is>
      </c>
      <c r="D1343" t="n">
        <v>295</v>
      </c>
      <c r="E1343" t="inlineStr">
        <is>
          <t>BBG016TKZM66</t>
        </is>
      </c>
    </row>
    <row r="1344">
      <c r="A1344" t="inlineStr">
        <is>
          <t>BBG016TKZN91 Equity</t>
        </is>
      </c>
      <c r="B1344" t="inlineStr">
        <is>
          <t>TSLA US 12/16/22 P296.67</t>
        </is>
      </c>
      <c r="C1344" t="inlineStr">
        <is>
          <t>2022-12-16</t>
        </is>
      </c>
      <c r="D1344" t="n">
        <v>296.67</v>
      </c>
      <c r="E1344" t="inlineStr">
        <is>
          <t>BBG016TKZN91</t>
        </is>
      </c>
    </row>
    <row r="1345">
      <c r="A1345" t="inlineStr">
        <is>
          <t>BBG016TKZPZ7 Equity</t>
        </is>
      </c>
      <c r="B1345" t="inlineStr">
        <is>
          <t>TSLA US 12/16/22 P298.33</t>
        </is>
      </c>
      <c r="C1345" t="inlineStr">
        <is>
          <t>2022-12-16</t>
        </is>
      </c>
      <c r="D1345" t="n">
        <v>298.33</v>
      </c>
      <c r="E1345" t="inlineStr">
        <is>
          <t>BBG016TKZPZ7</t>
        </is>
      </c>
    </row>
    <row r="1346">
      <c r="A1346" t="inlineStr">
        <is>
          <t>BBG014D1VJ07 Equity</t>
        </is>
      </c>
      <c r="B1346" t="inlineStr">
        <is>
          <t>TSLA US 12/16/22 P300</t>
        </is>
      </c>
      <c r="C1346" t="inlineStr">
        <is>
          <t>2022-12-16</t>
        </is>
      </c>
      <c r="D1346" t="n">
        <v>300</v>
      </c>
      <c r="E1346" t="inlineStr">
        <is>
          <t>BBG014D1VJ07</t>
        </is>
      </c>
    </row>
    <row r="1347">
      <c r="A1347" t="inlineStr">
        <is>
          <t>BBG016TKZR29 Equity</t>
        </is>
      </c>
      <c r="B1347" t="inlineStr">
        <is>
          <t>TSLA US 12/16/22 P301.67</t>
        </is>
      </c>
      <c r="C1347" t="inlineStr">
        <is>
          <t>2022-12-16</t>
        </is>
      </c>
      <c r="D1347" t="n">
        <v>301.67</v>
      </c>
      <c r="E1347" t="inlineStr">
        <is>
          <t>BBG016TKZR29</t>
        </is>
      </c>
    </row>
    <row r="1348">
      <c r="A1348" t="inlineStr">
        <is>
          <t>BBG016TKZS54 Equity</t>
        </is>
      </c>
      <c r="B1348" t="inlineStr">
        <is>
          <t>TSLA US 12/16/22 P303.33</t>
        </is>
      </c>
      <c r="C1348" t="inlineStr">
        <is>
          <t>2022-12-16</t>
        </is>
      </c>
      <c r="D1348" t="n">
        <v>303.33</v>
      </c>
      <c r="E1348" t="inlineStr">
        <is>
          <t>BBG016TKZS54</t>
        </is>
      </c>
    </row>
    <row r="1349">
      <c r="A1349" t="inlineStr">
        <is>
          <t>BBG016TKZTB5 Equity</t>
        </is>
      </c>
      <c r="B1349" t="inlineStr">
        <is>
          <t>TSLA US 12/16/22 P305</t>
        </is>
      </c>
      <c r="C1349" t="inlineStr">
        <is>
          <t>2022-12-16</t>
        </is>
      </c>
      <c r="D1349" t="n">
        <v>305</v>
      </c>
      <c r="E1349" t="inlineStr">
        <is>
          <t>BBG016TKZTB5</t>
        </is>
      </c>
    </row>
    <row r="1350">
      <c r="A1350" t="inlineStr">
        <is>
          <t>BBG016TKZVF6 Equity</t>
        </is>
      </c>
      <c r="B1350" t="inlineStr">
        <is>
          <t>TSLA US 12/16/22 P306.67</t>
        </is>
      </c>
      <c r="C1350" t="inlineStr">
        <is>
          <t>2022-12-16</t>
        </is>
      </c>
      <c r="D1350" t="n">
        <v>306.67</v>
      </c>
      <c r="E1350" t="inlineStr">
        <is>
          <t>BBG016TKZVF6</t>
        </is>
      </c>
    </row>
    <row r="1351">
      <c r="A1351" t="inlineStr">
        <is>
          <t>BBG016TKZWJ0 Equity</t>
        </is>
      </c>
      <c r="B1351" t="inlineStr">
        <is>
          <t>TSLA US 12/16/22 P308.33</t>
        </is>
      </c>
      <c r="C1351" t="inlineStr">
        <is>
          <t>2022-12-16</t>
        </is>
      </c>
      <c r="D1351" t="n">
        <v>308.33</v>
      </c>
      <c r="E1351" t="inlineStr">
        <is>
          <t>BBG016TKZWJ0</t>
        </is>
      </c>
    </row>
    <row r="1352">
      <c r="A1352" t="inlineStr">
        <is>
          <t>BBG016TKZXQ0 Equity</t>
        </is>
      </c>
      <c r="B1352" t="inlineStr">
        <is>
          <t>TSLA US 12/16/22 P310</t>
        </is>
      </c>
      <c r="C1352" t="inlineStr">
        <is>
          <t>2022-12-16</t>
        </is>
      </c>
      <c r="D1352" t="n">
        <v>310</v>
      </c>
      <c r="E1352" t="inlineStr">
        <is>
          <t>BBG016TKZXQ0</t>
        </is>
      </c>
    </row>
    <row r="1353">
      <c r="A1353" t="inlineStr">
        <is>
          <t>BBG016TKZYT5 Equity</t>
        </is>
      </c>
      <c r="B1353" t="inlineStr">
        <is>
          <t>TSLA US 12/16/22 P311.67</t>
        </is>
      </c>
      <c r="C1353" t="inlineStr">
        <is>
          <t>2022-12-16</t>
        </is>
      </c>
      <c r="D1353" t="n">
        <v>311.67</v>
      </c>
      <c r="E1353" t="inlineStr">
        <is>
          <t>BBG016TKZYT5</t>
        </is>
      </c>
    </row>
    <row r="1354">
      <c r="A1354" t="inlineStr">
        <is>
          <t>BBG016TKZZX7 Equity</t>
        </is>
      </c>
      <c r="B1354" t="inlineStr">
        <is>
          <t>TSLA US 12/16/22 P313.33</t>
        </is>
      </c>
      <c r="C1354" t="inlineStr">
        <is>
          <t>2022-12-16</t>
        </is>
      </c>
      <c r="D1354" t="n">
        <v>313.33</v>
      </c>
      <c r="E1354" t="inlineStr">
        <is>
          <t>BBG016TKZZX7</t>
        </is>
      </c>
    </row>
    <row r="1355">
      <c r="A1355" t="inlineStr">
        <is>
          <t>BBG016TL0122 Equity</t>
        </is>
      </c>
      <c r="B1355" t="inlineStr">
        <is>
          <t>TSLA US 12/16/22 P315</t>
        </is>
      </c>
      <c r="C1355" t="inlineStr">
        <is>
          <t>2022-12-16</t>
        </is>
      </c>
      <c r="D1355" t="n">
        <v>315</v>
      </c>
      <c r="E1355" t="inlineStr">
        <is>
          <t>BBG016TL0122</t>
        </is>
      </c>
    </row>
    <row r="1356">
      <c r="A1356" t="inlineStr">
        <is>
          <t>BBG01C5CKX96 Equity</t>
        </is>
      </c>
      <c r="B1356" t="inlineStr">
        <is>
          <t>TSLA US 01/20/23 P99</t>
        </is>
      </c>
      <c r="C1356" t="inlineStr">
        <is>
          <t>2023-01-20</t>
        </is>
      </c>
      <c r="D1356" t="n">
        <v>99</v>
      </c>
      <c r="E1356" t="inlineStr">
        <is>
          <t>BBG01C5CKX96</t>
        </is>
      </c>
    </row>
    <row r="1357">
      <c r="A1357" t="inlineStr">
        <is>
          <t>BBG00XBC1989 Equity</t>
        </is>
      </c>
      <c r="B1357" t="inlineStr">
        <is>
          <t>TSLA US 01/20/23 P100</t>
        </is>
      </c>
      <c r="C1357" t="inlineStr">
        <is>
          <t>2023-01-20</t>
        </is>
      </c>
      <c r="D1357" t="n">
        <v>100</v>
      </c>
      <c r="E1357" t="inlineStr">
        <is>
          <t>BBG00XBC1989</t>
        </is>
      </c>
    </row>
    <row r="1358">
      <c r="A1358" t="inlineStr">
        <is>
          <t>BBG01C5CKYF7 Equity</t>
        </is>
      </c>
      <c r="B1358" t="inlineStr">
        <is>
          <t>TSLA US 01/20/23 P101</t>
        </is>
      </c>
      <c r="C1358" t="inlineStr">
        <is>
          <t>2023-01-20</t>
        </is>
      </c>
      <c r="D1358" t="n">
        <v>101</v>
      </c>
      <c r="E1358" t="inlineStr">
        <is>
          <t>BBG01C5CKYF7</t>
        </is>
      </c>
    </row>
    <row r="1359">
      <c r="A1359" t="inlineStr">
        <is>
          <t>BBG01C5CKZJ0 Equity</t>
        </is>
      </c>
      <c r="B1359" t="inlineStr">
        <is>
          <t>TSLA US 01/20/23 P102</t>
        </is>
      </c>
      <c r="C1359" t="inlineStr">
        <is>
          <t>2023-01-20</t>
        </is>
      </c>
      <c r="D1359" t="n">
        <v>102</v>
      </c>
      <c r="E1359" t="inlineStr">
        <is>
          <t>BBG01C5CKZJ0</t>
        </is>
      </c>
    </row>
    <row r="1360">
      <c r="A1360" t="inlineStr">
        <is>
          <t>BBG01C5CL0M2 Equity</t>
        </is>
      </c>
      <c r="B1360" t="inlineStr">
        <is>
          <t>TSLA US 01/20/23 P103</t>
        </is>
      </c>
      <c r="C1360" t="inlineStr">
        <is>
          <t>2023-01-20</t>
        </is>
      </c>
      <c r="D1360" t="n">
        <v>103</v>
      </c>
      <c r="E1360" t="inlineStr">
        <is>
          <t>BBG01C5CL0M2</t>
        </is>
      </c>
    </row>
    <row r="1361">
      <c r="A1361" t="inlineStr">
        <is>
          <t>BBG00XBC1BC9 Equity</t>
        </is>
      </c>
      <c r="B1361" t="inlineStr">
        <is>
          <t>TSLA US 01/20/23 P103.33</t>
        </is>
      </c>
      <c r="C1361" t="inlineStr">
        <is>
          <t>2023-01-20</t>
        </is>
      </c>
      <c r="D1361" t="n">
        <v>103.33</v>
      </c>
      <c r="E1361" t="inlineStr">
        <is>
          <t>BBG00XBC1BC9</t>
        </is>
      </c>
    </row>
    <row r="1362">
      <c r="A1362" t="inlineStr">
        <is>
          <t>BBG01C5CL1R5 Equity</t>
        </is>
      </c>
      <c r="B1362" t="inlineStr">
        <is>
          <t>TSLA US 01/20/23 P104</t>
        </is>
      </c>
      <c r="C1362" t="inlineStr">
        <is>
          <t>2023-01-20</t>
        </is>
      </c>
      <c r="D1362" t="n">
        <v>104</v>
      </c>
      <c r="E1362" t="inlineStr">
        <is>
          <t>BBG01C5CL1R5</t>
        </is>
      </c>
    </row>
    <row r="1363">
      <c r="A1363" t="inlineStr">
        <is>
          <t>BBG01BL95J04 Equity</t>
        </is>
      </c>
      <c r="B1363" t="inlineStr">
        <is>
          <t>TSLA US 01/20/23 P105</t>
        </is>
      </c>
      <c r="C1363" t="inlineStr">
        <is>
          <t>2023-01-20</t>
        </is>
      </c>
      <c r="D1363" t="n">
        <v>105</v>
      </c>
      <c r="E1363" t="inlineStr">
        <is>
          <t>BBG01BL95J04</t>
        </is>
      </c>
    </row>
    <row r="1364">
      <c r="A1364" t="inlineStr">
        <is>
          <t>BBG01C5CL2V8 Equity</t>
        </is>
      </c>
      <c r="B1364" t="inlineStr">
        <is>
          <t>TSLA US 01/20/23 P106</t>
        </is>
      </c>
      <c r="C1364" t="inlineStr">
        <is>
          <t>2023-01-20</t>
        </is>
      </c>
      <c r="D1364" t="n">
        <v>106</v>
      </c>
      <c r="E1364" t="inlineStr">
        <is>
          <t>BBG01C5CL2V8</t>
        </is>
      </c>
    </row>
    <row r="1365">
      <c r="A1365" t="inlineStr">
        <is>
          <t>BBG00XBC1CG3 Equity</t>
        </is>
      </c>
      <c r="B1365" t="inlineStr">
        <is>
          <t>TSLA US 01/20/23 P106.67</t>
        </is>
      </c>
      <c r="C1365" t="inlineStr">
        <is>
          <t>2023-01-20</t>
        </is>
      </c>
      <c r="D1365" t="n">
        <v>106.67</v>
      </c>
      <c r="E1365" t="inlineStr">
        <is>
          <t>BBG00XBC1CG3</t>
        </is>
      </c>
    </row>
    <row r="1366">
      <c r="A1366" t="inlineStr">
        <is>
          <t>BBG01C5CL3Y3 Equity</t>
        </is>
      </c>
      <c r="B1366" t="inlineStr">
        <is>
          <t>TSLA US 01/20/23 P107</t>
        </is>
      </c>
      <c r="C1366" t="inlineStr">
        <is>
          <t>2023-01-20</t>
        </is>
      </c>
      <c r="D1366" t="n">
        <v>107</v>
      </c>
      <c r="E1366" t="inlineStr">
        <is>
          <t>BBG01C5CL3Y3</t>
        </is>
      </c>
    </row>
    <row r="1367">
      <c r="A1367" t="inlineStr">
        <is>
          <t>BBG01C5CL523 Equity</t>
        </is>
      </c>
      <c r="B1367" t="inlineStr">
        <is>
          <t>TSLA US 01/20/23 P108</t>
        </is>
      </c>
      <c r="C1367" t="inlineStr">
        <is>
          <t>2023-01-20</t>
        </is>
      </c>
      <c r="D1367" t="n">
        <v>108</v>
      </c>
      <c r="E1367" t="inlineStr">
        <is>
          <t>BBG01C5CL523</t>
        </is>
      </c>
    </row>
    <row r="1368">
      <c r="A1368" t="inlineStr">
        <is>
          <t>BBG00XBC1DL5 Equity</t>
        </is>
      </c>
      <c r="B1368" t="inlineStr">
        <is>
          <t>TSLA US 01/20/23 P108.33</t>
        </is>
      </c>
      <c r="C1368" t="inlineStr">
        <is>
          <t>2023-01-20</t>
        </is>
      </c>
      <c r="D1368" t="n">
        <v>108.33</v>
      </c>
      <c r="E1368" t="inlineStr">
        <is>
          <t>BBG00XBC1DL5</t>
        </is>
      </c>
    </row>
    <row r="1369">
      <c r="A1369" t="inlineStr">
        <is>
          <t>BBG01C5CL658 Equity</t>
        </is>
      </c>
      <c r="B1369" t="inlineStr">
        <is>
          <t>TSLA US 01/20/23 P109</t>
        </is>
      </c>
      <c r="C1369" t="inlineStr">
        <is>
          <t>2023-01-20</t>
        </is>
      </c>
      <c r="D1369" t="n">
        <v>109</v>
      </c>
      <c r="E1369" t="inlineStr">
        <is>
          <t>BBG01C5CL658</t>
        </is>
      </c>
    </row>
    <row r="1370">
      <c r="A1370" t="inlineStr">
        <is>
          <t>BBG00XBC1FP6 Equity</t>
        </is>
      </c>
      <c r="B1370" t="inlineStr">
        <is>
          <t>TSLA US 01/20/23 P110</t>
        </is>
      </c>
      <c r="C1370" t="inlineStr">
        <is>
          <t>2023-01-20</t>
        </is>
      </c>
      <c r="D1370" t="n">
        <v>110</v>
      </c>
      <c r="E1370" t="inlineStr">
        <is>
          <t>BBG00XBC1FP6</t>
        </is>
      </c>
    </row>
    <row r="1371">
      <c r="A1371" t="inlineStr">
        <is>
          <t>BBG01C5CL792 Equity</t>
        </is>
      </c>
      <c r="B1371" t="inlineStr">
        <is>
          <t>TSLA US 01/20/23 P111</t>
        </is>
      </c>
      <c r="C1371" t="inlineStr">
        <is>
          <t>2023-01-20</t>
        </is>
      </c>
      <c r="D1371" t="n">
        <v>111</v>
      </c>
      <c r="E1371" t="inlineStr">
        <is>
          <t>BBG01C5CL792</t>
        </is>
      </c>
    </row>
    <row r="1372">
      <c r="A1372" t="inlineStr">
        <is>
          <t>BBG00XBC1GS1 Equity</t>
        </is>
      </c>
      <c r="B1372" t="inlineStr">
        <is>
          <t>TSLA US 01/20/23 P111.67</t>
        </is>
      </c>
      <c r="C1372" t="inlineStr">
        <is>
          <t>2023-01-20</t>
        </is>
      </c>
      <c r="D1372" t="n">
        <v>111.67</v>
      </c>
      <c r="E1372" t="inlineStr">
        <is>
          <t>BBG00XBC1GS1</t>
        </is>
      </c>
    </row>
    <row r="1373">
      <c r="A1373" t="inlineStr">
        <is>
          <t>BBG01C5CL8D5 Equity</t>
        </is>
      </c>
      <c r="B1373" t="inlineStr">
        <is>
          <t>TSLA US 01/20/23 P112</t>
        </is>
      </c>
      <c r="C1373" t="inlineStr">
        <is>
          <t>2023-01-20</t>
        </is>
      </c>
      <c r="D1373" t="n">
        <v>112</v>
      </c>
      <c r="E1373" t="inlineStr">
        <is>
          <t>BBG01C5CL8D5</t>
        </is>
      </c>
    </row>
    <row r="1374">
      <c r="A1374" t="inlineStr">
        <is>
          <t>BBG01C5CL9H9 Equity</t>
        </is>
      </c>
      <c r="B1374" t="inlineStr">
        <is>
          <t>TSLA US 01/20/23 P113</t>
        </is>
      </c>
      <c r="C1374" t="inlineStr">
        <is>
          <t>2023-01-20</t>
        </is>
      </c>
      <c r="D1374" t="n">
        <v>113</v>
      </c>
      <c r="E1374" t="inlineStr">
        <is>
          <t>BBG01C5CL9H9</t>
        </is>
      </c>
    </row>
    <row r="1375">
      <c r="A1375" t="inlineStr">
        <is>
          <t>BBG00XBC1HX3 Equity</t>
        </is>
      </c>
      <c r="B1375" t="inlineStr">
        <is>
          <t>TSLA US 01/20/23 P113.33</t>
        </is>
      </c>
      <c r="C1375" t="inlineStr">
        <is>
          <t>2023-01-20</t>
        </is>
      </c>
      <c r="D1375" t="n">
        <v>113.33</v>
      </c>
      <c r="E1375" t="inlineStr">
        <is>
          <t>BBG00XBC1HX3</t>
        </is>
      </c>
    </row>
    <row r="1376">
      <c r="A1376" t="inlineStr">
        <is>
          <t>BBG01C5CLBM8 Equity</t>
        </is>
      </c>
      <c r="B1376" t="inlineStr">
        <is>
          <t>TSLA US 01/20/23 P114</t>
        </is>
      </c>
      <c r="C1376" t="inlineStr">
        <is>
          <t>2023-01-20</t>
        </is>
      </c>
      <c r="D1376" t="n">
        <v>114</v>
      </c>
      <c r="E1376" t="inlineStr">
        <is>
          <t>BBG01C5CLBM8</t>
        </is>
      </c>
    </row>
    <row r="1377">
      <c r="A1377" t="inlineStr">
        <is>
          <t>BBG00XBC1K02 Equity</t>
        </is>
      </c>
      <c r="B1377" t="inlineStr">
        <is>
          <t>TSLA US 01/20/23 P115</t>
        </is>
      </c>
      <c r="C1377" t="inlineStr">
        <is>
          <t>2023-01-20</t>
        </is>
      </c>
      <c r="D1377" t="n">
        <v>115</v>
      </c>
      <c r="E1377" t="inlineStr">
        <is>
          <t>BBG00XBC1K02</t>
        </is>
      </c>
    </row>
    <row r="1378">
      <c r="A1378" t="inlineStr">
        <is>
          <t>BBG01C5CLCQ2 Equity</t>
        </is>
      </c>
      <c r="B1378" t="inlineStr">
        <is>
          <t>TSLA US 01/20/23 P116</t>
        </is>
      </c>
      <c r="C1378" t="inlineStr">
        <is>
          <t>2023-01-20</t>
        </is>
      </c>
      <c r="D1378" t="n">
        <v>116</v>
      </c>
      <c r="E1378" t="inlineStr">
        <is>
          <t>BBG01C5CLCQ2</t>
        </is>
      </c>
    </row>
    <row r="1379">
      <c r="A1379" t="inlineStr">
        <is>
          <t>BBG00XBC1L37 Equity</t>
        </is>
      </c>
      <c r="B1379" t="inlineStr">
        <is>
          <t>TSLA US 01/20/23 P116.67</t>
        </is>
      </c>
      <c r="C1379" t="inlineStr">
        <is>
          <t>2023-01-20</t>
        </is>
      </c>
      <c r="D1379" t="n">
        <v>116.67</v>
      </c>
      <c r="E1379" t="inlineStr">
        <is>
          <t>BBG00XBC1L37</t>
        </is>
      </c>
    </row>
    <row r="1380">
      <c r="A1380" t="inlineStr">
        <is>
          <t>BBG01C5CLDT7 Equity</t>
        </is>
      </c>
      <c r="B1380" t="inlineStr">
        <is>
          <t>TSLA US 01/20/23 P117</t>
        </is>
      </c>
      <c r="C1380" t="inlineStr">
        <is>
          <t>2023-01-20</t>
        </is>
      </c>
      <c r="D1380" t="n">
        <v>117</v>
      </c>
      <c r="E1380" t="inlineStr">
        <is>
          <t>BBG01C5CLDT7</t>
        </is>
      </c>
    </row>
    <row r="1381">
      <c r="A1381" t="inlineStr">
        <is>
          <t>BBG01C5CLFY6 Equity</t>
        </is>
      </c>
      <c r="B1381" t="inlineStr">
        <is>
          <t>TSLA US 01/20/23 P118</t>
        </is>
      </c>
      <c r="C1381" t="inlineStr">
        <is>
          <t>2023-01-20</t>
        </is>
      </c>
      <c r="D1381" t="n">
        <v>118</v>
      </c>
      <c r="E1381" t="inlineStr">
        <is>
          <t>BBG01C5CLFY6</t>
        </is>
      </c>
    </row>
    <row r="1382">
      <c r="A1382" t="inlineStr">
        <is>
          <t>BBG00XBC1M71 Equity</t>
        </is>
      </c>
      <c r="B1382" t="inlineStr">
        <is>
          <t>TSLA US 01/20/23 P118.33</t>
        </is>
      </c>
      <c r="C1382" t="inlineStr">
        <is>
          <t>2023-01-20</t>
        </is>
      </c>
      <c r="D1382" t="n">
        <v>118.33</v>
      </c>
      <c r="E1382" t="inlineStr">
        <is>
          <t>BBG00XBC1M71</t>
        </is>
      </c>
    </row>
    <row r="1383">
      <c r="A1383" t="inlineStr">
        <is>
          <t>BBG01C5CLH18 Equity</t>
        </is>
      </c>
      <c r="B1383" t="inlineStr">
        <is>
          <t>TSLA US 01/20/23 P119</t>
        </is>
      </c>
      <c r="C1383" t="inlineStr">
        <is>
          <t>2023-01-20</t>
        </is>
      </c>
      <c r="D1383" t="n">
        <v>119</v>
      </c>
      <c r="E1383" t="inlineStr">
        <is>
          <t>BBG01C5CLH18</t>
        </is>
      </c>
    </row>
    <row r="1384">
      <c r="A1384" t="inlineStr">
        <is>
          <t>BBG00XBC1NB4 Equity</t>
        </is>
      </c>
      <c r="B1384" t="inlineStr">
        <is>
          <t>TSLA US 01/20/23 P120</t>
        </is>
      </c>
      <c r="C1384" t="inlineStr">
        <is>
          <t>2023-01-20</t>
        </is>
      </c>
      <c r="D1384" t="n">
        <v>120</v>
      </c>
      <c r="E1384" t="inlineStr">
        <is>
          <t>BBG00XBC1NB4</t>
        </is>
      </c>
    </row>
    <row r="1385">
      <c r="A1385" t="inlineStr">
        <is>
          <t>BBG01C5CLJ41 Equity</t>
        </is>
      </c>
      <c r="B1385" t="inlineStr">
        <is>
          <t>TSLA US 01/20/23 P121</t>
        </is>
      </c>
      <c r="C1385" t="inlineStr">
        <is>
          <t>2023-01-20</t>
        </is>
      </c>
      <c r="D1385" t="n">
        <v>121</v>
      </c>
      <c r="E1385" t="inlineStr">
        <is>
          <t>BBG01C5CLJ41</t>
        </is>
      </c>
    </row>
    <row r="1386">
      <c r="A1386" t="inlineStr">
        <is>
          <t>BBG00XBC1PF5 Equity</t>
        </is>
      </c>
      <c r="B1386" t="inlineStr">
        <is>
          <t>TSLA US 01/20/23 P121.67</t>
        </is>
      </c>
      <c r="C1386" t="inlineStr">
        <is>
          <t>2023-01-20</t>
        </is>
      </c>
      <c r="D1386" t="n">
        <v>121.67</v>
      </c>
      <c r="E1386" t="inlineStr">
        <is>
          <t>BBG00XBC1PF5</t>
        </is>
      </c>
    </row>
    <row r="1387">
      <c r="A1387" t="inlineStr">
        <is>
          <t>BBG01C5CLK84 Equity</t>
        </is>
      </c>
      <c r="B1387" t="inlineStr">
        <is>
          <t>TSLA US 01/20/23 P122</t>
        </is>
      </c>
      <c r="C1387" t="inlineStr">
        <is>
          <t>2023-01-20</t>
        </is>
      </c>
      <c r="D1387" t="n">
        <v>122</v>
      </c>
      <c r="E1387" t="inlineStr">
        <is>
          <t>BBG01C5CLK84</t>
        </is>
      </c>
    </row>
    <row r="1388">
      <c r="A1388" t="inlineStr">
        <is>
          <t>BBG01C5CLLC7 Equity</t>
        </is>
      </c>
      <c r="B1388" t="inlineStr">
        <is>
          <t>TSLA US 01/20/23 P123</t>
        </is>
      </c>
      <c r="C1388" t="inlineStr">
        <is>
          <t>2023-01-20</t>
        </is>
      </c>
      <c r="D1388" t="n">
        <v>123</v>
      </c>
      <c r="E1388" t="inlineStr">
        <is>
          <t>BBG01C5CLLC7</t>
        </is>
      </c>
    </row>
    <row r="1389">
      <c r="A1389" t="inlineStr">
        <is>
          <t>BBG00XBC1QK7 Equity</t>
        </is>
      </c>
      <c r="B1389" t="inlineStr">
        <is>
          <t>TSLA US 01/20/23 P123.33</t>
        </is>
      </c>
      <c r="C1389" t="inlineStr">
        <is>
          <t>2023-01-20</t>
        </is>
      </c>
      <c r="D1389" t="n">
        <v>123.33</v>
      </c>
      <c r="E1389" t="inlineStr">
        <is>
          <t>BBG00XBC1QK7</t>
        </is>
      </c>
    </row>
    <row r="1390">
      <c r="A1390" t="inlineStr">
        <is>
          <t>BBG01C5CLMG1 Equity</t>
        </is>
      </c>
      <c r="B1390" t="inlineStr">
        <is>
          <t>TSLA US 01/20/23 P124</t>
        </is>
      </c>
      <c r="C1390" t="inlineStr">
        <is>
          <t>2023-01-20</t>
        </is>
      </c>
      <c r="D1390" t="n">
        <v>124</v>
      </c>
      <c r="E1390" t="inlineStr">
        <is>
          <t>BBG01C5CLMG1</t>
        </is>
      </c>
    </row>
    <row r="1391">
      <c r="A1391" t="inlineStr">
        <is>
          <t>BBG00XBC1RN2 Equity</t>
        </is>
      </c>
      <c r="B1391" t="inlineStr">
        <is>
          <t>TSLA US 01/20/23 P125</t>
        </is>
      </c>
      <c r="C1391" t="inlineStr">
        <is>
          <t>2023-01-20</t>
        </is>
      </c>
      <c r="D1391" t="n">
        <v>125</v>
      </c>
      <c r="E1391" t="inlineStr">
        <is>
          <t>BBG00XBC1RN2</t>
        </is>
      </c>
    </row>
    <row r="1392">
      <c r="A1392" t="inlineStr">
        <is>
          <t>BBG01C5CLNL3 Equity</t>
        </is>
      </c>
      <c r="B1392" t="inlineStr">
        <is>
          <t>TSLA US 01/20/23 P126</t>
        </is>
      </c>
      <c r="C1392" t="inlineStr">
        <is>
          <t>2023-01-20</t>
        </is>
      </c>
      <c r="D1392" t="n">
        <v>126</v>
      </c>
      <c r="E1392" t="inlineStr">
        <is>
          <t>BBG01C5CLNL3</t>
        </is>
      </c>
    </row>
    <row r="1393">
      <c r="A1393" t="inlineStr">
        <is>
          <t>BBG00XBC1SR6 Equity</t>
        </is>
      </c>
      <c r="B1393" t="inlineStr">
        <is>
          <t>TSLA US 01/20/23 P126.67</t>
        </is>
      </c>
      <c r="C1393" t="inlineStr">
        <is>
          <t>2023-01-20</t>
        </is>
      </c>
      <c r="D1393" t="n">
        <v>126.67</v>
      </c>
      <c r="E1393" t="inlineStr">
        <is>
          <t>BBG00XBC1SR6</t>
        </is>
      </c>
    </row>
    <row r="1394">
      <c r="A1394" t="inlineStr">
        <is>
          <t>BBG01C5CLPP4 Equity</t>
        </is>
      </c>
      <c r="B1394" t="inlineStr">
        <is>
          <t>TSLA US 01/20/23 P127</t>
        </is>
      </c>
      <c r="C1394" t="inlineStr">
        <is>
          <t>2023-01-20</t>
        </is>
      </c>
      <c r="D1394" t="n">
        <v>127</v>
      </c>
      <c r="E1394" t="inlineStr">
        <is>
          <t>BBG01C5CLPP4</t>
        </is>
      </c>
    </row>
    <row r="1395">
      <c r="A1395" t="inlineStr">
        <is>
          <t>BBG00XBC1TW8 Equity</t>
        </is>
      </c>
      <c r="B1395" t="inlineStr">
        <is>
          <t>TSLA US 01/20/23 P128.33</t>
        </is>
      </c>
      <c r="C1395" t="inlineStr">
        <is>
          <t>2023-01-20</t>
        </is>
      </c>
      <c r="D1395" t="n">
        <v>128.33</v>
      </c>
      <c r="E1395" t="inlineStr">
        <is>
          <t>BBG00XBC1TW8</t>
        </is>
      </c>
    </row>
    <row r="1396">
      <c r="A1396" t="inlineStr">
        <is>
          <t>BBG00XBC1VZ0 Equity</t>
        </is>
      </c>
      <c r="B1396" t="inlineStr">
        <is>
          <t>TSLA US 01/20/23 P130</t>
        </is>
      </c>
      <c r="C1396" t="inlineStr">
        <is>
          <t>2023-01-20</t>
        </is>
      </c>
      <c r="D1396" t="n">
        <v>130</v>
      </c>
      <c r="E1396" t="inlineStr">
        <is>
          <t>BBG00XBC1VZ0</t>
        </is>
      </c>
    </row>
    <row r="1397">
      <c r="A1397" t="inlineStr">
        <is>
          <t>BBG00XBC1X22 Equity</t>
        </is>
      </c>
      <c r="B1397" t="inlineStr">
        <is>
          <t>TSLA US 01/20/23 P131.67</t>
        </is>
      </c>
      <c r="C1397" t="inlineStr">
        <is>
          <t>2023-01-20</t>
        </is>
      </c>
      <c r="D1397" t="n">
        <v>131.67</v>
      </c>
      <c r="E1397" t="inlineStr">
        <is>
          <t>BBG00XBC1X22</t>
        </is>
      </c>
    </row>
    <row r="1398">
      <c r="A1398" t="inlineStr">
        <is>
          <t>BBG00XBC1Y66 Equity</t>
        </is>
      </c>
      <c r="B1398" t="inlineStr">
        <is>
          <t>TSLA US 01/20/23 P133.33</t>
        </is>
      </c>
      <c r="C1398" t="inlineStr">
        <is>
          <t>2023-01-20</t>
        </is>
      </c>
      <c r="D1398" t="n">
        <v>133.33</v>
      </c>
      <c r="E1398" t="inlineStr">
        <is>
          <t>BBG00XBC1Y66</t>
        </is>
      </c>
    </row>
    <row r="1399">
      <c r="A1399" t="inlineStr">
        <is>
          <t>BBG00XBC1Z90 Equity</t>
        </is>
      </c>
      <c r="B1399" t="inlineStr">
        <is>
          <t>TSLA US 01/20/23 P135</t>
        </is>
      </c>
      <c r="C1399" t="inlineStr">
        <is>
          <t>2023-01-20</t>
        </is>
      </c>
      <c r="D1399" t="n">
        <v>135</v>
      </c>
      <c r="E1399" t="inlineStr">
        <is>
          <t>BBG00XBC1Z90</t>
        </is>
      </c>
    </row>
    <row r="1400">
      <c r="A1400" t="inlineStr">
        <is>
          <t>BBG00XBC20D1 Equity</t>
        </is>
      </c>
      <c r="B1400" t="inlineStr">
        <is>
          <t>TSLA US 01/20/23 P136.67</t>
        </is>
      </c>
      <c r="C1400" t="inlineStr">
        <is>
          <t>2023-01-20</t>
        </is>
      </c>
      <c r="D1400" t="n">
        <v>136.67</v>
      </c>
      <c r="E1400" t="inlineStr">
        <is>
          <t>BBG00XBC20D1</t>
        </is>
      </c>
    </row>
    <row r="1401">
      <c r="A1401" t="inlineStr">
        <is>
          <t>BBG01C5CLQS9 Equity</t>
        </is>
      </c>
      <c r="B1401" t="inlineStr">
        <is>
          <t>TSLA US 01/20/23 P138</t>
        </is>
      </c>
      <c r="C1401" t="inlineStr">
        <is>
          <t>2023-01-20</t>
        </is>
      </c>
      <c r="D1401" t="n">
        <v>138</v>
      </c>
      <c r="E1401" t="inlineStr">
        <is>
          <t>BBG01C5CLQS9</t>
        </is>
      </c>
    </row>
    <row r="1402">
      <c r="A1402" t="inlineStr">
        <is>
          <t>BBG01C5CLRX1 Equity</t>
        </is>
      </c>
      <c r="B1402" t="inlineStr">
        <is>
          <t>TSLA US 01/20/23 P139</t>
        </is>
      </c>
      <c r="C1402" t="inlineStr">
        <is>
          <t>2023-01-20</t>
        </is>
      </c>
      <c r="D1402" t="n">
        <v>139</v>
      </c>
      <c r="E1402" t="inlineStr">
        <is>
          <t>BBG01C5CLRX1</t>
        </is>
      </c>
    </row>
    <row r="1403">
      <c r="A1403" t="inlineStr">
        <is>
          <t>BBG00XBC21J3 Equity</t>
        </is>
      </c>
      <c r="B1403" t="inlineStr">
        <is>
          <t>TSLA US 01/20/23 P140</t>
        </is>
      </c>
      <c r="C1403" t="inlineStr">
        <is>
          <t>2023-01-20</t>
        </is>
      </c>
      <c r="D1403" t="n">
        <v>140</v>
      </c>
      <c r="E1403" t="inlineStr">
        <is>
          <t>BBG00XBC21J3</t>
        </is>
      </c>
    </row>
    <row r="1404">
      <c r="A1404" t="inlineStr">
        <is>
          <t>BBG01C5CLT03 Equity</t>
        </is>
      </c>
      <c r="B1404" t="inlineStr">
        <is>
          <t>TSLA US 01/20/23 P141</t>
        </is>
      </c>
      <c r="C1404" t="inlineStr">
        <is>
          <t>2023-01-20</t>
        </is>
      </c>
      <c r="D1404" t="n">
        <v>141</v>
      </c>
      <c r="E1404" t="inlineStr">
        <is>
          <t>BBG01C5CLT03</t>
        </is>
      </c>
    </row>
    <row r="1405">
      <c r="A1405" t="inlineStr">
        <is>
          <t>BBG01C5CLV35 Equity</t>
        </is>
      </c>
      <c r="B1405" t="inlineStr">
        <is>
          <t>TSLA US 01/20/23 P142</t>
        </is>
      </c>
      <c r="C1405" t="inlineStr">
        <is>
          <t>2023-01-20</t>
        </is>
      </c>
      <c r="D1405" t="n">
        <v>142</v>
      </c>
      <c r="E1405" t="inlineStr">
        <is>
          <t>BBG01C5CLV35</t>
        </is>
      </c>
    </row>
    <row r="1406">
      <c r="A1406" t="inlineStr">
        <is>
          <t>BBG00XBC22M7 Equity</t>
        </is>
      </c>
      <c r="B1406" t="inlineStr">
        <is>
          <t>TSLA US 01/20/23 P143.33</t>
        </is>
      </c>
      <c r="C1406" t="inlineStr">
        <is>
          <t>2023-01-20</t>
        </is>
      </c>
      <c r="D1406" t="n">
        <v>143.33</v>
      </c>
      <c r="E1406" t="inlineStr">
        <is>
          <t>BBG00XBC22M7</t>
        </is>
      </c>
    </row>
    <row r="1407">
      <c r="A1407" t="inlineStr">
        <is>
          <t>BBG01BL95K38 Equity</t>
        </is>
      </c>
      <c r="B1407" t="inlineStr">
        <is>
          <t>TSLA US 01/20/23 P145</t>
        </is>
      </c>
      <c r="C1407" t="inlineStr">
        <is>
          <t>2023-01-20</t>
        </is>
      </c>
      <c r="D1407" t="n">
        <v>145</v>
      </c>
      <c r="E1407" t="inlineStr">
        <is>
          <t>BBG01BL95K38</t>
        </is>
      </c>
    </row>
    <row r="1408">
      <c r="A1408" t="inlineStr">
        <is>
          <t>BBG01C2SMQC3 Equity</t>
        </is>
      </c>
      <c r="B1408" t="inlineStr">
        <is>
          <t>TSLA US 01/20/23 P146</t>
        </is>
      </c>
      <c r="C1408" t="inlineStr">
        <is>
          <t>2023-01-20</t>
        </is>
      </c>
      <c r="D1408" t="n">
        <v>146</v>
      </c>
      <c r="E1408" t="inlineStr">
        <is>
          <t>BBG01C2SMQC3</t>
        </is>
      </c>
    </row>
    <row r="1409">
      <c r="A1409" t="inlineStr">
        <is>
          <t>BBG00XBC23Q1 Equity</t>
        </is>
      </c>
      <c r="B1409" t="inlineStr">
        <is>
          <t>TSLA US 01/20/23 P146.67</t>
        </is>
      </c>
      <c r="C1409" t="inlineStr">
        <is>
          <t>2023-01-20</t>
        </is>
      </c>
      <c r="D1409" t="n">
        <v>146.67</v>
      </c>
      <c r="E1409" t="inlineStr">
        <is>
          <t>BBG00XBC23Q1</t>
        </is>
      </c>
    </row>
    <row r="1410">
      <c r="A1410" t="inlineStr">
        <is>
          <t>BBG01C2SMRG7 Equity</t>
        </is>
      </c>
      <c r="B1410" t="inlineStr">
        <is>
          <t>TSLA US 01/20/23 P147</t>
        </is>
      </c>
      <c r="C1410" t="inlineStr">
        <is>
          <t>2023-01-20</t>
        </is>
      </c>
      <c r="D1410" t="n">
        <v>147</v>
      </c>
      <c r="E1410" t="inlineStr">
        <is>
          <t>BBG01C2SMRG7</t>
        </is>
      </c>
    </row>
    <row r="1411">
      <c r="A1411" t="inlineStr">
        <is>
          <t>BBG01C2SMSL9 Equity</t>
        </is>
      </c>
      <c r="B1411" t="inlineStr">
        <is>
          <t>TSLA US 01/20/23 P148</t>
        </is>
      </c>
      <c r="C1411" t="inlineStr">
        <is>
          <t>2023-01-20</t>
        </is>
      </c>
      <c r="D1411" t="n">
        <v>148</v>
      </c>
      <c r="E1411" t="inlineStr">
        <is>
          <t>BBG01C2SMSL9</t>
        </is>
      </c>
    </row>
    <row r="1412">
      <c r="A1412" t="inlineStr">
        <is>
          <t>BBG01C2SMTP3 Equity</t>
        </is>
      </c>
      <c r="B1412" t="inlineStr">
        <is>
          <t>TSLA US 01/20/23 P149</t>
        </is>
      </c>
      <c r="C1412" t="inlineStr">
        <is>
          <t>2023-01-20</t>
        </is>
      </c>
      <c r="D1412" t="n">
        <v>149</v>
      </c>
      <c r="E1412" t="inlineStr">
        <is>
          <t>BBG01C2SMTP3</t>
        </is>
      </c>
    </row>
    <row r="1413">
      <c r="A1413" t="inlineStr">
        <is>
          <t>BBG00XBC24V3 Equity</t>
        </is>
      </c>
      <c r="B1413" t="inlineStr">
        <is>
          <t>TSLA US 01/20/23 P150</t>
        </is>
      </c>
      <c r="C1413" t="inlineStr">
        <is>
          <t>2023-01-20</t>
        </is>
      </c>
      <c r="D1413" t="n">
        <v>150</v>
      </c>
      <c r="E1413" t="inlineStr">
        <is>
          <t>BBG00XBC24V3</t>
        </is>
      </c>
    </row>
    <row r="1414">
      <c r="A1414" t="inlineStr">
        <is>
          <t>BBG01C2SMVS5 Equity</t>
        </is>
      </c>
      <c r="B1414" t="inlineStr">
        <is>
          <t>TSLA US 01/20/23 P152.5</t>
        </is>
      </c>
      <c r="C1414" t="inlineStr">
        <is>
          <t>2023-01-20</t>
        </is>
      </c>
      <c r="D1414" t="n">
        <v>152.5</v>
      </c>
      <c r="E1414" t="inlineStr">
        <is>
          <t>BBG01C2SMVS5</t>
        </is>
      </c>
    </row>
    <row r="1415">
      <c r="A1415" t="inlineStr">
        <is>
          <t>BBG00XBC25Y7 Equity</t>
        </is>
      </c>
      <c r="B1415" t="inlineStr">
        <is>
          <t>TSLA US 01/20/23 P153.33</t>
        </is>
      </c>
      <c r="C1415" t="inlineStr">
        <is>
          <t>2023-01-20</t>
        </is>
      </c>
      <c r="D1415" t="n">
        <v>153.33</v>
      </c>
      <c r="E1415" t="inlineStr">
        <is>
          <t>BBG00XBC25Y7</t>
        </is>
      </c>
    </row>
    <row r="1416">
      <c r="A1416" t="inlineStr">
        <is>
          <t>BBG01BL95L72 Equity</t>
        </is>
      </c>
      <c r="B1416" t="inlineStr">
        <is>
          <t>TSLA US 01/20/23 P155</t>
        </is>
      </c>
      <c r="C1416" t="inlineStr">
        <is>
          <t>2023-01-20</t>
        </is>
      </c>
      <c r="D1416" t="n">
        <v>155</v>
      </c>
      <c r="E1416" t="inlineStr">
        <is>
          <t>BBG01BL95L72</t>
        </is>
      </c>
    </row>
    <row r="1417">
      <c r="A1417" t="inlineStr">
        <is>
          <t>BBG00XBC2719 Equity</t>
        </is>
      </c>
      <c r="B1417" t="inlineStr">
        <is>
          <t>TSLA US 01/20/23 P156.67</t>
        </is>
      </c>
      <c r="C1417" t="inlineStr">
        <is>
          <t>2023-01-20</t>
        </is>
      </c>
      <c r="D1417" t="n">
        <v>156.67</v>
      </c>
      <c r="E1417" t="inlineStr">
        <is>
          <t>BBG00XBC2719</t>
        </is>
      </c>
    </row>
    <row r="1418">
      <c r="A1418" t="inlineStr">
        <is>
          <t>BBG01C2SMWX7 Equity</t>
        </is>
      </c>
      <c r="B1418" t="inlineStr">
        <is>
          <t>TSLA US 01/20/23 P157.5</t>
        </is>
      </c>
      <c r="C1418" t="inlineStr">
        <is>
          <t>2023-01-20</t>
        </is>
      </c>
      <c r="D1418" t="n">
        <v>157.5</v>
      </c>
      <c r="E1418" t="inlineStr">
        <is>
          <t>BBG01C2SMWX7</t>
        </is>
      </c>
    </row>
    <row r="1419">
      <c r="A1419" t="inlineStr">
        <is>
          <t>BBG00XBC2853 Equity</t>
        </is>
      </c>
      <c r="B1419" t="inlineStr">
        <is>
          <t>TSLA US 01/20/23 P160</t>
        </is>
      </c>
      <c r="C1419" t="inlineStr">
        <is>
          <t>2023-01-20</t>
        </is>
      </c>
      <c r="D1419" t="n">
        <v>160</v>
      </c>
      <c r="E1419" t="inlineStr">
        <is>
          <t>BBG00XBC2853</t>
        </is>
      </c>
    </row>
    <row r="1420">
      <c r="A1420" t="inlineStr">
        <is>
          <t>BBG01BL95RS6 Equity</t>
        </is>
      </c>
      <c r="B1420" t="inlineStr">
        <is>
          <t>TSLA US 01/20/23 P195</t>
        </is>
      </c>
      <c r="C1420" t="inlineStr">
        <is>
          <t>2023-01-20</t>
        </is>
      </c>
      <c r="D1420" t="n">
        <v>195</v>
      </c>
      <c r="E1420" t="inlineStr">
        <is>
          <t>BBG01BL95RS6</t>
        </is>
      </c>
    </row>
    <row r="1421">
      <c r="A1421" t="inlineStr">
        <is>
          <t>BBG00XBC2HX2 Equity</t>
        </is>
      </c>
      <c r="B1421" t="inlineStr">
        <is>
          <t>TSLA US 01/20/23 P200</t>
        </is>
      </c>
      <c r="C1421" t="inlineStr">
        <is>
          <t>2023-01-20</t>
        </is>
      </c>
      <c r="D1421" t="n">
        <v>200</v>
      </c>
      <c r="E1421" t="inlineStr">
        <is>
          <t>BBG00XBC2HX2</t>
        </is>
      </c>
    </row>
    <row r="1422">
      <c r="A1422" t="inlineStr">
        <is>
          <t>BBG00Z2QW355 Equity</t>
        </is>
      </c>
      <c r="B1422" t="inlineStr">
        <is>
          <t>TSLA US 01/20/23 P203.33</t>
        </is>
      </c>
      <c r="C1422" t="inlineStr">
        <is>
          <t>2023-01-20</t>
        </is>
      </c>
      <c r="D1422" t="n">
        <v>203.33</v>
      </c>
      <c r="E1422" t="inlineStr">
        <is>
          <t>BBG00Z2QW355</t>
        </is>
      </c>
    </row>
    <row r="1423">
      <c r="A1423" t="inlineStr">
        <is>
          <t>BBG01BL95SX8 Equity</t>
        </is>
      </c>
      <c r="B1423" t="inlineStr">
        <is>
          <t>TSLA US 01/20/23 P205</t>
        </is>
      </c>
      <c r="C1423" t="inlineStr">
        <is>
          <t>2023-01-20</t>
        </is>
      </c>
      <c r="D1423" t="n">
        <v>205</v>
      </c>
      <c r="E1423" t="inlineStr">
        <is>
          <t>BBG01BL95SX8</t>
        </is>
      </c>
    </row>
    <row r="1424">
      <c r="A1424" t="inlineStr">
        <is>
          <t>BBG00ZLDZZ86 Equity</t>
        </is>
      </c>
      <c r="B1424" t="inlineStr">
        <is>
          <t>TSLA US 01/20/23 P206.67</t>
        </is>
      </c>
      <c r="C1424" t="inlineStr">
        <is>
          <t>2023-01-20</t>
        </is>
      </c>
      <c r="D1424" t="n">
        <v>206.67</v>
      </c>
      <c r="E1424" t="inlineStr">
        <is>
          <t>BBG00ZLDZZ86</t>
        </is>
      </c>
    </row>
    <row r="1425">
      <c r="A1425" t="inlineStr">
        <is>
          <t>BBG00ZLF00C1 Equity</t>
        </is>
      </c>
      <c r="B1425" t="inlineStr">
        <is>
          <t>TSLA US 01/20/23 P210</t>
        </is>
      </c>
      <c r="C1425" t="inlineStr">
        <is>
          <t>2023-01-20</t>
        </is>
      </c>
      <c r="D1425" t="n">
        <v>210</v>
      </c>
      <c r="E1425" t="inlineStr">
        <is>
          <t>BBG00ZLF00C1</t>
        </is>
      </c>
    </row>
    <row r="1426">
      <c r="A1426" t="inlineStr">
        <is>
          <t>BBG00ZLF01G5 Equity</t>
        </is>
      </c>
      <c r="B1426" t="inlineStr">
        <is>
          <t>TSLA US 01/20/23 P213.33</t>
        </is>
      </c>
      <c r="C1426" t="inlineStr">
        <is>
          <t>2023-01-20</t>
        </is>
      </c>
      <c r="D1426" t="n">
        <v>213.33</v>
      </c>
      <c r="E1426" t="inlineStr">
        <is>
          <t>BBG00ZLF01G5</t>
        </is>
      </c>
    </row>
    <row r="1427">
      <c r="A1427" t="inlineStr">
        <is>
          <t>BBG01BL95V07 Equity</t>
        </is>
      </c>
      <c r="B1427" t="inlineStr">
        <is>
          <t>TSLA US 01/20/23 P215</t>
        </is>
      </c>
      <c r="C1427" t="inlineStr">
        <is>
          <t>2023-01-20</t>
        </is>
      </c>
      <c r="D1427" t="n">
        <v>215</v>
      </c>
      <c r="E1427" t="inlineStr">
        <is>
          <t>BBG01BL95V07</t>
        </is>
      </c>
    </row>
    <row r="1428">
      <c r="A1428" t="inlineStr">
        <is>
          <t>BBG00XBC2K10 Equity</t>
        </is>
      </c>
      <c r="B1428" t="inlineStr">
        <is>
          <t>TSLA US 01/20/23 P216.67</t>
        </is>
      </c>
      <c r="C1428" t="inlineStr">
        <is>
          <t>2023-01-20</t>
        </is>
      </c>
      <c r="D1428" t="n">
        <v>216.67</v>
      </c>
      <c r="E1428" t="inlineStr">
        <is>
          <t>BBG00XBC2K10</t>
        </is>
      </c>
    </row>
    <row r="1429">
      <c r="A1429" t="inlineStr">
        <is>
          <t>BBG00ZLF02M6 Equity</t>
        </is>
      </c>
      <c r="B1429" t="inlineStr">
        <is>
          <t>TSLA US 01/20/23 P220</t>
        </is>
      </c>
      <c r="C1429" t="inlineStr">
        <is>
          <t>2023-01-20</t>
        </is>
      </c>
      <c r="D1429" t="n">
        <v>220</v>
      </c>
      <c r="E1429" t="inlineStr">
        <is>
          <t>BBG00ZLF02M6</t>
        </is>
      </c>
    </row>
    <row r="1430">
      <c r="A1430" t="inlineStr">
        <is>
          <t>BBG00Y2M27D2 Equity</t>
        </is>
      </c>
      <c r="B1430" t="inlineStr">
        <is>
          <t>TSLA US 01/20/23 P223.33</t>
        </is>
      </c>
      <c r="C1430" t="inlineStr">
        <is>
          <t>2023-01-20</t>
        </is>
      </c>
      <c r="D1430" t="n">
        <v>223.33</v>
      </c>
      <c r="E1430" t="inlineStr">
        <is>
          <t>BBG00Y2M27D2</t>
        </is>
      </c>
    </row>
    <row r="1431">
      <c r="A1431" t="inlineStr">
        <is>
          <t>BBG01BL95W32 Equity</t>
        </is>
      </c>
      <c r="B1431" t="inlineStr">
        <is>
          <t>TSLA US 01/20/23 P225</t>
        </is>
      </c>
      <c r="C1431" t="inlineStr">
        <is>
          <t>2023-01-20</t>
        </is>
      </c>
      <c r="D1431" t="n">
        <v>225</v>
      </c>
      <c r="E1431" t="inlineStr">
        <is>
          <t>BBG01BL95W32</t>
        </is>
      </c>
    </row>
    <row r="1432">
      <c r="A1432" t="inlineStr">
        <is>
          <t>BBG00Y2M28H6 Equity</t>
        </is>
      </c>
      <c r="B1432" t="inlineStr">
        <is>
          <t>TSLA US 01/20/23 P226.67</t>
        </is>
      </c>
      <c r="C1432" t="inlineStr">
        <is>
          <t>2023-01-20</t>
        </is>
      </c>
      <c r="D1432" t="n">
        <v>226.67</v>
      </c>
      <c r="E1432" t="inlineStr">
        <is>
          <t>BBG00Y2M28H6</t>
        </is>
      </c>
    </row>
    <row r="1433">
      <c r="A1433" t="inlineStr">
        <is>
          <t>BBG00Y2M29L9 Equity</t>
        </is>
      </c>
      <c r="B1433" t="inlineStr">
        <is>
          <t>TSLA US 01/20/23 P230</t>
        </is>
      </c>
      <c r="C1433" t="inlineStr">
        <is>
          <t>2023-01-20</t>
        </is>
      </c>
      <c r="D1433" t="n">
        <v>230</v>
      </c>
      <c r="E1433" t="inlineStr">
        <is>
          <t>BBG00Y2M29L9</t>
        </is>
      </c>
    </row>
    <row r="1434">
      <c r="A1434" t="inlineStr">
        <is>
          <t>BBG00XBC2L45 Equity</t>
        </is>
      </c>
      <c r="B1434" t="inlineStr">
        <is>
          <t>TSLA US 01/20/23 P233.33</t>
        </is>
      </c>
      <c r="C1434" t="inlineStr">
        <is>
          <t>2023-01-20</t>
        </is>
      </c>
      <c r="D1434" t="n">
        <v>233.33</v>
      </c>
      <c r="E1434" t="inlineStr">
        <is>
          <t>BBG00XBC2L45</t>
        </is>
      </c>
    </row>
    <row r="1435">
      <c r="A1435" t="inlineStr">
        <is>
          <t>BBG01BL95X76 Equity</t>
        </is>
      </c>
      <c r="B1435" t="inlineStr">
        <is>
          <t>TSLA US 01/20/23 P235</t>
        </is>
      </c>
      <c r="C1435" t="inlineStr">
        <is>
          <t>2023-01-20</t>
        </is>
      </c>
      <c r="D1435" t="n">
        <v>235</v>
      </c>
      <c r="E1435" t="inlineStr">
        <is>
          <t>BBG01BL95X76</t>
        </is>
      </c>
    </row>
    <row r="1436">
      <c r="A1436" t="inlineStr">
        <is>
          <t>BBG00Y2M2BQ9 Equity</t>
        </is>
      </c>
      <c r="B1436" t="inlineStr">
        <is>
          <t>TSLA US 01/20/23 P236.67</t>
        </is>
      </c>
      <c r="C1436" t="inlineStr">
        <is>
          <t>2023-01-20</t>
        </is>
      </c>
      <c r="D1436" t="n">
        <v>236.67</v>
      </c>
      <c r="E1436" t="inlineStr">
        <is>
          <t>BBG00Y2M2BQ9</t>
        </is>
      </c>
    </row>
    <row r="1437">
      <c r="A1437" t="inlineStr">
        <is>
          <t>BBG00Y2M2CT4 Equity</t>
        </is>
      </c>
      <c r="B1437" t="inlineStr">
        <is>
          <t>TSLA US 01/20/23 P240</t>
        </is>
      </c>
      <c r="C1437" t="inlineStr">
        <is>
          <t>2023-01-20</t>
        </is>
      </c>
      <c r="D1437" t="n">
        <v>240</v>
      </c>
      <c r="E1437" t="inlineStr">
        <is>
          <t>BBG00Y2M2CT4</t>
        </is>
      </c>
    </row>
    <row r="1438">
      <c r="A1438" t="inlineStr">
        <is>
          <t>BBG00Y2M2DX7 Equity</t>
        </is>
      </c>
      <c r="B1438" t="inlineStr">
        <is>
          <t>TSLA US 01/20/23 P243.33</t>
        </is>
      </c>
      <c r="C1438" t="inlineStr">
        <is>
          <t>2023-01-20</t>
        </is>
      </c>
      <c r="D1438" t="n">
        <v>243.33</v>
      </c>
      <c r="E1438" t="inlineStr">
        <is>
          <t>BBG00Y2M2DX7</t>
        </is>
      </c>
    </row>
    <row r="1439">
      <c r="A1439" t="inlineStr">
        <is>
          <t>BBG01BL95YB9 Equity</t>
        </is>
      </c>
      <c r="B1439" t="inlineStr">
        <is>
          <t>TSLA US 01/20/23 P245</t>
        </is>
      </c>
      <c r="C1439" t="inlineStr">
        <is>
          <t>2023-01-20</t>
        </is>
      </c>
      <c r="D1439" t="n">
        <v>245</v>
      </c>
      <c r="E1439" t="inlineStr">
        <is>
          <t>BBG01BL95YB9</t>
        </is>
      </c>
    </row>
    <row r="1440">
      <c r="A1440" t="inlineStr">
        <is>
          <t>BBG017FXHT02 Equity</t>
        </is>
      </c>
      <c r="B1440" t="inlineStr">
        <is>
          <t>TSLA US 01/20/23 P246.67</t>
        </is>
      </c>
      <c r="C1440" t="inlineStr">
        <is>
          <t>2023-01-20</t>
        </is>
      </c>
      <c r="D1440" t="n">
        <v>246.67</v>
      </c>
      <c r="E1440" t="inlineStr">
        <is>
          <t>BBG017FXHT02</t>
        </is>
      </c>
    </row>
    <row r="1441">
      <c r="A1441" t="inlineStr">
        <is>
          <t>BBG00XBC2M70 Equity</t>
        </is>
      </c>
      <c r="B1441" t="inlineStr">
        <is>
          <t>TSLA US 01/20/23 P250</t>
        </is>
      </c>
      <c r="C1441" t="inlineStr">
        <is>
          <t>2023-01-20</t>
        </is>
      </c>
      <c r="D1441" t="n">
        <v>250</v>
      </c>
      <c r="E1441" t="inlineStr">
        <is>
          <t>BBG00XBC2M70</t>
        </is>
      </c>
    </row>
    <row r="1442">
      <c r="A1442" t="inlineStr">
        <is>
          <t>BBG017FXHVC4 Equity</t>
        </is>
      </c>
      <c r="B1442" t="inlineStr">
        <is>
          <t>TSLA US 01/20/23 P253.33</t>
        </is>
      </c>
      <c r="C1442" t="inlineStr">
        <is>
          <t>2023-01-20</t>
        </is>
      </c>
      <c r="D1442" t="n">
        <v>253.33</v>
      </c>
      <c r="E1442" t="inlineStr">
        <is>
          <t>BBG017FXHVC4</t>
        </is>
      </c>
    </row>
    <row r="1443">
      <c r="A1443" t="inlineStr">
        <is>
          <t>BBG01BL95ZF2 Equity</t>
        </is>
      </c>
      <c r="B1443" t="inlineStr">
        <is>
          <t>TSLA US 01/20/23 P255</t>
        </is>
      </c>
      <c r="C1443" t="inlineStr">
        <is>
          <t>2023-01-20</t>
        </is>
      </c>
      <c r="D1443" t="n">
        <v>255</v>
      </c>
      <c r="E1443" t="inlineStr">
        <is>
          <t>BBG01BL95ZF2</t>
        </is>
      </c>
    </row>
    <row r="1444">
      <c r="A1444" t="inlineStr">
        <is>
          <t>BBG00XG5B2Z3 Equity</t>
        </is>
      </c>
      <c r="B1444" t="inlineStr">
        <is>
          <t>TSLA US 01/20/23 P256.67</t>
        </is>
      </c>
      <c r="C1444" t="inlineStr">
        <is>
          <t>2023-01-20</t>
        </is>
      </c>
      <c r="D1444" t="n">
        <v>256.67</v>
      </c>
      <c r="E1444" t="inlineStr">
        <is>
          <t>BBG00XG5B2Z3</t>
        </is>
      </c>
    </row>
    <row r="1445">
      <c r="A1445" t="inlineStr">
        <is>
          <t>BBG017FXHWG8 Equity</t>
        </is>
      </c>
      <c r="B1445" t="inlineStr">
        <is>
          <t>TSLA US 01/20/23 P260</t>
        </is>
      </c>
      <c r="C1445" t="inlineStr">
        <is>
          <t>2023-01-20</t>
        </is>
      </c>
      <c r="D1445" t="n">
        <v>260</v>
      </c>
      <c r="E1445" t="inlineStr">
        <is>
          <t>BBG017FXHWG8</t>
        </is>
      </c>
    </row>
    <row r="1446">
      <c r="A1446" t="inlineStr">
        <is>
          <t>BBG01BL960K2 Equity</t>
        </is>
      </c>
      <c r="B1446" t="inlineStr">
        <is>
          <t>TSLA US 01/20/23 P265</t>
        </is>
      </c>
      <c r="C1446" t="inlineStr">
        <is>
          <t>2023-01-20</t>
        </is>
      </c>
      <c r="D1446" t="n">
        <v>265</v>
      </c>
      <c r="E1446" t="inlineStr">
        <is>
          <t>BBG01BL960K2</t>
        </is>
      </c>
    </row>
    <row r="1447">
      <c r="A1447" t="inlineStr">
        <is>
          <t>BBG00XG5B425 Equity</t>
        </is>
      </c>
      <c r="B1447" t="inlineStr">
        <is>
          <t>TSLA US 01/20/23 P266.67</t>
        </is>
      </c>
      <c r="C1447" t="inlineStr">
        <is>
          <t>2023-01-20</t>
        </is>
      </c>
      <c r="D1447" t="n">
        <v>266.67</v>
      </c>
      <c r="E1447" t="inlineStr">
        <is>
          <t>BBG00XG5B425</t>
        </is>
      </c>
    </row>
    <row r="1448">
      <c r="A1448" t="inlineStr">
        <is>
          <t>BBG01BL961N7 Equity</t>
        </is>
      </c>
      <c r="B1448" t="inlineStr">
        <is>
          <t>TSLA US 01/20/23 P270</t>
        </is>
      </c>
      <c r="C1448" t="inlineStr">
        <is>
          <t>2023-01-20</t>
        </is>
      </c>
      <c r="D1448" t="n">
        <v>270</v>
      </c>
      <c r="E1448" t="inlineStr">
        <is>
          <t>BBG01BL961N7</t>
        </is>
      </c>
    </row>
    <row r="1449">
      <c r="A1449" t="inlineStr">
        <is>
          <t>BBG017FXHXK1 Equity</t>
        </is>
      </c>
      <c r="B1449" t="inlineStr">
        <is>
          <t>TSLA US 01/20/23 P273.33</t>
        </is>
      </c>
      <c r="C1449" t="inlineStr">
        <is>
          <t>2023-01-20</t>
        </is>
      </c>
      <c r="D1449" t="n">
        <v>273.33</v>
      </c>
      <c r="E1449" t="inlineStr">
        <is>
          <t>BBG017FXHXK1</t>
        </is>
      </c>
    </row>
    <row r="1450">
      <c r="A1450" t="inlineStr">
        <is>
          <t>BBG01BL962R1 Equity</t>
        </is>
      </c>
      <c r="B1450" t="inlineStr">
        <is>
          <t>TSLA US 01/20/23 P275</t>
        </is>
      </c>
      <c r="C1450" t="inlineStr">
        <is>
          <t>2023-01-20</t>
        </is>
      </c>
      <c r="D1450" t="n">
        <v>275</v>
      </c>
      <c r="E1450" t="inlineStr">
        <is>
          <t>BBG01BL962R1</t>
        </is>
      </c>
    </row>
    <row r="1451">
      <c r="A1451" t="inlineStr">
        <is>
          <t>BBG00XG5B559 Equity</t>
        </is>
      </c>
      <c r="B1451" t="inlineStr">
        <is>
          <t>TSLA US 01/20/23 P276.67</t>
        </is>
      </c>
      <c r="C1451" t="inlineStr">
        <is>
          <t>2023-01-20</t>
        </is>
      </c>
      <c r="D1451" t="n">
        <v>276.67</v>
      </c>
      <c r="E1451" t="inlineStr">
        <is>
          <t>BBG00XG5B559</t>
        </is>
      </c>
    </row>
    <row r="1452">
      <c r="A1452" t="inlineStr">
        <is>
          <t>BBG017FXHYV7 Equity</t>
        </is>
      </c>
      <c r="B1452" t="inlineStr">
        <is>
          <t>TSLA US 01/20/23 P280</t>
        </is>
      </c>
      <c r="C1452" t="inlineStr">
        <is>
          <t>2023-01-20</t>
        </is>
      </c>
      <c r="D1452" t="n">
        <v>280</v>
      </c>
      <c r="E1452" t="inlineStr">
        <is>
          <t>BBG017FXHYV7</t>
        </is>
      </c>
    </row>
    <row r="1453">
      <c r="A1453" t="inlineStr">
        <is>
          <t>BBG00XG5B693 Equity</t>
        </is>
      </c>
      <c r="B1453" t="inlineStr">
        <is>
          <t>TSLA US 01/20/23 P283.33</t>
        </is>
      </c>
      <c r="C1453" t="inlineStr">
        <is>
          <t>2023-01-20</t>
        </is>
      </c>
      <c r="D1453" t="n">
        <v>283.33</v>
      </c>
      <c r="E1453" t="inlineStr">
        <is>
          <t>BBG00XG5B693</t>
        </is>
      </c>
    </row>
    <row r="1454">
      <c r="A1454" t="inlineStr">
        <is>
          <t>BBG01BL963W3 Equity</t>
        </is>
      </c>
      <c r="B1454" t="inlineStr">
        <is>
          <t>TSLA US 01/20/23 P285</t>
        </is>
      </c>
      <c r="C1454" t="inlineStr">
        <is>
          <t>2023-01-20</t>
        </is>
      </c>
      <c r="D1454" t="n">
        <v>285</v>
      </c>
      <c r="E1454" t="inlineStr">
        <is>
          <t>BBG01BL963W3</t>
        </is>
      </c>
    </row>
    <row r="1455">
      <c r="A1455" t="inlineStr">
        <is>
          <t>BBG017FXHZY1 Equity</t>
        </is>
      </c>
      <c r="B1455" t="inlineStr">
        <is>
          <t>TSLA US 01/20/23 P286.67</t>
        </is>
      </c>
      <c r="C1455" t="inlineStr">
        <is>
          <t>2023-01-20</t>
        </is>
      </c>
      <c r="D1455" t="n">
        <v>286.67</v>
      </c>
      <c r="E1455" t="inlineStr">
        <is>
          <t>BBG017FXHZY1</t>
        </is>
      </c>
    </row>
    <row r="1456">
      <c r="A1456" t="inlineStr">
        <is>
          <t>BBG00XG5B7D6 Equity</t>
        </is>
      </c>
      <c r="B1456" t="inlineStr">
        <is>
          <t>TSLA US 01/20/23 P290</t>
        </is>
      </c>
      <c r="C1456" t="inlineStr">
        <is>
          <t>2023-01-20</t>
        </is>
      </c>
      <c r="D1456" t="n">
        <v>290</v>
      </c>
      <c r="E1456" t="inlineStr">
        <is>
          <t>BBG00XG5B7D6</t>
        </is>
      </c>
    </row>
    <row r="1457">
      <c r="A1457" t="inlineStr">
        <is>
          <t>BBG011KBMB82 Equity</t>
        </is>
      </c>
      <c r="B1457" t="inlineStr">
        <is>
          <t>TSLA US 01/20/23 P293.33</t>
        </is>
      </c>
      <c r="C1457" t="inlineStr">
        <is>
          <t>2023-01-20</t>
        </is>
      </c>
      <c r="D1457" t="n">
        <v>293.33</v>
      </c>
      <c r="E1457" t="inlineStr">
        <is>
          <t>BBG011KBMB82</t>
        </is>
      </c>
    </row>
    <row r="1458">
      <c r="A1458" t="inlineStr">
        <is>
          <t>BBG01BL964Z8 Equity</t>
        </is>
      </c>
      <c r="B1458" t="inlineStr">
        <is>
          <t>TSLA US 01/20/23 P295</t>
        </is>
      </c>
      <c r="C1458" t="inlineStr">
        <is>
          <t>2023-01-20</t>
        </is>
      </c>
      <c r="D1458" t="n">
        <v>295</v>
      </c>
      <c r="E1458" t="inlineStr">
        <is>
          <t>BBG01BL964Z8</t>
        </is>
      </c>
    </row>
    <row r="1459">
      <c r="A1459" t="inlineStr">
        <is>
          <t>BBG00XG5B8H0 Equity</t>
        </is>
      </c>
      <c r="B1459" t="inlineStr">
        <is>
          <t>TSLA US 01/20/23 P300</t>
        </is>
      </c>
      <c r="C1459" t="inlineStr">
        <is>
          <t>2023-01-20</t>
        </is>
      </c>
      <c r="D1459" t="n">
        <v>300</v>
      </c>
      <c r="E1459" t="inlineStr">
        <is>
          <t>BBG00XG5B8H0</t>
        </is>
      </c>
    </row>
    <row r="1460">
      <c r="A1460" t="inlineStr">
        <is>
          <t>BBG01BMRP7H9 Equity</t>
        </is>
      </c>
      <c r="B1460" t="inlineStr">
        <is>
          <t>TSLA US 01/20/23 P305</t>
        </is>
      </c>
      <c r="C1460" t="inlineStr">
        <is>
          <t>2023-01-20</t>
        </is>
      </c>
      <c r="D1460" t="n">
        <v>305</v>
      </c>
      <c r="E1460" t="inlineStr">
        <is>
          <t>BBG01BMRP7H9</t>
        </is>
      </c>
    </row>
    <row r="1461">
      <c r="A1461" t="inlineStr">
        <is>
          <t>BBG00Y9922J9 Equity</t>
        </is>
      </c>
      <c r="B1461" t="inlineStr">
        <is>
          <t>TSLA US 01/20/23 P306.67</t>
        </is>
      </c>
      <c r="C1461" t="inlineStr">
        <is>
          <t>2023-01-20</t>
        </is>
      </c>
      <c r="D1461" t="n">
        <v>306.67</v>
      </c>
      <c r="E1461" t="inlineStr">
        <is>
          <t>BBG00Y9922J9</t>
        </is>
      </c>
    </row>
    <row r="1462">
      <c r="A1462" t="inlineStr">
        <is>
          <t>BBG01BMRP8L2 Equity</t>
        </is>
      </c>
      <c r="B1462" t="inlineStr">
        <is>
          <t>TSLA US 01/20/23 P310</t>
        </is>
      </c>
      <c r="C1462" t="inlineStr">
        <is>
          <t>2023-01-20</t>
        </is>
      </c>
      <c r="D1462" t="n">
        <v>310</v>
      </c>
      <c r="E1462" t="inlineStr">
        <is>
          <t>BBG01BMRP8L2</t>
        </is>
      </c>
    </row>
    <row r="1463">
      <c r="A1463" t="inlineStr">
        <is>
          <t>BBG00Y9923N2 Equity</t>
        </is>
      </c>
      <c r="B1463" t="inlineStr">
        <is>
          <t>TSLA US 01/20/23 P313.33</t>
        </is>
      </c>
      <c r="C1463" t="inlineStr">
        <is>
          <t>2023-01-20</t>
        </is>
      </c>
      <c r="D1463" t="n">
        <v>313.33</v>
      </c>
      <c r="E1463" t="inlineStr">
        <is>
          <t>BBG00Y9923N2</t>
        </is>
      </c>
    </row>
    <row r="1464">
      <c r="A1464" t="inlineStr">
        <is>
          <t>BBG01BMRP9Q5 Equity</t>
        </is>
      </c>
      <c r="B1464" t="inlineStr">
        <is>
          <t>TSLA US 01/20/23 P315</t>
        </is>
      </c>
      <c r="C1464" t="inlineStr">
        <is>
          <t>2023-01-20</t>
        </is>
      </c>
      <c r="D1464" t="n">
        <v>315</v>
      </c>
      <c r="E1464" t="inlineStr">
        <is>
          <t>BBG01BMRP9Q5</t>
        </is>
      </c>
    </row>
    <row r="1465">
      <c r="A1465" t="inlineStr">
        <is>
          <t>BBG019T60RL1 Equity</t>
        </is>
      </c>
      <c r="B1465" t="inlineStr">
        <is>
          <t>TSLA US 02/17/23 P100</t>
        </is>
      </c>
      <c r="C1465" t="inlineStr">
        <is>
          <t>2023-02-17</t>
        </is>
      </c>
      <c r="D1465" t="n">
        <v>100</v>
      </c>
      <c r="E1465" t="inlineStr">
        <is>
          <t>BBG019T60RL1</t>
        </is>
      </c>
    </row>
    <row r="1466">
      <c r="A1466" t="inlineStr">
        <is>
          <t>BBG019T60SP5 Equity</t>
        </is>
      </c>
      <c r="B1466" t="inlineStr">
        <is>
          <t>TSLA US 02/17/23 P105</t>
        </is>
      </c>
      <c r="C1466" t="inlineStr">
        <is>
          <t>2023-02-17</t>
        </is>
      </c>
      <c r="D1466" t="n">
        <v>105</v>
      </c>
      <c r="E1466" t="inlineStr">
        <is>
          <t>BBG019T60SP5</t>
        </is>
      </c>
    </row>
    <row r="1467">
      <c r="A1467" t="inlineStr">
        <is>
          <t>BBG019T60TS0 Equity</t>
        </is>
      </c>
      <c r="B1467" t="inlineStr">
        <is>
          <t>TSLA US 02/17/23 P110</t>
        </is>
      </c>
      <c r="C1467" t="inlineStr">
        <is>
          <t>2023-02-17</t>
        </is>
      </c>
      <c r="D1467" t="n">
        <v>110</v>
      </c>
      <c r="E1467" t="inlineStr">
        <is>
          <t>BBG019T60TS0</t>
        </is>
      </c>
    </row>
    <row r="1468">
      <c r="A1468" t="inlineStr">
        <is>
          <t>BBG019T60VX9 Equity</t>
        </is>
      </c>
      <c r="B1468" t="inlineStr">
        <is>
          <t>TSLA US 02/17/23 P115</t>
        </is>
      </c>
      <c r="C1468" t="inlineStr">
        <is>
          <t>2023-02-17</t>
        </is>
      </c>
      <c r="D1468" t="n">
        <v>115</v>
      </c>
      <c r="E1468" t="inlineStr">
        <is>
          <t>BBG019T60VX9</t>
        </is>
      </c>
    </row>
    <row r="1469">
      <c r="A1469" t="inlineStr">
        <is>
          <t>BBG019T60X01 Equity</t>
        </is>
      </c>
      <c r="B1469" t="inlineStr">
        <is>
          <t>TSLA US 02/17/23 P120</t>
        </is>
      </c>
      <c r="C1469" t="inlineStr">
        <is>
          <t>2023-02-17</t>
        </is>
      </c>
      <c r="D1469" t="n">
        <v>120</v>
      </c>
      <c r="E1469" t="inlineStr">
        <is>
          <t>BBG019T60X01</t>
        </is>
      </c>
    </row>
    <row r="1470">
      <c r="A1470" t="inlineStr">
        <is>
          <t>BBG019T60Y36 Equity</t>
        </is>
      </c>
      <c r="B1470" t="inlineStr">
        <is>
          <t>TSLA US 02/17/23 P125</t>
        </is>
      </c>
      <c r="C1470" t="inlineStr">
        <is>
          <t>2023-02-17</t>
        </is>
      </c>
      <c r="D1470" t="n">
        <v>125</v>
      </c>
      <c r="E1470" t="inlineStr">
        <is>
          <t>BBG019T60Y36</t>
        </is>
      </c>
    </row>
    <row r="1471">
      <c r="A1471" t="inlineStr">
        <is>
          <t>BBG019T60Z79 Equity</t>
        </is>
      </c>
      <c r="B1471" t="inlineStr">
        <is>
          <t>TSLA US 02/17/23 P130</t>
        </is>
      </c>
      <c r="C1471" t="inlineStr">
        <is>
          <t>2023-02-17</t>
        </is>
      </c>
      <c r="D1471" t="n">
        <v>130</v>
      </c>
      <c r="E1471" t="inlineStr">
        <is>
          <t>BBG019T60Z79</t>
        </is>
      </c>
    </row>
    <row r="1472">
      <c r="A1472" t="inlineStr">
        <is>
          <t>BBG019T610B0 Equity</t>
        </is>
      </c>
      <c r="B1472" t="inlineStr">
        <is>
          <t>TSLA US 02/17/23 P135</t>
        </is>
      </c>
      <c r="C1472" t="inlineStr">
        <is>
          <t>2023-02-17</t>
        </is>
      </c>
      <c r="D1472" t="n">
        <v>135</v>
      </c>
      <c r="E1472" t="inlineStr">
        <is>
          <t>BBG019T610B0</t>
        </is>
      </c>
    </row>
    <row r="1473">
      <c r="A1473" t="inlineStr">
        <is>
          <t>BBG019T611F4 Equity</t>
        </is>
      </c>
      <c r="B1473" t="inlineStr">
        <is>
          <t>TSLA US 02/17/23 P140</t>
        </is>
      </c>
      <c r="C1473" t="inlineStr">
        <is>
          <t>2023-02-17</t>
        </is>
      </c>
      <c r="D1473" t="n">
        <v>140</v>
      </c>
      <c r="E1473" t="inlineStr">
        <is>
          <t>BBG019T611F4</t>
        </is>
      </c>
    </row>
    <row r="1474">
      <c r="A1474" t="inlineStr">
        <is>
          <t>BBG019T612K6 Equity</t>
        </is>
      </c>
      <c r="B1474" t="inlineStr">
        <is>
          <t>TSLA US 02/17/23 P145</t>
        </is>
      </c>
      <c r="C1474" t="inlineStr">
        <is>
          <t>2023-02-17</t>
        </is>
      </c>
      <c r="D1474" t="n">
        <v>145</v>
      </c>
      <c r="E1474" t="inlineStr">
        <is>
          <t>BBG019T612K6</t>
        </is>
      </c>
    </row>
    <row r="1475">
      <c r="A1475" t="inlineStr">
        <is>
          <t>BBG019T613N1 Equity</t>
        </is>
      </c>
      <c r="B1475" t="inlineStr">
        <is>
          <t>TSLA US 02/17/23 P150</t>
        </is>
      </c>
      <c r="C1475" t="inlineStr">
        <is>
          <t>2023-02-17</t>
        </is>
      </c>
      <c r="D1475" t="n">
        <v>150</v>
      </c>
      <c r="E1475" t="inlineStr">
        <is>
          <t>BBG019T613N1</t>
        </is>
      </c>
    </row>
    <row r="1476">
      <c r="A1476" t="inlineStr">
        <is>
          <t>BBG019T614S4 Equity</t>
        </is>
      </c>
      <c r="B1476" t="inlineStr">
        <is>
          <t>TSLA US 02/17/23 P155</t>
        </is>
      </c>
      <c r="C1476" t="inlineStr">
        <is>
          <t>2023-02-17</t>
        </is>
      </c>
      <c r="D1476" t="n">
        <v>155</v>
      </c>
      <c r="E1476" t="inlineStr">
        <is>
          <t>BBG019T614S4</t>
        </is>
      </c>
    </row>
    <row r="1477">
      <c r="A1477" t="inlineStr">
        <is>
          <t>BBG019T615W6 Equity</t>
        </is>
      </c>
      <c r="B1477" t="inlineStr">
        <is>
          <t>TSLA US 02/17/23 P160</t>
        </is>
      </c>
      <c r="C1477" t="inlineStr">
        <is>
          <t>2023-02-17</t>
        </is>
      </c>
      <c r="D1477" t="n">
        <v>160</v>
      </c>
      <c r="E1477" t="inlineStr">
        <is>
          <t>BBG019T615W6</t>
        </is>
      </c>
    </row>
    <row r="1478">
      <c r="A1478" t="inlineStr">
        <is>
          <t>BBG019T61FM5 Equity</t>
        </is>
      </c>
      <c r="B1478" t="inlineStr">
        <is>
          <t>TSLA US 02/17/23 P195</t>
        </is>
      </c>
      <c r="C1478" t="inlineStr">
        <is>
          <t>2023-02-17</t>
        </is>
      </c>
      <c r="D1478" t="n">
        <v>195</v>
      </c>
      <c r="E1478" t="inlineStr">
        <is>
          <t>BBG019T61FM5</t>
        </is>
      </c>
    </row>
    <row r="1479">
      <c r="A1479" t="inlineStr">
        <is>
          <t>BBG019T61GR8 Equity</t>
        </is>
      </c>
      <c r="B1479" t="inlineStr">
        <is>
          <t>TSLA US 02/17/23 P200</t>
        </is>
      </c>
      <c r="C1479" t="inlineStr">
        <is>
          <t>2023-02-17</t>
        </is>
      </c>
      <c r="D1479" t="n">
        <v>200</v>
      </c>
      <c r="E1479" t="inlineStr">
        <is>
          <t>BBG019T61GR8</t>
        </is>
      </c>
    </row>
    <row r="1480">
      <c r="A1480" t="inlineStr">
        <is>
          <t>BBG019T61HV1 Equity</t>
        </is>
      </c>
      <c r="B1480" t="inlineStr">
        <is>
          <t>TSLA US 02/17/23 P205</t>
        </is>
      </c>
      <c r="C1480" t="inlineStr">
        <is>
          <t>2023-02-17</t>
        </is>
      </c>
      <c r="D1480" t="n">
        <v>205</v>
      </c>
      <c r="E1480" t="inlineStr">
        <is>
          <t>BBG019T61HV1</t>
        </is>
      </c>
    </row>
    <row r="1481">
      <c r="A1481" t="inlineStr">
        <is>
          <t>BBG019T61JY4 Equity</t>
        </is>
      </c>
      <c r="B1481" t="inlineStr">
        <is>
          <t>TSLA US 02/17/23 P210</t>
        </is>
      </c>
      <c r="C1481" t="inlineStr">
        <is>
          <t>2023-02-17</t>
        </is>
      </c>
      <c r="D1481" t="n">
        <v>210</v>
      </c>
      <c r="E1481" t="inlineStr">
        <is>
          <t>BBG019T61JY4</t>
        </is>
      </c>
    </row>
    <row r="1482">
      <c r="A1482" t="inlineStr">
        <is>
          <t>BBG019T61L24 Equity</t>
        </is>
      </c>
      <c r="B1482" t="inlineStr">
        <is>
          <t>TSLA US 02/17/23 P215</t>
        </is>
      </c>
      <c r="C1482" t="inlineStr">
        <is>
          <t>2023-02-17</t>
        </is>
      </c>
      <c r="D1482" t="n">
        <v>215</v>
      </c>
      <c r="E1482" t="inlineStr">
        <is>
          <t>BBG019T61L24</t>
        </is>
      </c>
    </row>
    <row r="1483">
      <c r="A1483" t="inlineStr">
        <is>
          <t>BBG019T61M59 Equity</t>
        </is>
      </c>
      <c r="B1483" t="inlineStr">
        <is>
          <t>TSLA US 02/17/23 P220</t>
        </is>
      </c>
      <c r="C1483" t="inlineStr">
        <is>
          <t>2023-02-17</t>
        </is>
      </c>
      <c r="D1483" t="n">
        <v>220</v>
      </c>
      <c r="E1483" t="inlineStr">
        <is>
          <t>BBG019T61M59</t>
        </is>
      </c>
    </row>
    <row r="1484">
      <c r="A1484" t="inlineStr">
        <is>
          <t>BBG019T61N84 Equity</t>
        </is>
      </c>
      <c r="B1484" t="inlineStr">
        <is>
          <t>TSLA US 02/17/23 P225</t>
        </is>
      </c>
      <c r="C1484" t="inlineStr">
        <is>
          <t>2023-02-17</t>
        </is>
      </c>
      <c r="D1484" t="n">
        <v>225</v>
      </c>
      <c r="E1484" t="inlineStr">
        <is>
          <t>BBG019T61N84</t>
        </is>
      </c>
    </row>
    <row r="1485">
      <c r="A1485" t="inlineStr">
        <is>
          <t>BBG019T61PD3 Equity</t>
        </is>
      </c>
      <c r="B1485" t="inlineStr">
        <is>
          <t>TSLA US 02/17/23 P230</t>
        </is>
      </c>
      <c r="C1485" t="inlineStr">
        <is>
          <t>2023-02-17</t>
        </is>
      </c>
      <c r="D1485" t="n">
        <v>230</v>
      </c>
      <c r="E1485" t="inlineStr">
        <is>
          <t>BBG019T61PD3</t>
        </is>
      </c>
    </row>
    <row r="1486">
      <c r="A1486" t="inlineStr">
        <is>
          <t>BBG019T61QH7 Equity</t>
        </is>
      </c>
      <c r="B1486" t="inlineStr">
        <is>
          <t>TSLA US 02/17/23 P235</t>
        </is>
      </c>
      <c r="C1486" t="inlineStr">
        <is>
          <t>2023-02-17</t>
        </is>
      </c>
      <c r="D1486" t="n">
        <v>235</v>
      </c>
      <c r="E1486" t="inlineStr">
        <is>
          <t>BBG019T61QH7</t>
        </is>
      </c>
    </row>
    <row r="1487">
      <c r="A1487" t="inlineStr">
        <is>
          <t>BBG019T61RL0 Equity</t>
        </is>
      </c>
      <c r="B1487" t="inlineStr">
        <is>
          <t>TSLA US 02/17/23 P240</t>
        </is>
      </c>
      <c r="C1487" t="inlineStr">
        <is>
          <t>2023-02-17</t>
        </is>
      </c>
      <c r="D1487" t="n">
        <v>240</v>
      </c>
      <c r="E1487" t="inlineStr">
        <is>
          <t>BBG019T61RL0</t>
        </is>
      </c>
    </row>
    <row r="1488">
      <c r="A1488" t="inlineStr">
        <is>
          <t>BBG019T61SQ3 Equity</t>
        </is>
      </c>
      <c r="B1488" t="inlineStr">
        <is>
          <t>TSLA US 02/17/23 P245</t>
        </is>
      </c>
      <c r="C1488" t="inlineStr">
        <is>
          <t>2023-02-17</t>
        </is>
      </c>
      <c r="D1488" t="n">
        <v>245</v>
      </c>
      <c r="E1488" t="inlineStr">
        <is>
          <t>BBG019T61SQ3</t>
        </is>
      </c>
    </row>
    <row r="1489">
      <c r="A1489" t="inlineStr">
        <is>
          <t>BBG019T61TT8 Equity</t>
        </is>
      </c>
      <c r="B1489" t="inlineStr">
        <is>
          <t>TSLA US 02/17/23 P250</t>
        </is>
      </c>
      <c r="C1489" t="inlineStr">
        <is>
          <t>2023-02-17</t>
        </is>
      </c>
      <c r="D1489" t="n">
        <v>250</v>
      </c>
      <c r="E1489" t="inlineStr">
        <is>
          <t>BBG019T61TT8</t>
        </is>
      </c>
    </row>
    <row r="1490">
      <c r="A1490" t="inlineStr">
        <is>
          <t>BBG019T61VX8 Equity</t>
        </is>
      </c>
      <c r="B1490" t="inlineStr">
        <is>
          <t>TSLA US 02/17/23 P255</t>
        </is>
      </c>
      <c r="C1490" t="inlineStr">
        <is>
          <t>2023-02-17</t>
        </is>
      </c>
      <c r="D1490" t="n">
        <v>255</v>
      </c>
      <c r="E1490" t="inlineStr">
        <is>
          <t>BBG019T61VX8</t>
        </is>
      </c>
    </row>
    <row r="1491">
      <c r="A1491" t="inlineStr">
        <is>
          <t>BBG019T61X19 Equity</t>
        </is>
      </c>
      <c r="B1491" t="inlineStr">
        <is>
          <t>TSLA US 02/17/23 P260</t>
        </is>
      </c>
      <c r="C1491" t="inlineStr">
        <is>
          <t>2023-02-17</t>
        </is>
      </c>
      <c r="D1491" t="n">
        <v>260</v>
      </c>
      <c r="E1491" t="inlineStr">
        <is>
          <t>BBG019T61X19</t>
        </is>
      </c>
    </row>
    <row r="1492">
      <c r="A1492" t="inlineStr">
        <is>
          <t>BBG019T61Y44 Equity</t>
        </is>
      </c>
      <c r="B1492" t="inlineStr">
        <is>
          <t>TSLA US 02/17/23 P265</t>
        </is>
      </c>
      <c r="C1492" t="inlineStr">
        <is>
          <t>2023-02-17</t>
        </is>
      </c>
      <c r="D1492" t="n">
        <v>265</v>
      </c>
      <c r="E1492" t="inlineStr">
        <is>
          <t>BBG019T61Y44</t>
        </is>
      </c>
    </row>
    <row r="1493">
      <c r="A1493" t="inlineStr">
        <is>
          <t>BBG019T61Z78 Equity</t>
        </is>
      </c>
      <c r="B1493" t="inlineStr">
        <is>
          <t>TSLA US 02/17/23 P270</t>
        </is>
      </c>
      <c r="C1493" t="inlineStr">
        <is>
          <t>2023-02-17</t>
        </is>
      </c>
      <c r="D1493" t="n">
        <v>270</v>
      </c>
      <c r="E1493" t="inlineStr">
        <is>
          <t>BBG019T61Z78</t>
        </is>
      </c>
    </row>
    <row r="1494">
      <c r="A1494" t="inlineStr">
        <is>
          <t>BBG019T620C8 Equity</t>
        </is>
      </c>
      <c r="B1494" t="inlineStr">
        <is>
          <t>TSLA US 02/17/23 P275</t>
        </is>
      </c>
      <c r="C1494" t="inlineStr">
        <is>
          <t>2023-02-17</t>
        </is>
      </c>
      <c r="D1494" t="n">
        <v>275</v>
      </c>
      <c r="E1494" t="inlineStr">
        <is>
          <t>BBG019T620C8</t>
        </is>
      </c>
    </row>
    <row r="1495">
      <c r="A1495" t="inlineStr">
        <is>
          <t>BBG019T621G2 Equity</t>
        </is>
      </c>
      <c r="B1495" t="inlineStr">
        <is>
          <t>TSLA US 02/17/23 P280</t>
        </is>
      </c>
      <c r="C1495" t="inlineStr">
        <is>
          <t>2023-02-17</t>
        </is>
      </c>
      <c r="D1495" t="n">
        <v>280</v>
      </c>
      <c r="E1495" t="inlineStr">
        <is>
          <t>BBG019T621G2</t>
        </is>
      </c>
    </row>
    <row r="1496">
      <c r="A1496" t="inlineStr">
        <is>
          <t>BBG019T622K5 Equity</t>
        </is>
      </c>
      <c r="B1496" t="inlineStr">
        <is>
          <t>TSLA US 02/17/23 P285</t>
        </is>
      </c>
      <c r="C1496" t="inlineStr">
        <is>
          <t>2023-02-17</t>
        </is>
      </c>
      <c r="D1496" t="n">
        <v>285</v>
      </c>
      <c r="E1496" t="inlineStr">
        <is>
          <t>BBG019T622K5</t>
        </is>
      </c>
    </row>
    <row r="1497">
      <c r="A1497" t="inlineStr">
        <is>
          <t>BBG019T623P8 Equity</t>
        </is>
      </c>
      <c r="B1497" t="inlineStr">
        <is>
          <t>TSLA US 02/17/23 P290</t>
        </is>
      </c>
      <c r="C1497" t="inlineStr">
        <is>
          <t>2023-02-17</t>
        </is>
      </c>
      <c r="D1497" t="n">
        <v>290</v>
      </c>
      <c r="E1497" t="inlineStr">
        <is>
          <t>BBG019T623P8</t>
        </is>
      </c>
    </row>
    <row r="1498">
      <c r="A1498" t="inlineStr">
        <is>
          <t>BBG019T624S3 Equity</t>
        </is>
      </c>
      <c r="B1498" t="inlineStr">
        <is>
          <t>TSLA US 02/17/23 P295</t>
        </is>
      </c>
      <c r="C1498" t="inlineStr">
        <is>
          <t>2023-02-17</t>
        </is>
      </c>
      <c r="D1498" t="n">
        <v>295</v>
      </c>
      <c r="E1498" t="inlineStr">
        <is>
          <t>BBG019T624S3</t>
        </is>
      </c>
    </row>
    <row r="1499">
      <c r="A1499" t="inlineStr">
        <is>
          <t>BBG019T625W5 Equity</t>
        </is>
      </c>
      <c r="B1499" t="inlineStr">
        <is>
          <t>TSLA US 02/17/23 P300</t>
        </is>
      </c>
      <c r="C1499" t="inlineStr">
        <is>
          <t>2023-02-17</t>
        </is>
      </c>
      <c r="D1499" t="n">
        <v>300</v>
      </c>
      <c r="E1499" t="inlineStr">
        <is>
          <t>BBG019T625W5</t>
        </is>
      </c>
    </row>
    <row r="1500">
      <c r="A1500" t="inlineStr">
        <is>
          <t>BBG019T62706 Equity</t>
        </is>
      </c>
      <c r="B1500" t="inlineStr">
        <is>
          <t>TSLA US 02/17/23 P305</t>
        </is>
      </c>
      <c r="C1500" t="inlineStr">
        <is>
          <t>2023-02-17</t>
        </is>
      </c>
      <c r="D1500" t="n">
        <v>305</v>
      </c>
      <c r="E1500" t="inlineStr">
        <is>
          <t>BBG019T62706</t>
        </is>
      </c>
    </row>
    <row r="1501">
      <c r="A1501" t="inlineStr">
        <is>
          <t>BBG019T62831 Equity</t>
        </is>
      </c>
      <c r="B1501" t="inlineStr">
        <is>
          <t>TSLA US 02/17/23 P310</t>
        </is>
      </c>
      <c r="C1501" t="inlineStr">
        <is>
          <t>2023-02-17</t>
        </is>
      </c>
      <c r="D1501" t="n">
        <v>310</v>
      </c>
      <c r="E1501" t="inlineStr">
        <is>
          <t>BBG019T62831</t>
        </is>
      </c>
    </row>
    <row r="1502">
      <c r="A1502" t="inlineStr">
        <is>
          <t>BBG019T62975 Equity</t>
        </is>
      </c>
      <c r="B1502" t="inlineStr">
        <is>
          <t>TSLA US 02/17/23 P315</t>
        </is>
      </c>
      <c r="C1502" t="inlineStr">
        <is>
          <t>2023-02-17</t>
        </is>
      </c>
      <c r="D1502" t="n">
        <v>315</v>
      </c>
      <c r="E1502" t="inlineStr">
        <is>
          <t>BBG019T62975</t>
        </is>
      </c>
    </row>
    <row r="1503">
      <c r="A1503" t="inlineStr">
        <is>
          <t>BBG00YQ55Y23 Equity</t>
        </is>
      </c>
      <c r="B1503" t="inlineStr">
        <is>
          <t>TSLA US 03/17/23 P100</t>
        </is>
      </c>
      <c r="C1503" t="inlineStr">
        <is>
          <t>2023-03-17</t>
        </is>
      </c>
      <c r="D1503" t="n">
        <v>100</v>
      </c>
      <c r="E1503" t="inlineStr">
        <is>
          <t>BBG00YQ55Y23</t>
        </is>
      </c>
    </row>
    <row r="1504">
      <c r="A1504" t="inlineStr">
        <is>
          <t>BBG01C4RQFV2 Equity</t>
        </is>
      </c>
      <c r="B1504" t="inlineStr">
        <is>
          <t>TSLA US 03/17/23 P105</t>
        </is>
      </c>
      <c r="C1504" t="inlineStr">
        <is>
          <t>2023-03-17</t>
        </is>
      </c>
      <c r="D1504" t="n">
        <v>105</v>
      </c>
      <c r="E1504" t="inlineStr">
        <is>
          <t>BBG01C4RQFV2</t>
        </is>
      </c>
    </row>
    <row r="1505">
      <c r="A1505" t="inlineStr">
        <is>
          <t>BBG01C4RQGZ6 Equity</t>
        </is>
      </c>
      <c r="B1505" t="inlineStr">
        <is>
          <t>TSLA US 03/17/23 P110</t>
        </is>
      </c>
      <c r="C1505" t="inlineStr">
        <is>
          <t>2023-03-17</t>
        </is>
      </c>
      <c r="D1505" t="n">
        <v>110</v>
      </c>
      <c r="E1505" t="inlineStr">
        <is>
          <t>BBG01C4RQGZ6</t>
        </is>
      </c>
    </row>
    <row r="1506">
      <c r="A1506" t="inlineStr">
        <is>
          <t>BBG01C4RQJ26 Equity</t>
        </is>
      </c>
      <c r="B1506" t="inlineStr">
        <is>
          <t>TSLA US 03/17/23 P115</t>
        </is>
      </c>
      <c r="C1506" t="inlineStr">
        <is>
          <t>2023-03-17</t>
        </is>
      </c>
      <c r="D1506" t="n">
        <v>115</v>
      </c>
      <c r="E1506" t="inlineStr">
        <is>
          <t>BBG01C4RQJ26</t>
        </is>
      </c>
    </row>
    <row r="1507">
      <c r="A1507" t="inlineStr">
        <is>
          <t>BBG00YQ55Z57 Equity</t>
        </is>
      </c>
      <c r="B1507" t="inlineStr">
        <is>
          <t>TSLA US 03/17/23 P116.67</t>
        </is>
      </c>
      <c r="C1507" t="inlineStr">
        <is>
          <t>2023-03-17</t>
        </is>
      </c>
      <c r="D1507" t="n">
        <v>116.67</v>
      </c>
      <c r="E1507" t="inlineStr">
        <is>
          <t>BBG00YQ55Z57</t>
        </is>
      </c>
    </row>
    <row r="1508">
      <c r="A1508" t="inlineStr">
        <is>
          <t>BBG01C4RQK50 Equity</t>
        </is>
      </c>
      <c r="B1508" t="inlineStr">
        <is>
          <t>TSLA US 03/17/23 P120</t>
        </is>
      </c>
      <c r="C1508" t="inlineStr">
        <is>
          <t>2023-03-17</t>
        </is>
      </c>
      <c r="D1508" t="n">
        <v>120</v>
      </c>
      <c r="E1508" t="inlineStr">
        <is>
          <t>BBG01C4RQK50</t>
        </is>
      </c>
    </row>
    <row r="1509">
      <c r="A1509" t="inlineStr">
        <is>
          <t>BBG017FXJ5R3 Equity</t>
        </is>
      </c>
      <c r="B1509" t="inlineStr">
        <is>
          <t>TSLA US 03/17/23 P123.33</t>
        </is>
      </c>
      <c r="C1509" t="inlineStr">
        <is>
          <t>2023-03-17</t>
        </is>
      </c>
      <c r="D1509" t="n">
        <v>123.33</v>
      </c>
      <c r="E1509" t="inlineStr">
        <is>
          <t>BBG017FXJ5R3</t>
        </is>
      </c>
    </row>
    <row r="1510">
      <c r="A1510" t="inlineStr">
        <is>
          <t>BBG01C4RQL94 Equity</t>
        </is>
      </c>
      <c r="B1510" t="inlineStr">
        <is>
          <t>TSLA US 03/17/23 P125</t>
        </is>
      </c>
      <c r="C1510" t="inlineStr">
        <is>
          <t>2023-03-17</t>
        </is>
      </c>
      <c r="D1510" t="n">
        <v>125</v>
      </c>
      <c r="E1510" t="inlineStr">
        <is>
          <t>BBG01C4RQL94</t>
        </is>
      </c>
    </row>
    <row r="1511">
      <c r="A1511" t="inlineStr">
        <is>
          <t>BBG017FXJ6V6 Equity</t>
        </is>
      </c>
      <c r="B1511" t="inlineStr">
        <is>
          <t>TSLA US 03/17/23 P126.67</t>
        </is>
      </c>
      <c r="C1511" t="inlineStr">
        <is>
          <t>2023-03-17</t>
        </is>
      </c>
      <c r="D1511" t="n">
        <v>126.67</v>
      </c>
      <c r="E1511" t="inlineStr">
        <is>
          <t>BBG017FXJ6V6</t>
        </is>
      </c>
    </row>
    <row r="1512">
      <c r="A1512" t="inlineStr">
        <is>
          <t>BBG017FXJ833 Equity</t>
        </is>
      </c>
      <c r="B1512" t="inlineStr">
        <is>
          <t>TSLA US 03/17/23 P130</t>
        </is>
      </c>
      <c r="C1512" t="inlineStr">
        <is>
          <t>2023-03-17</t>
        </is>
      </c>
      <c r="D1512" t="n">
        <v>130</v>
      </c>
      <c r="E1512" t="inlineStr">
        <is>
          <t>BBG017FXJ833</t>
        </is>
      </c>
    </row>
    <row r="1513">
      <c r="A1513" t="inlineStr">
        <is>
          <t>BBG00YQ56099 Equity</t>
        </is>
      </c>
      <c r="B1513" t="inlineStr">
        <is>
          <t>TSLA US 03/17/23 P133.33</t>
        </is>
      </c>
      <c r="C1513" t="inlineStr">
        <is>
          <t>2023-03-17</t>
        </is>
      </c>
      <c r="D1513" t="n">
        <v>133.33</v>
      </c>
      <c r="E1513" t="inlineStr">
        <is>
          <t>BBG00YQ56099</t>
        </is>
      </c>
    </row>
    <row r="1514">
      <c r="A1514" t="inlineStr">
        <is>
          <t>BBG01C4RQMD7 Equity</t>
        </is>
      </c>
      <c r="B1514" t="inlineStr">
        <is>
          <t>TSLA US 03/17/23 P135</t>
        </is>
      </c>
      <c r="C1514" t="inlineStr">
        <is>
          <t>2023-03-17</t>
        </is>
      </c>
      <c r="D1514" t="n">
        <v>135</v>
      </c>
      <c r="E1514" t="inlineStr">
        <is>
          <t>BBG01C4RQMD7</t>
        </is>
      </c>
    </row>
    <row r="1515">
      <c r="A1515" t="inlineStr">
        <is>
          <t>BBG017FXJ968 Equity</t>
        </is>
      </c>
      <c r="B1515" t="inlineStr">
        <is>
          <t>TSLA US 03/17/23 P136.67</t>
        </is>
      </c>
      <c r="C1515" t="inlineStr">
        <is>
          <t>2023-03-17</t>
        </is>
      </c>
      <c r="D1515" t="n">
        <v>136.67</v>
      </c>
      <c r="E1515" t="inlineStr">
        <is>
          <t>BBG017FXJ968</t>
        </is>
      </c>
    </row>
    <row r="1516">
      <c r="A1516" t="inlineStr">
        <is>
          <t>BBG017FXJB90 Equity</t>
        </is>
      </c>
      <c r="B1516" t="inlineStr">
        <is>
          <t>TSLA US 03/17/23 P140</t>
        </is>
      </c>
      <c r="C1516" t="inlineStr">
        <is>
          <t>2023-03-17</t>
        </is>
      </c>
      <c r="D1516" t="n">
        <v>140</v>
      </c>
      <c r="E1516" t="inlineStr">
        <is>
          <t>BBG017FXJB90</t>
        </is>
      </c>
    </row>
    <row r="1517">
      <c r="A1517" t="inlineStr">
        <is>
          <t>BBG017FXJCG0 Equity</t>
        </is>
      </c>
      <c r="B1517" t="inlineStr">
        <is>
          <t>TSLA US 03/17/23 P143.33</t>
        </is>
      </c>
      <c r="C1517" t="inlineStr">
        <is>
          <t>2023-03-17</t>
        </is>
      </c>
      <c r="D1517" t="n">
        <v>143.33</v>
      </c>
      <c r="E1517" t="inlineStr">
        <is>
          <t>BBG017FXJCG0</t>
        </is>
      </c>
    </row>
    <row r="1518">
      <c r="A1518" t="inlineStr">
        <is>
          <t>BBG01C4RQNH1 Equity</t>
        </is>
      </c>
      <c r="B1518" t="inlineStr">
        <is>
          <t>TSLA US 03/17/23 P145</t>
        </is>
      </c>
      <c r="C1518" t="inlineStr">
        <is>
          <t>2023-03-17</t>
        </is>
      </c>
      <c r="D1518" t="n">
        <v>145</v>
      </c>
      <c r="E1518" t="inlineStr">
        <is>
          <t>BBG01C4RQNH1</t>
        </is>
      </c>
    </row>
    <row r="1519">
      <c r="A1519" t="inlineStr">
        <is>
          <t>BBG017FXJDK3 Equity</t>
        </is>
      </c>
      <c r="B1519" t="inlineStr">
        <is>
          <t>TSLA US 03/17/23 P146.67</t>
        </is>
      </c>
      <c r="C1519" t="inlineStr">
        <is>
          <t>2023-03-17</t>
        </is>
      </c>
      <c r="D1519" t="n">
        <v>146.67</v>
      </c>
      <c r="E1519" t="inlineStr">
        <is>
          <t>BBG017FXJDK3</t>
        </is>
      </c>
    </row>
    <row r="1520">
      <c r="A1520" t="inlineStr">
        <is>
          <t>BBG00YQ561D2 Equity</t>
        </is>
      </c>
      <c r="B1520" t="inlineStr">
        <is>
          <t>TSLA US 03/17/23 P150</t>
        </is>
      </c>
      <c r="C1520" t="inlineStr">
        <is>
          <t>2023-03-17</t>
        </is>
      </c>
      <c r="D1520" t="n">
        <v>150</v>
      </c>
      <c r="E1520" t="inlineStr">
        <is>
          <t>BBG00YQ561D2</t>
        </is>
      </c>
    </row>
    <row r="1521">
      <c r="A1521" t="inlineStr">
        <is>
          <t>BBG017FXJFN5 Equity</t>
        </is>
      </c>
      <c r="B1521" t="inlineStr">
        <is>
          <t>TSLA US 03/17/23 P153.33</t>
        </is>
      </c>
      <c r="C1521" t="inlineStr">
        <is>
          <t>2023-03-17</t>
        </is>
      </c>
      <c r="D1521" t="n">
        <v>153.33</v>
      </c>
      <c r="E1521" t="inlineStr">
        <is>
          <t>BBG017FXJFN5</t>
        </is>
      </c>
    </row>
    <row r="1522">
      <c r="A1522" t="inlineStr">
        <is>
          <t>BBG01C4RQPM0 Equity</t>
        </is>
      </c>
      <c r="B1522" t="inlineStr">
        <is>
          <t>TSLA US 03/17/23 P155</t>
        </is>
      </c>
      <c r="C1522" t="inlineStr">
        <is>
          <t>2023-03-17</t>
        </is>
      </c>
      <c r="D1522" t="n">
        <v>155</v>
      </c>
      <c r="E1522" t="inlineStr">
        <is>
          <t>BBG01C4RQPM0</t>
        </is>
      </c>
    </row>
    <row r="1523">
      <c r="A1523" t="inlineStr">
        <is>
          <t>BBG017FXJGV4 Equity</t>
        </is>
      </c>
      <c r="B1523" t="inlineStr">
        <is>
          <t>TSLA US 03/17/23 P156.67</t>
        </is>
      </c>
      <c r="C1523" t="inlineStr">
        <is>
          <t>2023-03-17</t>
        </is>
      </c>
      <c r="D1523" t="n">
        <v>156.67</v>
      </c>
      <c r="E1523" t="inlineStr">
        <is>
          <t>BBG017FXJGV4</t>
        </is>
      </c>
    </row>
    <row r="1524">
      <c r="A1524" t="inlineStr">
        <is>
          <t>BBG017FXJHY9 Equity</t>
        </is>
      </c>
      <c r="B1524" t="inlineStr">
        <is>
          <t>TSLA US 03/17/23 P160</t>
        </is>
      </c>
      <c r="C1524" t="inlineStr">
        <is>
          <t>2023-03-17</t>
        </is>
      </c>
      <c r="D1524" t="n">
        <v>160</v>
      </c>
      <c r="E1524" t="inlineStr">
        <is>
          <t>BBG017FXJHY9</t>
        </is>
      </c>
    </row>
    <row r="1525">
      <c r="A1525" t="inlineStr">
        <is>
          <t>BBG01C4RQV10 Equity</t>
        </is>
      </c>
      <c r="B1525" t="inlineStr">
        <is>
          <t>TSLA US 03/17/23 P195</t>
        </is>
      </c>
      <c r="C1525" t="inlineStr">
        <is>
          <t>2023-03-17</t>
        </is>
      </c>
      <c r="D1525" t="n">
        <v>195</v>
      </c>
      <c r="E1525" t="inlineStr">
        <is>
          <t>BBG01C4RQV10</t>
        </is>
      </c>
    </row>
    <row r="1526">
      <c r="A1526" t="inlineStr">
        <is>
          <t>BBG018WKNVM3 Equity</t>
        </is>
      </c>
      <c r="B1526" t="inlineStr">
        <is>
          <t>TSLA US 03/17/23 P196.67</t>
        </is>
      </c>
      <c r="C1526" t="inlineStr">
        <is>
          <t>2023-03-17</t>
        </is>
      </c>
      <c r="D1526" t="n">
        <v>196.67</v>
      </c>
      <c r="E1526" t="inlineStr">
        <is>
          <t>BBG018WKNVM3</t>
        </is>
      </c>
    </row>
    <row r="1527">
      <c r="A1527" t="inlineStr">
        <is>
          <t>BBG018T194V5 Equity</t>
        </is>
      </c>
      <c r="B1527" t="inlineStr">
        <is>
          <t>TSLA US 03/17/23 P198.33</t>
        </is>
      </c>
      <c r="C1527" t="inlineStr">
        <is>
          <t>2023-03-17</t>
        </is>
      </c>
      <c r="D1527" t="n">
        <v>198.33</v>
      </c>
      <c r="E1527" t="inlineStr">
        <is>
          <t>BBG018T194V5</t>
        </is>
      </c>
    </row>
    <row r="1528">
      <c r="A1528" t="inlineStr">
        <is>
          <t>BBG00YQ564Q2 Equity</t>
        </is>
      </c>
      <c r="B1528" t="inlineStr">
        <is>
          <t>TSLA US 03/17/23 P200</t>
        </is>
      </c>
      <c r="C1528" t="inlineStr">
        <is>
          <t>2023-03-17</t>
        </is>
      </c>
      <c r="D1528" t="n">
        <v>200</v>
      </c>
      <c r="E1528" t="inlineStr">
        <is>
          <t>BBG00YQ564Q2</t>
        </is>
      </c>
    </row>
    <row r="1529">
      <c r="A1529" t="inlineStr">
        <is>
          <t>BBG018T195Y9 Equity</t>
        </is>
      </c>
      <c r="B1529" t="inlineStr">
        <is>
          <t>TSLA US 03/17/23 P201.67</t>
        </is>
      </c>
      <c r="C1529" t="inlineStr">
        <is>
          <t>2023-03-17</t>
        </is>
      </c>
      <c r="D1529" t="n">
        <v>201.67</v>
      </c>
      <c r="E1529" t="inlineStr">
        <is>
          <t>BBG018T195Y9</t>
        </is>
      </c>
    </row>
    <row r="1530">
      <c r="A1530" t="inlineStr">
        <is>
          <t>BBG018T19711 Equity</t>
        </is>
      </c>
      <c r="B1530" t="inlineStr">
        <is>
          <t>TSLA US 03/17/23 P203.33</t>
        </is>
      </c>
      <c r="C1530" t="inlineStr">
        <is>
          <t>2023-03-17</t>
        </is>
      </c>
      <c r="D1530" t="n">
        <v>203.33</v>
      </c>
      <c r="E1530" t="inlineStr">
        <is>
          <t>BBG018T19711</t>
        </is>
      </c>
    </row>
    <row r="1531">
      <c r="A1531" t="inlineStr">
        <is>
          <t>BBG018T19855 Equity</t>
        </is>
      </c>
      <c r="B1531" t="inlineStr">
        <is>
          <t>TSLA US 03/17/23 P205</t>
        </is>
      </c>
      <c r="C1531" t="inlineStr">
        <is>
          <t>2023-03-17</t>
        </is>
      </c>
      <c r="D1531" t="n">
        <v>205</v>
      </c>
      <c r="E1531" t="inlineStr">
        <is>
          <t>BBG018T19855</t>
        </is>
      </c>
    </row>
    <row r="1532">
      <c r="A1532" t="inlineStr">
        <is>
          <t>BBG017FXJPM4 Equity</t>
        </is>
      </c>
      <c r="B1532" t="inlineStr">
        <is>
          <t>TSLA US 03/17/23 P206.67</t>
        </is>
      </c>
      <c r="C1532" t="inlineStr">
        <is>
          <t>2023-03-17</t>
        </is>
      </c>
      <c r="D1532" t="n">
        <v>206.67</v>
      </c>
      <c r="E1532" t="inlineStr">
        <is>
          <t>BBG017FXJPM4</t>
        </is>
      </c>
    </row>
    <row r="1533">
      <c r="A1533" t="inlineStr">
        <is>
          <t>BBG018T19980 Equity</t>
        </is>
      </c>
      <c r="B1533" t="inlineStr">
        <is>
          <t>TSLA US 03/17/23 P208.33</t>
        </is>
      </c>
      <c r="C1533" t="inlineStr">
        <is>
          <t>2023-03-17</t>
        </is>
      </c>
      <c r="D1533" t="n">
        <v>208.33</v>
      </c>
      <c r="E1533" t="inlineStr">
        <is>
          <t>BBG018T19980</t>
        </is>
      </c>
    </row>
    <row r="1534">
      <c r="A1534" t="inlineStr">
        <is>
          <t>BBG018T19BC0 Equity</t>
        </is>
      </c>
      <c r="B1534" t="inlineStr">
        <is>
          <t>TSLA US 03/17/23 P210</t>
        </is>
      </c>
      <c r="C1534" t="inlineStr">
        <is>
          <t>2023-03-17</t>
        </is>
      </c>
      <c r="D1534" t="n">
        <v>210</v>
      </c>
      <c r="E1534" t="inlineStr">
        <is>
          <t>BBG018T19BC0</t>
        </is>
      </c>
    </row>
    <row r="1535">
      <c r="A1535" t="inlineStr">
        <is>
          <t>BBG018T19CH3 Equity</t>
        </is>
      </c>
      <c r="B1535" t="inlineStr">
        <is>
          <t>TSLA US 03/17/23 P211.67</t>
        </is>
      </c>
      <c r="C1535" t="inlineStr">
        <is>
          <t>2023-03-17</t>
        </is>
      </c>
      <c r="D1535" t="n">
        <v>211.67</v>
      </c>
      <c r="E1535" t="inlineStr">
        <is>
          <t>BBG018T19CH3</t>
        </is>
      </c>
    </row>
    <row r="1536">
      <c r="A1536" t="inlineStr">
        <is>
          <t>BBG017FXJQQ8 Equity</t>
        </is>
      </c>
      <c r="B1536" t="inlineStr">
        <is>
          <t>TSLA US 03/17/23 P213.33</t>
        </is>
      </c>
      <c r="C1536" t="inlineStr">
        <is>
          <t>2023-03-17</t>
        </is>
      </c>
      <c r="D1536" t="n">
        <v>213.33</v>
      </c>
      <c r="E1536" t="inlineStr">
        <is>
          <t>BBG017FXJQQ8</t>
        </is>
      </c>
    </row>
    <row r="1537">
      <c r="A1537" t="inlineStr">
        <is>
          <t>BBG018T19DL6 Equity</t>
        </is>
      </c>
      <c r="B1537" t="inlineStr">
        <is>
          <t>TSLA US 03/17/23 P215</t>
        </is>
      </c>
      <c r="C1537" t="inlineStr">
        <is>
          <t>2023-03-17</t>
        </is>
      </c>
      <c r="D1537" t="n">
        <v>215</v>
      </c>
      <c r="E1537" t="inlineStr">
        <is>
          <t>BBG018T19DL6</t>
        </is>
      </c>
    </row>
    <row r="1538">
      <c r="A1538" t="inlineStr">
        <is>
          <t>BBG00YQ565T6 Equity</t>
        </is>
      </c>
      <c r="B1538" t="inlineStr">
        <is>
          <t>TSLA US 03/17/23 P216.67</t>
        </is>
      </c>
      <c r="C1538" t="inlineStr">
        <is>
          <t>2023-03-17</t>
        </is>
      </c>
      <c r="D1538" t="n">
        <v>216.67</v>
      </c>
      <c r="E1538" t="inlineStr">
        <is>
          <t>BBG00YQ565T6</t>
        </is>
      </c>
    </row>
    <row r="1539">
      <c r="A1539" t="inlineStr">
        <is>
          <t>BBG018T19FP7 Equity</t>
        </is>
      </c>
      <c r="B1539" t="inlineStr">
        <is>
          <t>TSLA US 03/17/23 P218.33</t>
        </is>
      </c>
      <c r="C1539" t="inlineStr">
        <is>
          <t>2023-03-17</t>
        </is>
      </c>
      <c r="D1539" t="n">
        <v>218.33</v>
      </c>
      <c r="E1539" t="inlineStr">
        <is>
          <t>BBG018T19FP7</t>
        </is>
      </c>
    </row>
    <row r="1540">
      <c r="A1540" t="inlineStr">
        <is>
          <t>BBG017FXJRT3 Equity</t>
        </is>
      </c>
      <c r="B1540" t="inlineStr">
        <is>
          <t>TSLA US 03/17/23 P220</t>
        </is>
      </c>
      <c r="C1540" t="inlineStr">
        <is>
          <t>2023-03-17</t>
        </is>
      </c>
      <c r="D1540" t="n">
        <v>220</v>
      </c>
      <c r="E1540" t="inlineStr">
        <is>
          <t>BBG017FXJRT3</t>
        </is>
      </c>
    </row>
    <row r="1541">
      <c r="A1541" t="inlineStr">
        <is>
          <t>BBG018T19GT1 Equity</t>
        </is>
      </c>
      <c r="B1541" t="inlineStr">
        <is>
          <t>TSLA US 03/17/23 P221.67</t>
        </is>
      </c>
      <c r="C1541" t="inlineStr">
        <is>
          <t>2023-03-17</t>
        </is>
      </c>
      <c r="D1541" t="n">
        <v>221.67</v>
      </c>
      <c r="E1541" t="inlineStr">
        <is>
          <t>BBG018T19GT1</t>
        </is>
      </c>
    </row>
    <row r="1542">
      <c r="A1542" t="inlineStr">
        <is>
          <t>BBG018T19HX4 Equity</t>
        </is>
      </c>
      <c r="B1542" t="inlineStr">
        <is>
          <t>TSLA US 03/17/23 P223.33</t>
        </is>
      </c>
      <c r="C1542" t="inlineStr">
        <is>
          <t>2023-03-17</t>
        </is>
      </c>
      <c r="D1542" t="n">
        <v>223.33</v>
      </c>
      <c r="E1542" t="inlineStr">
        <is>
          <t>BBG018T19HX4</t>
        </is>
      </c>
    </row>
    <row r="1543">
      <c r="A1543" t="inlineStr">
        <is>
          <t>BBG018T19K03 Equity</t>
        </is>
      </c>
      <c r="B1543" t="inlineStr">
        <is>
          <t>TSLA US 03/17/23 P225</t>
        </is>
      </c>
      <c r="C1543" t="inlineStr">
        <is>
          <t>2023-03-17</t>
        </is>
      </c>
      <c r="D1543" t="n">
        <v>225</v>
      </c>
      <c r="E1543" t="inlineStr">
        <is>
          <t>BBG018T19K03</t>
        </is>
      </c>
    </row>
    <row r="1544">
      <c r="A1544" t="inlineStr">
        <is>
          <t>BBG017FXJT19 Equity</t>
        </is>
      </c>
      <c r="B1544" t="inlineStr">
        <is>
          <t>TSLA US 03/17/23 P226.67</t>
        </is>
      </c>
      <c r="C1544" t="inlineStr">
        <is>
          <t>2023-03-17</t>
        </is>
      </c>
      <c r="D1544" t="n">
        <v>226.67</v>
      </c>
      <c r="E1544" t="inlineStr">
        <is>
          <t>BBG017FXJT19</t>
        </is>
      </c>
    </row>
    <row r="1545">
      <c r="A1545" t="inlineStr">
        <is>
          <t>BBG018T19L47 Equity</t>
        </is>
      </c>
      <c r="B1545" t="inlineStr">
        <is>
          <t>TSLA US 03/17/23 P228.33</t>
        </is>
      </c>
      <c r="C1545" t="inlineStr">
        <is>
          <t>2023-03-17</t>
        </is>
      </c>
      <c r="D1545" t="n">
        <v>228.33</v>
      </c>
      <c r="E1545" t="inlineStr">
        <is>
          <t>BBG018T19L47</t>
        </is>
      </c>
    </row>
    <row r="1546">
      <c r="A1546" t="inlineStr">
        <is>
          <t>BBG018T19M72 Equity</t>
        </is>
      </c>
      <c r="B1546" t="inlineStr">
        <is>
          <t>TSLA US 03/17/23 P230</t>
        </is>
      </c>
      <c r="C1546" t="inlineStr">
        <is>
          <t>2023-03-17</t>
        </is>
      </c>
      <c r="D1546" t="n">
        <v>230</v>
      </c>
      <c r="E1546" t="inlineStr">
        <is>
          <t>BBG018T19M72</t>
        </is>
      </c>
    </row>
    <row r="1547">
      <c r="A1547" t="inlineStr">
        <is>
          <t>BBG018T19NB5 Equity</t>
        </is>
      </c>
      <c r="B1547" t="inlineStr">
        <is>
          <t>TSLA US 03/17/23 P231.67</t>
        </is>
      </c>
      <c r="C1547" t="inlineStr">
        <is>
          <t>2023-03-17</t>
        </is>
      </c>
      <c r="D1547" t="n">
        <v>231.67</v>
      </c>
      <c r="E1547" t="inlineStr">
        <is>
          <t>BBG018T19NB5</t>
        </is>
      </c>
    </row>
    <row r="1548">
      <c r="A1548" t="inlineStr">
        <is>
          <t>BBG00YQ566Y8 Equity</t>
        </is>
      </c>
      <c r="B1548" t="inlineStr">
        <is>
          <t>TSLA US 03/17/23 P233.33</t>
        </is>
      </c>
      <c r="C1548" t="inlineStr">
        <is>
          <t>2023-03-17</t>
        </is>
      </c>
      <c r="D1548" t="n">
        <v>233.33</v>
      </c>
      <c r="E1548" t="inlineStr">
        <is>
          <t>BBG00YQ566Y8</t>
        </is>
      </c>
    </row>
    <row r="1549">
      <c r="A1549" t="inlineStr">
        <is>
          <t>BBG018T19PH4 Equity</t>
        </is>
      </c>
      <c r="B1549" t="inlineStr">
        <is>
          <t>TSLA US 03/17/23 P235</t>
        </is>
      </c>
      <c r="C1549" t="inlineStr">
        <is>
          <t>2023-03-17</t>
        </is>
      </c>
      <c r="D1549" t="n">
        <v>235</v>
      </c>
      <c r="E1549" t="inlineStr">
        <is>
          <t>BBG018T19PH4</t>
        </is>
      </c>
    </row>
    <row r="1550">
      <c r="A1550" t="inlineStr">
        <is>
          <t>BBG018T19QL7 Equity</t>
        </is>
      </c>
      <c r="B1550" t="inlineStr">
        <is>
          <t>TSLA US 03/17/23 P236.67</t>
        </is>
      </c>
      <c r="C1550" t="inlineStr">
        <is>
          <t>2023-03-17</t>
        </is>
      </c>
      <c r="D1550" t="n">
        <v>236.67</v>
      </c>
      <c r="E1550" t="inlineStr">
        <is>
          <t>BBG018T19QL7</t>
        </is>
      </c>
    </row>
    <row r="1551">
      <c r="A1551" t="inlineStr">
        <is>
          <t>BBG018T19RS8 Equity</t>
        </is>
      </c>
      <c r="B1551" t="inlineStr">
        <is>
          <t>TSLA US 03/17/23 P238.33</t>
        </is>
      </c>
      <c r="C1551" t="inlineStr">
        <is>
          <t>2023-03-17</t>
        </is>
      </c>
      <c r="D1551" t="n">
        <v>238.33</v>
      </c>
      <c r="E1551" t="inlineStr">
        <is>
          <t>BBG018T19RS8</t>
        </is>
      </c>
    </row>
    <row r="1552">
      <c r="A1552" t="inlineStr">
        <is>
          <t>BBG017FXJV41 Equity</t>
        </is>
      </c>
      <c r="B1552" t="inlineStr">
        <is>
          <t>TSLA US 03/17/23 P240</t>
        </is>
      </c>
      <c r="C1552" t="inlineStr">
        <is>
          <t>2023-03-17</t>
        </is>
      </c>
      <c r="D1552" t="n">
        <v>240</v>
      </c>
      <c r="E1552" t="inlineStr">
        <is>
          <t>BBG017FXJV41</t>
        </is>
      </c>
    </row>
    <row r="1553">
      <c r="A1553" t="inlineStr">
        <is>
          <t>BBG018T19SW1 Equity</t>
        </is>
      </c>
      <c r="B1553" t="inlineStr">
        <is>
          <t>TSLA US 03/17/23 P241.67</t>
        </is>
      </c>
      <c r="C1553" t="inlineStr">
        <is>
          <t>2023-03-17</t>
        </is>
      </c>
      <c r="D1553" t="n">
        <v>241.67</v>
      </c>
      <c r="E1553" t="inlineStr">
        <is>
          <t>BBG018T19SW1</t>
        </is>
      </c>
    </row>
    <row r="1554">
      <c r="A1554" t="inlineStr">
        <is>
          <t>BBG011KBMDH8 Equity</t>
        </is>
      </c>
      <c r="B1554" t="inlineStr">
        <is>
          <t>TSLA US 03/17/23 P243.33</t>
        </is>
      </c>
      <c r="C1554" t="inlineStr">
        <is>
          <t>2023-03-17</t>
        </is>
      </c>
      <c r="D1554" t="n">
        <v>243.33</v>
      </c>
      <c r="E1554" t="inlineStr">
        <is>
          <t>BBG011KBMDH8</t>
        </is>
      </c>
    </row>
    <row r="1555">
      <c r="A1555" t="inlineStr">
        <is>
          <t>BBG018T19TZ6 Equity</t>
        </is>
      </c>
      <c r="B1555" t="inlineStr">
        <is>
          <t>TSLA US 03/17/23 P245</t>
        </is>
      </c>
      <c r="C1555" t="inlineStr">
        <is>
          <t>2023-03-17</t>
        </is>
      </c>
      <c r="D1555" t="n">
        <v>245</v>
      </c>
      <c r="E1555" t="inlineStr">
        <is>
          <t>BBG018T19TZ6</t>
        </is>
      </c>
    </row>
    <row r="1556">
      <c r="A1556" t="inlineStr">
        <is>
          <t>BBG017FXJW76 Equity</t>
        </is>
      </c>
      <c r="B1556" t="inlineStr">
        <is>
          <t>TSLA US 03/17/23 P246.67</t>
        </is>
      </c>
      <c r="C1556" t="inlineStr">
        <is>
          <t>2023-03-17</t>
        </is>
      </c>
      <c r="D1556" t="n">
        <v>246.67</v>
      </c>
      <c r="E1556" t="inlineStr">
        <is>
          <t>BBG017FXJW76</t>
        </is>
      </c>
    </row>
    <row r="1557">
      <c r="A1557" t="inlineStr">
        <is>
          <t>BBG018T19W34 Equity</t>
        </is>
      </c>
      <c r="B1557" t="inlineStr">
        <is>
          <t>TSLA US 03/17/23 P248.33</t>
        </is>
      </c>
      <c r="C1557" t="inlineStr">
        <is>
          <t>2023-03-17</t>
        </is>
      </c>
      <c r="D1557" t="n">
        <v>248.33</v>
      </c>
      <c r="E1557" t="inlineStr">
        <is>
          <t>BBG018T19W34</t>
        </is>
      </c>
    </row>
    <row r="1558">
      <c r="A1558" t="inlineStr">
        <is>
          <t>BBG00YQ56810 Equity</t>
        </is>
      </c>
      <c r="B1558" t="inlineStr">
        <is>
          <t>TSLA US 03/17/23 P250</t>
        </is>
      </c>
      <c r="C1558" t="inlineStr">
        <is>
          <t>2023-03-17</t>
        </is>
      </c>
      <c r="D1558" t="n">
        <v>250</v>
      </c>
      <c r="E1558" t="inlineStr">
        <is>
          <t>BBG00YQ56810</t>
        </is>
      </c>
    </row>
    <row r="1559">
      <c r="A1559" t="inlineStr">
        <is>
          <t>BBG018T19X69 Equity</t>
        </is>
      </c>
      <c r="B1559" t="inlineStr">
        <is>
          <t>TSLA US 03/17/23 P251.67</t>
        </is>
      </c>
      <c r="C1559" t="inlineStr">
        <is>
          <t>2023-03-17</t>
        </is>
      </c>
      <c r="D1559" t="n">
        <v>251.67</v>
      </c>
      <c r="E1559" t="inlineStr">
        <is>
          <t>BBG018T19X69</t>
        </is>
      </c>
    </row>
    <row r="1560">
      <c r="A1560" t="inlineStr">
        <is>
          <t>BBG017FXJXF5 Equity</t>
        </is>
      </c>
      <c r="B1560" t="inlineStr">
        <is>
          <t>TSLA US 03/17/23 P253.33</t>
        </is>
      </c>
      <c r="C1560" t="inlineStr">
        <is>
          <t>2023-03-17</t>
        </is>
      </c>
      <c r="D1560" t="n">
        <v>253.33</v>
      </c>
      <c r="E1560" t="inlineStr">
        <is>
          <t>BBG017FXJXF5</t>
        </is>
      </c>
    </row>
    <row r="1561">
      <c r="A1561" t="inlineStr">
        <is>
          <t>BBG018T19Y94 Equity</t>
        </is>
      </c>
      <c r="B1561" t="inlineStr">
        <is>
          <t>TSLA US 03/17/23 P255</t>
        </is>
      </c>
      <c r="C1561" t="inlineStr">
        <is>
          <t>2023-03-17</t>
        </is>
      </c>
      <c r="D1561" t="n">
        <v>255</v>
      </c>
      <c r="E1561" t="inlineStr">
        <is>
          <t>BBG018T19Y94</t>
        </is>
      </c>
    </row>
    <row r="1562">
      <c r="A1562" t="inlineStr">
        <is>
          <t>BBG018T19ZF4 Equity</t>
        </is>
      </c>
      <c r="B1562" t="inlineStr">
        <is>
          <t>TSLA US 03/17/23 P256.67</t>
        </is>
      </c>
      <c r="C1562" t="inlineStr">
        <is>
          <t>2023-03-17</t>
        </is>
      </c>
      <c r="D1562" t="n">
        <v>256.67</v>
      </c>
      <c r="E1562" t="inlineStr">
        <is>
          <t>BBG018T19ZF4</t>
        </is>
      </c>
    </row>
    <row r="1563">
      <c r="A1563" t="inlineStr">
        <is>
          <t>BBG018T1B0J4 Equity</t>
        </is>
      </c>
      <c r="B1563" t="inlineStr">
        <is>
          <t>TSLA US 03/17/23 P258.33</t>
        </is>
      </c>
      <c r="C1563" t="inlineStr">
        <is>
          <t>2023-03-17</t>
        </is>
      </c>
      <c r="D1563" t="n">
        <v>258.33</v>
      </c>
      <c r="E1563" t="inlineStr">
        <is>
          <t>BBG018T1B0J4</t>
        </is>
      </c>
    </row>
    <row r="1564">
      <c r="A1564" t="inlineStr">
        <is>
          <t>BBG017FXJYJ9 Equity</t>
        </is>
      </c>
      <c r="B1564" t="inlineStr">
        <is>
          <t>TSLA US 03/17/23 P260</t>
        </is>
      </c>
      <c r="C1564" t="inlineStr">
        <is>
          <t>2023-03-17</t>
        </is>
      </c>
      <c r="D1564" t="n">
        <v>260</v>
      </c>
      <c r="E1564" t="inlineStr">
        <is>
          <t>BBG017FXJYJ9</t>
        </is>
      </c>
    </row>
    <row r="1565">
      <c r="A1565" t="inlineStr">
        <is>
          <t>BBG018T1B1M8 Equity</t>
        </is>
      </c>
      <c r="B1565" t="inlineStr">
        <is>
          <t>TSLA US 03/17/23 P261.67</t>
        </is>
      </c>
      <c r="C1565" t="inlineStr">
        <is>
          <t>2023-03-17</t>
        </is>
      </c>
      <c r="D1565" t="n">
        <v>261.67</v>
      </c>
      <c r="E1565" t="inlineStr">
        <is>
          <t>BBG018T1B1M8</t>
        </is>
      </c>
    </row>
    <row r="1566">
      <c r="A1566" t="inlineStr">
        <is>
          <t>BBG018T1B2V6 Equity</t>
        </is>
      </c>
      <c r="B1566" t="inlineStr">
        <is>
          <t>TSLA US 03/17/23 P263.33</t>
        </is>
      </c>
      <c r="C1566" t="inlineStr">
        <is>
          <t>2023-03-17</t>
        </is>
      </c>
      <c r="D1566" t="n">
        <v>263.33</v>
      </c>
      <c r="E1566" t="inlineStr">
        <is>
          <t>BBG018T1B2V6</t>
        </is>
      </c>
    </row>
    <row r="1567">
      <c r="A1567" t="inlineStr">
        <is>
          <t>BBG018T1B3Y1 Equity</t>
        </is>
      </c>
      <c r="B1567" t="inlineStr">
        <is>
          <t>TSLA US 03/17/23 P265</t>
        </is>
      </c>
      <c r="C1567" t="inlineStr">
        <is>
          <t>2023-03-17</t>
        </is>
      </c>
      <c r="D1567" t="n">
        <v>265</v>
      </c>
      <c r="E1567" t="inlineStr">
        <is>
          <t>BBG018T1B3Y1</t>
        </is>
      </c>
    </row>
    <row r="1568">
      <c r="A1568" t="inlineStr">
        <is>
          <t>BBG00YQ56945 Equity</t>
        </is>
      </c>
      <c r="B1568" t="inlineStr">
        <is>
          <t>TSLA US 03/17/23 P266.67</t>
        </is>
      </c>
      <c r="C1568" t="inlineStr">
        <is>
          <t>2023-03-17</t>
        </is>
      </c>
      <c r="D1568" t="n">
        <v>266.67</v>
      </c>
      <c r="E1568" t="inlineStr">
        <is>
          <t>BBG00YQ56945</t>
        </is>
      </c>
    </row>
    <row r="1569">
      <c r="A1569" t="inlineStr">
        <is>
          <t>BBG018WKNWQ7 Equity</t>
        </is>
      </c>
      <c r="B1569" t="inlineStr">
        <is>
          <t>TSLA US 03/17/23 P270</t>
        </is>
      </c>
      <c r="C1569" t="inlineStr">
        <is>
          <t>2023-03-17</t>
        </is>
      </c>
      <c r="D1569" t="n">
        <v>270</v>
      </c>
      <c r="E1569" t="inlineStr">
        <is>
          <t>BBG018WKNWQ7</t>
        </is>
      </c>
    </row>
    <row r="1570">
      <c r="A1570" t="inlineStr">
        <is>
          <t>BBG017FXJZM2 Equity</t>
        </is>
      </c>
      <c r="B1570" t="inlineStr">
        <is>
          <t>TSLA US 03/17/23 P273.33</t>
        </is>
      </c>
      <c r="C1570" t="inlineStr">
        <is>
          <t>2023-03-17</t>
        </is>
      </c>
      <c r="D1570" t="n">
        <v>273.33</v>
      </c>
      <c r="E1570" t="inlineStr">
        <is>
          <t>BBG017FXJZM2</t>
        </is>
      </c>
    </row>
    <row r="1571">
      <c r="A1571" t="inlineStr">
        <is>
          <t>BBG018WKNXT2 Equity</t>
        </is>
      </c>
      <c r="B1571" t="inlineStr">
        <is>
          <t>TSLA US 03/17/23 P276.67</t>
        </is>
      </c>
      <c r="C1571" t="inlineStr">
        <is>
          <t>2023-03-17</t>
        </is>
      </c>
      <c r="D1571" t="n">
        <v>276.67</v>
      </c>
      <c r="E1571" t="inlineStr">
        <is>
          <t>BBG018WKNXT2</t>
        </is>
      </c>
    </row>
    <row r="1572">
      <c r="A1572" t="inlineStr">
        <is>
          <t>BBG017FXK0V7 Equity</t>
        </is>
      </c>
      <c r="B1572" t="inlineStr">
        <is>
          <t>TSLA US 03/17/23 P280</t>
        </is>
      </c>
      <c r="C1572" t="inlineStr">
        <is>
          <t>2023-03-17</t>
        </is>
      </c>
      <c r="D1572" t="n">
        <v>280</v>
      </c>
      <c r="E1572" t="inlineStr">
        <is>
          <t>BBG017FXK0V7</t>
        </is>
      </c>
    </row>
    <row r="1573">
      <c r="A1573" t="inlineStr">
        <is>
          <t>BBG00YQ56B86 Equity</t>
        </is>
      </c>
      <c r="B1573" t="inlineStr">
        <is>
          <t>TSLA US 03/17/23 P283.33</t>
        </is>
      </c>
      <c r="C1573" t="inlineStr">
        <is>
          <t>2023-03-17</t>
        </is>
      </c>
      <c r="D1573" t="n">
        <v>283.33</v>
      </c>
      <c r="E1573" t="inlineStr">
        <is>
          <t>BBG00YQ56B86</t>
        </is>
      </c>
    </row>
    <row r="1574">
      <c r="A1574" t="inlineStr">
        <is>
          <t>BBG017FXK1Y2 Equity</t>
        </is>
      </c>
      <c r="B1574" t="inlineStr">
        <is>
          <t>TSLA US 03/17/23 P286.67</t>
        </is>
      </c>
      <c r="C1574" t="inlineStr">
        <is>
          <t>2023-03-17</t>
        </is>
      </c>
      <c r="D1574" t="n">
        <v>286.67</v>
      </c>
      <c r="E1574" t="inlineStr">
        <is>
          <t>BBG017FXK1Y2</t>
        </is>
      </c>
    </row>
    <row r="1575">
      <c r="A1575" t="inlineStr">
        <is>
          <t>BBG018WKNZ08 Equity</t>
        </is>
      </c>
      <c r="B1575" t="inlineStr">
        <is>
          <t>TSLA US 03/17/23 P290</t>
        </is>
      </c>
      <c r="C1575" t="inlineStr">
        <is>
          <t>2023-03-17</t>
        </is>
      </c>
      <c r="D1575" t="n">
        <v>290</v>
      </c>
      <c r="E1575" t="inlineStr">
        <is>
          <t>BBG018WKNZ08</t>
        </is>
      </c>
    </row>
    <row r="1576">
      <c r="A1576" t="inlineStr">
        <is>
          <t>BBG011KBMFL8 Equity</t>
        </is>
      </c>
      <c r="B1576" t="inlineStr">
        <is>
          <t>TSLA US 03/17/23 P293.33</t>
        </is>
      </c>
      <c r="C1576" t="inlineStr">
        <is>
          <t>2023-03-17</t>
        </is>
      </c>
      <c r="D1576" t="n">
        <v>293.33</v>
      </c>
      <c r="E1576" t="inlineStr">
        <is>
          <t>BBG011KBMFL8</t>
        </is>
      </c>
    </row>
    <row r="1577">
      <c r="A1577" t="inlineStr">
        <is>
          <t>BBG018WKP030 Equity</t>
        </is>
      </c>
      <c r="B1577" t="inlineStr">
        <is>
          <t>TSLA US 03/17/23 P295</t>
        </is>
      </c>
      <c r="C1577" t="inlineStr">
        <is>
          <t>2023-03-17</t>
        </is>
      </c>
      <c r="D1577" t="n">
        <v>295</v>
      </c>
      <c r="E1577" t="inlineStr">
        <is>
          <t>BBG018WKP030</t>
        </is>
      </c>
    </row>
    <row r="1578">
      <c r="A1578" t="inlineStr">
        <is>
          <t>BBG018WKP165 Equity</t>
        </is>
      </c>
      <c r="B1578" t="inlineStr">
        <is>
          <t>TSLA US 03/17/23 P296.67</t>
        </is>
      </c>
      <c r="C1578" t="inlineStr">
        <is>
          <t>2023-03-17</t>
        </is>
      </c>
      <c r="D1578" t="n">
        <v>296.67</v>
      </c>
      <c r="E1578" t="inlineStr">
        <is>
          <t>BBG018WKP165</t>
        </is>
      </c>
    </row>
    <row r="1579">
      <c r="A1579" t="inlineStr">
        <is>
          <t>BBG018WKP2B7 Equity</t>
        </is>
      </c>
      <c r="B1579" t="inlineStr">
        <is>
          <t>TSLA US 03/17/23 P298.33</t>
        </is>
      </c>
      <c r="C1579" t="inlineStr">
        <is>
          <t>2023-03-17</t>
        </is>
      </c>
      <c r="D1579" t="n">
        <v>298.33</v>
      </c>
      <c r="E1579" t="inlineStr">
        <is>
          <t>BBG018WKP2B7</t>
        </is>
      </c>
    </row>
    <row r="1580">
      <c r="A1580" t="inlineStr">
        <is>
          <t>BBG00YQ56CC9 Equity</t>
        </is>
      </c>
      <c r="B1580" t="inlineStr">
        <is>
          <t>TSLA US 03/17/23 P300</t>
        </is>
      </c>
      <c r="C1580" t="inlineStr">
        <is>
          <t>2023-03-17</t>
        </is>
      </c>
      <c r="D1580" t="n">
        <v>300</v>
      </c>
      <c r="E1580" t="inlineStr">
        <is>
          <t>BBG00YQ56CC9</t>
        </is>
      </c>
    </row>
    <row r="1581">
      <c r="A1581" t="inlineStr">
        <is>
          <t>BBG018WKP3F1 Equity</t>
        </is>
      </c>
      <c r="B1581" t="inlineStr">
        <is>
          <t>TSLA US 03/17/23 P301.67</t>
        </is>
      </c>
      <c r="C1581" t="inlineStr">
        <is>
          <t>2023-03-17</t>
        </is>
      </c>
      <c r="D1581" t="n">
        <v>301.67</v>
      </c>
      <c r="E1581" t="inlineStr">
        <is>
          <t>BBG018WKP3F1</t>
        </is>
      </c>
    </row>
    <row r="1582">
      <c r="A1582" t="inlineStr">
        <is>
          <t>BBG018WKP4J5 Equity</t>
        </is>
      </c>
      <c r="B1582" t="inlineStr">
        <is>
          <t>TSLA US 03/17/23 P303.33</t>
        </is>
      </c>
      <c r="C1582" t="inlineStr">
        <is>
          <t>2023-03-17</t>
        </is>
      </c>
      <c r="D1582" t="n">
        <v>303.33</v>
      </c>
      <c r="E1582" t="inlineStr">
        <is>
          <t>BBG018WKP4J5</t>
        </is>
      </c>
    </row>
    <row r="1583">
      <c r="A1583" t="inlineStr">
        <is>
          <t>BBG018WKP5N7 Equity</t>
        </is>
      </c>
      <c r="B1583" t="inlineStr">
        <is>
          <t>TSLA US 03/17/23 P305</t>
        </is>
      </c>
      <c r="C1583" t="inlineStr">
        <is>
          <t>2023-03-17</t>
        </is>
      </c>
      <c r="D1583" t="n">
        <v>305</v>
      </c>
      <c r="E1583" t="inlineStr">
        <is>
          <t>BBG018WKP5N7</t>
        </is>
      </c>
    </row>
    <row r="1584">
      <c r="A1584" t="inlineStr">
        <is>
          <t>BBG017FXK314 Equity</t>
        </is>
      </c>
      <c r="B1584" t="inlineStr">
        <is>
          <t>TSLA US 03/17/23 P306.67</t>
        </is>
      </c>
      <c r="C1584" t="inlineStr">
        <is>
          <t>2023-03-17</t>
        </is>
      </c>
      <c r="D1584" t="n">
        <v>306.67</v>
      </c>
      <c r="E1584" t="inlineStr">
        <is>
          <t>BBG017FXK314</t>
        </is>
      </c>
    </row>
    <row r="1585">
      <c r="A1585" t="inlineStr">
        <is>
          <t>BBG018WKP6R1 Equity</t>
        </is>
      </c>
      <c r="B1585" t="inlineStr">
        <is>
          <t>TSLA US 03/17/23 P308.33</t>
        </is>
      </c>
      <c r="C1585" t="inlineStr">
        <is>
          <t>2023-03-17</t>
        </is>
      </c>
      <c r="D1585" t="n">
        <v>308.33</v>
      </c>
      <c r="E1585" t="inlineStr">
        <is>
          <t>BBG018WKP6R1</t>
        </is>
      </c>
    </row>
    <row r="1586">
      <c r="A1586" t="inlineStr">
        <is>
          <t>BBG018WKP7V4 Equity</t>
        </is>
      </c>
      <c r="B1586" t="inlineStr">
        <is>
          <t>TSLA US 03/17/23 P310</t>
        </is>
      </c>
      <c r="C1586" t="inlineStr">
        <is>
          <t>2023-03-17</t>
        </is>
      </c>
      <c r="D1586" t="n">
        <v>310</v>
      </c>
      <c r="E1586" t="inlineStr">
        <is>
          <t>BBG018WKP7V4</t>
        </is>
      </c>
    </row>
    <row r="1587">
      <c r="A1587" t="inlineStr">
        <is>
          <t>BBG018WKP904 Equity</t>
        </is>
      </c>
      <c r="B1587" t="inlineStr">
        <is>
          <t>TSLA US 03/17/23 P311.67</t>
        </is>
      </c>
      <c r="C1587" t="inlineStr">
        <is>
          <t>2023-03-17</t>
        </is>
      </c>
      <c r="D1587" t="n">
        <v>311.67</v>
      </c>
      <c r="E1587" t="inlineStr">
        <is>
          <t>BBG018WKP904</t>
        </is>
      </c>
    </row>
    <row r="1588">
      <c r="A1588" t="inlineStr">
        <is>
          <t>BBG017FXK476 Equity</t>
        </is>
      </c>
      <c r="B1588" t="inlineStr">
        <is>
          <t>TSLA US 03/17/23 P313.33</t>
        </is>
      </c>
      <c r="C1588" t="inlineStr">
        <is>
          <t>2023-03-17</t>
        </is>
      </c>
      <c r="D1588" t="n">
        <v>313.33</v>
      </c>
      <c r="E1588" t="inlineStr">
        <is>
          <t>BBG017FXK476</t>
        </is>
      </c>
    </row>
    <row r="1589">
      <c r="A1589" t="inlineStr">
        <is>
          <t>BBG018XPQ8H5 Equity</t>
        </is>
      </c>
      <c r="B1589" t="inlineStr">
        <is>
          <t>TSLA US 04/21/23 P100</t>
        </is>
      </c>
      <c r="C1589" t="inlineStr">
        <is>
          <t>2023-04-21</t>
        </is>
      </c>
      <c r="D1589" t="n">
        <v>100</v>
      </c>
      <c r="E1589" t="inlineStr">
        <is>
          <t>BBG018XPQ8H5</t>
        </is>
      </c>
    </row>
    <row r="1590">
      <c r="A1590" t="inlineStr">
        <is>
          <t>BBG01C5CLW79 Equity</t>
        </is>
      </c>
      <c r="B1590" t="inlineStr">
        <is>
          <t>TSLA US 04/21/23 P105</t>
        </is>
      </c>
      <c r="C1590" t="inlineStr">
        <is>
          <t>2023-04-21</t>
        </is>
      </c>
      <c r="D1590" t="n">
        <v>105</v>
      </c>
      <c r="E1590" t="inlineStr">
        <is>
          <t>BBG01C5CLW79</t>
        </is>
      </c>
    </row>
    <row r="1591">
      <c r="A1591" t="inlineStr">
        <is>
          <t>BBG018XPQ9L8 Equity</t>
        </is>
      </c>
      <c r="B1591" t="inlineStr">
        <is>
          <t>TSLA US 04/21/23 P108.33</t>
        </is>
      </c>
      <c r="C1591" t="inlineStr">
        <is>
          <t>2023-04-21</t>
        </is>
      </c>
      <c r="D1591" t="n">
        <v>108.33</v>
      </c>
      <c r="E1591" t="inlineStr">
        <is>
          <t>BBG018XPQ9L8</t>
        </is>
      </c>
    </row>
    <row r="1592">
      <c r="A1592" t="inlineStr">
        <is>
          <t>BBG01C5CLXB2 Equity</t>
        </is>
      </c>
      <c r="B1592" t="inlineStr">
        <is>
          <t>TSLA US 04/21/23 P110</t>
        </is>
      </c>
      <c r="C1592" t="inlineStr">
        <is>
          <t>2023-04-21</t>
        </is>
      </c>
      <c r="D1592" t="n">
        <v>110</v>
      </c>
      <c r="E1592" t="inlineStr">
        <is>
          <t>BBG01C5CLXB2</t>
        </is>
      </c>
    </row>
    <row r="1593">
      <c r="A1593" t="inlineStr">
        <is>
          <t>BBG01C5CLYF6 Equity</t>
        </is>
      </c>
      <c r="B1593" t="inlineStr">
        <is>
          <t>TSLA US 04/21/23 P115</t>
        </is>
      </c>
      <c r="C1593" t="inlineStr">
        <is>
          <t>2023-04-21</t>
        </is>
      </c>
      <c r="D1593" t="n">
        <v>115</v>
      </c>
      <c r="E1593" t="inlineStr">
        <is>
          <t>BBG01C5CLYF6</t>
        </is>
      </c>
    </row>
    <row r="1594">
      <c r="A1594" t="inlineStr">
        <is>
          <t>BBG018XPQBP9 Equity</t>
        </is>
      </c>
      <c r="B1594" t="inlineStr">
        <is>
          <t>TSLA US 04/21/23 P116.67</t>
        </is>
      </c>
      <c r="C1594" t="inlineStr">
        <is>
          <t>2023-04-21</t>
        </is>
      </c>
      <c r="D1594" t="n">
        <v>116.67</v>
      </c>
      <c r="E1594" t="inlineStr">
        <is>
          <t>BBG018XPQBP9</t>
        </is>
      </c>
    </row>
    <row r="1595">
      <c r="A1595" t="inlineStr">
        <is>
          <t>BBG01C5CLZK7 Equity</t>
        </is>
      </c>
      <c r="B1595" t="inlineStr">
        <is>
          <t>TSLA US 04/21/23 P120</t>
        </is>
      </c>
      <c r="C1595" t="inlineStr">
        <is>
          <t>2023-04-21</t>
        </is>
      </c>
      <c r="D1595" t="n">
        <v>120</v>
      </c>
      <c r="E1595" t="inlineStr">
        <is>
          <t>BBG01C5CLZK7</t>
        </is>
      </c>
    </row>
    <row r="1596">
      <c r="A1596" t="inlineStr">
        <is>
          <t>BBG018XPQCT3 Equity</t>
        </is>
      </c>
      <c r="B1596" t="inlineStr">
        <is>
          <t>TSLA US 04/21/23 P125</t>
        </is>
      </c>
      <c r="C1596" t="inlineStr">
        <is>
          <t>2023-04-21</t>
        </is>
      </c>
      <c r="D1596" t="n">
        <v>125</v>
      </c>
      <c r="E1596" t="inlineStr">
        <is>
          <t>BBG018XPQCT3</t>
        </is>
      </c>
    </row>
    <row r="1597">
      <c r="A1597" t="inlineStr">
        <is>
          <t>BBG01C5CM0N0 Equity</t>
        </is>
      </c>
      <c r="B1597" t="inlineStr">
        <is>
          <t>TSLA US 04/21/23 P130</t>
        </is>
      </c>
      <c r="C1597" t="inlineStr">
        <is>
          <t>2023-04-21</t>
        </is>
      </c>
      <c r="D1597" t="n">
        <v>130</v>
      </c>
      <c r="E1597" t="inlineStr">
        <is>
          <t>BBG01C5CM0N0</t>
        </is>
      </c>
    </row>
    <row r="1598">
      <c r="A1598" t="inlineStr">
        <is>
          <t>BBG018XPQDX6 Equity</t>
        </is>
      </c>
      <c r="B1598" t="inlineStr">
        <is>
          <t>TSLA US 04/21/23 P133.33</t>
        </is>
      </c>
      <c r="C1598" t="inlineStr">
        <is>
          <t>2023-04-21</t>
        </is>
      </c>
      <c r="D1598" t="n">
        <v>133.33</v>
      </c>
      <c r="E1598" t="inlineStr">
        <is>
          <t>BBG018XPQDX6</t>
        </is>
      </c>
    </row>
    <row r="1599">
      <c r="A1599" t="inlineStr">
        <is>
          <t>BBG01C5CM1R4 Equity</t>
        </is>
      </c>
      <c r="B1599" t="inlineStr">
        <is>
          <t>TSLA US 04/21/23 P135</t>
        </is>
      </c>
      <c r="C1599" t="inlineStr">
        <is>
          <t>2023-04-21</t>
        </is>
      </c>
      <c r="D1599" t="n">
        <v>135</v>
      </c>
      <c r="E1599" t="inlineStr">
        <is>
          <t>BBG01C5CM1R4</t>
        </is>
      </c>
    </row>
    <row r="1600">
      <c r="A1600" t="inlineStr">
        <is>
          <t>BBG01C5CM2W6 Equity</t>
        </is>
      </c>
      <c r="B1600" t="inlineStr">
        <is>
          <t>TSLA US 04/21/23 P140</t>
        </is>
      </c>
      <c r="C1600" t="inlineStr">
        <is>
          <t>2023-04-21</t>
        </is>
      </c>
      <c r="D1600" t="n">
        <v>140</v>
      </c>
      <c r="E1600" t="inlineStr">
        <is>
          <t>BBG01C5CM2W6</t>
        </is>
      </c>
    </row>
    <row r="1601">
      <c r="A1601" t="inlineStr">
        <is>
          <t>BBG018XPQG05 Equity</t>
        </is>
      </c>
      <c r="B1601" t="inlineStr">
        <is>
          <t>TSLA US 04/21/23 P141.67</t>
        </is>
      </c>
      <c r="C1601" t="inlineStr">
        <is>
          <t>2023-04-21</t>
        </is>
      </c>
      <c r="D1601" t="n">
        <v>141.67</v>
      </c>
      <c r="E1601" t="inlineStr">
        <is>
          <t>BBG018XPQG05</t>
        </is>
      </c>
    </row>
    <row r="1602">
      <c r="A1602" t="inlineStr">
        <is>
          <t>BBG01C5CM3Z1 Equity</t>
        </is>
      </c>
      <c r="B1602" t="inlineStr">
        <is>
          <t>TSLA US 04/21/23 P145</t>
        </is>
      </c>
      <c r="C1602" t="inlineStr">
        <is>
          <t>2023-04-21</t>
        </is>
      </c>
      <c r="D1602" t="n">
        <v>145</v>
      </c>
      <c r="E1602" t="inlineStr">
        <is>
          <t>BBG01C5CM3Z1</t>
        </is>
      </c>
    </row>
    <row r="1603">
      <c r="A1603" t="inlineStr">
        <is>
          <t>BBG018XPQH49 Equity</t>
        </is>
      </c>
      <c r="B1603" t="inlineStr">
        <is>
          <t>TSLA US 04/21/23 P150</t>
        </is>
      </c>
      <c r="C1603" t="inlineStr">
        <is>
          <t>2023-04-21</t>
        </is>
      </c>
      <c r="D1603" t="n">
        <v>150</v>
      </c>
      <c r="E1603" t="inlineStr">
        <is>
          <t>BBG018XPQH49</t>
        </is>
      </c>
    </row>
    <row r="1604">
      <c r="A1604" t="inlineStr">
        <is>
          <t>BBG01FZ9TM25 Equity</t>
        </is>
      </c>
      <c r="B1604" t="inlineStr">
        <is>
          <t>TSLA US 04/21/23 P152.5</t>
        </is>
      </c>
      <c r="C1604" t="inlineStr">
        <is>
          <t>2023-04-21</t>
        </is>
      </c>
      <c r="D1604" t="n">
        <v>152.5</v>
      </c>
      <c r="E1604" t="inlineStr">
        <is>
          <t>BBG01FZ9TM25</t>
        </is>
      </c>
    </row>
    <row r="1605">
      <c r="A1605" t="inlineStr">
        <is>
          <t>BBG01C5CM522 Equity</t>
        </is>
      </c>
      <c r="B1605" t="inlineStr">
        <is>
          <t>TSLA US 04/21/23 P155</t>
        </is>
      </c>
      <c r="C1605" t="inlineStr">
        <is>
          <t>2023-04-21</t>
        </is>
      </c>
      <c r="D1605" t="n">
        <v>155</v>
      </c>
      <c r="E1605" t="inlineStr">
        <is>
          <t>BBG01C5CM522</t>
        </is>
      </c>
    </row>
    <row r="1606">
      <c r="A1606" t="inlineStr">
        <is>
          <t>BBG01FZ9TN69 Equity</t>
        </is>
      </c>
      <c r="B1606" t="inlineStr">
        <is>
          <t>TSLA US 04/21/23 P157.5</t>
        </is>
      </c>
      <c r="C1606" t="inlineStr">
        <is>
          <t>2023-04-21</t>
        </is>
      </c>
      <c r="D1606" t="n">
        <v>157.5</v>
      </c>
      <c r="E1606" t="inlineStr">
        <is>
          <t>BBG01FZ9TN69</t>
        </is>
      </c>
    </row>
    <row r="1607">
      <c r="A1607" t="inlineStr">
        <is>
          <t>BBG018XPQJ72 Equity</t>
        </is>
      </c>
      <c r="B1607" t="inlineStr">
        <is>
          <t>TSLA US 04/21/23 P158.33</t>
        </is>
      </c>
      <c r="C1607" t="inlineStr">
        <is>
          <t>2023-04-21</t>
        </is>
      </c>
      <c r="D1607" t="n">
        <v>158.33</v>
      </c>
      <c r="E1607" t="inlineStr">
        <is>
          <t>BBG018XPQJ72</t>
        </is>
      </c>
    </row>
    <row r="1608">
      <c r="A1608" t="inlineStr">
        <is>
          <t>BBG01C5CM666 Equity</t>
        </is>
      </c>
      <c r="B1608" t="inlineStr">
        <is>
          <t>TSLA US 04/21/23 P160</t>
        </is>
      </c>
      <c r="C1608" t="inlineStr">
        <is>
          <t>2023-04-21</t>
        </is>
      </c>
      <c r="D1608" t="n">
        <v>160</v>
      </c>
      <c r="E1608" t="inlineStr">
        <is>
          <t>BBG01C5CM666</t>
        </is>
      </c>
    </row>
    <row r="1609">
      <c r="A1609" t="inlineStr">
        <is>
          <t>BBG01FZ9TP91 Equity</t>
        </is>
      </c>
      <c r="B1609" t="inlineStr">
        <is>
          <t>TSLA US 04/21/23 P162.5</t>
        </is>
      </c>
      <c r="C1609" t="inlineStr">
        <is>
          <t>2023-04-21</t>
        </is>
      </c>
      <c r="D1609" t="n">
        <v>162.5</v>
      </c>
      <c r="E1609" t="inlineStr">
        <is>
          <t>BBG01FZ9TP91</t>
        </is>
      </c>
    </row>
    <row r="1610">
      <c r="A1610" t="inlineStr">
        <is>
          <t>BBG01C5CM791 Equity</t>
        </is>
      </c>
      <c r="B1610" t="inlineStr">
        <is>
          <t>TSLA US 04/21/23 P165</t>
        </is>
      </c>
      <c r="C1610" t="inlineStr">
        <is>
          <t>2023-04-21</t>
        </is>
      </c>
      <c r="D1610" t="n">
        <v>165</v>
      </c>
      <c r="E1610" t="inlineStr">
        <is>
          <t>BBG01C5CM791</t>
        </is>
      </c>
    </row>
    <row r="1611">
      <c r="A1611" t="inlineStr">
        <is>
          <t>BBG018XPQKD2 Equity</t>
        </is>
      </c>
      <c r="B1611" t="inlineStr">
        <is>
          <t>TSLA US 04/21/23 P166.67</t>
        </is>
      </c>
      <c r="C1611" t="inlineStr">
        <is>
          <t>2023-04-21</t>
        </is>
      </c>
      <c r="D1611" t="n">
        <v>166.67</v>
      </c>
      <c r="E1611" t="inlineStr">
        <is>
          <t>BBG018XPQKD2</t>
        </is>
      </c>
    </row>
    <row r="1612">
      <c r="A1612" t="inlineStr">
        <is>
          <t>BBG01FZ9TQD4 Equity</t>
        </is>
      </c>
      <c r="B1612" t="inlineStr">
        <is>
          <t>TSLA US 04/21/23 P167.5</t>
        </is>
      </c>
      <c r="C1612" t="inlineStr">
        <is>
          <t>2023-04-21</t>
        </is>
      </c>
      <c r="D1612" t="n">
        <v>167.5</v>
      </c>
      <c r="E1612" t="inlineStr">
        <is>
          <t>BBG01FZ9TQD4</t>
        </is>
      </c>
    </row>
    <row r="1613">
      <c r="A1613" t="inlineStr">
        <is>
          <t>BBG01C5CM8D4 Equity</t>
        </is>
      </c>
      <c r="B1613" t="inlineStr">
        <is>
          <t>TSLA US 04/21/23 P170</t>
        </is>
      </c>
      <c r="C1613" t="inlineStr">
        <is>
          <t>2023-04-21</t>
        </is>
      </c>
      <c r="D1613" t="n">
        <v>170</v>
      </c>
      <c r="E1613" t="inlineStr">
        <is>
          <t>BBG01C5CM8D4</t>
        </is>
      </c>
    </row>
    <row r="1614">
      <c r="A1614" t="inlineStr">
        <is>
          <t>BBG01FZ9TRJ6 Equity</t>
        </is>
      </c>
      <c r="B1614" t="inlineStr">
        <is>
          <t>TSLA US 04/21/23 P172.5</t>
        </is>
      </c>
      <c r="C1614" t="inlineStr">
        <is>
          <t>2023-04-21</t>
        </is>
      </c>
      <c r="D1614" t="n">
        <v>172.5</v>
      </c>
      <c r="E1614" t="inlineStr">
        <is>
          <t>BBG01FZ9TRJ6</t>
        </is>
      </c>
    </row>
    <row r="1615">
      <c r="A1615" t="inlineStr">
        <is>
          <t>BBG018XPQLH6 Equity</t>
        </is>
      </c>
      <c r="B1615" t="inlineStr">
        <is>
          <t>TSLA US 04/21/23 P175</t>
        </is>
      </c>
      <c r="C1615" t="inlineStr">
        <is>
          <t>2023-04-21</t>
        </is>
      </c>
      <c r="D1615" t="n">
        <v>175</v>
      </c>
      <c r="E1615" t="inlineStr">
        <is>
          <t>BBG018XPQLH6</t>
        </is>
      </c>
    </row>
    <row r="1616">
      <c r="A1616" t="inlineStr">
        <is>
          <t>BBG01FZ9TSM0 Equity</t>
        </is>
      </c>
      <c r="B1616" t="inlineStr">
        <is>
          <t>TSLA US 04/21/23 P177.5</t>
        </is>
      </c>
      <c r="C1616" t="inlineStr">
        <is>
          <t>2023-04-21</t>
        </is>
      </c>
      <c r="D1616" t="n">
        <v>177.5</v>
      </c>
      <c r="E1616" t="inlineStr">
        <is>
          <t>BBG01FZ9TSM0</t>
        </is>
      </c>
    </row>
    <row r="1617">
      <c r="A1617" t="inlineStr">
        <is>
          <t>BBG01C6FDC38 Equity</t>
        </is>
      </c>
      <c r="B1617" t="inlineStr">
        <is>
          <t>TSLA US 04/21/23 P180</t>
        </is>
      </c>
      <c r="C1617" t="inlineStr">
        <is>
          <t>2023-04-21</t>
        </is>
      </c>
      <c r="D1617" t="n">
        <v>180</v>
      </c>
      <c r="E1617" t="inlineStr">
        <is>
          <t>BBG01C6FDC38</t>
        </is>
      </c>
    </row>
    <row r="1618">
      <c r="A1618" t="inlineStr">
        <is>
          <t>BBG01FZ9TTR3 Equity</t>
        </is>
      </c>
      <c r="B1618" t="inlineStr">
        <is>
          <t>TSLA US 04/21/23 P182.5</t>
        </is>
      </c>
      <c r="C1618" t="inlineStr">
        <is>
          <t>2023-04-21</t>
        </is>
      </c>
      <c r="D1618" t="n">
        <v>182.5</v>
      </c>
      <c r="E1618" t="inlineStr">
        <is>
          <t>BBG01FZ9TTR3</t>
        </is>
      </c>
    </row>
    <row r="1619">
      <c r="A1619" t="inlineStr">
        <is>
          <t>BBG018XPQML9 Equity</t>
        </is>
      </c>
      <c r="B1619" t="inlineStr">
        <is>
          <t>TSLA US 04/21/23 P183.33</t>
        </is>
      </c>
      <c r="C1619" t="inlineStr">
        <is>
          <t>2023-04-21</t>
        </is>
      </c>
      <c r="D1619" t="n">
        <v>183.33</v>
      </c>
      <c r="E1619" t="inlineStr">
        <is>
          <t>BBG018XPQML9</t>
        </is>
      </c>
    </row>
    <row r="1620">
      <c r="A1620" t="inlineStr">
        <is>
          <t>BBG01CGX3FB3 Equity</t>
        </is>
      </c>
      <c r="B1620" t="inlineStr">
        <is>
          <t>TSLA US 04/21/23 P185</t>
        </is>
      </c>
      <c r="C1620" t="inlineStr">
        <is>
          <t>2023-04-21</t>
        </is>
      </c>
      <c r="D1620" t="n">
        <v>185</v>
      </c>
      <c r="E1620" t="inlineStr">
        <is>
          <t>BBG01CGX3FB3</t>
        </is>
      </c>
    </row>
    <row r="1621">
      <c r="A1621" t="inlineStr">
        <is>
          <t>BBG01FZ9TVV3 Equity</t>
        </is>
      </c>
      <c r="B1621" t="inlineStr">
        <is>
          <t>TSLA US 04/21/23 P187.5</t>
        </is>
      </c>
      <c r="C1621" t="inlineStr">
        <is>
          <t>2023-04-21</t>
        </is>
      </c>
      <c r="D1621" t="n">
        <v>187.5</v>
      </c>
      <c r="E1621" t="inlineStr">
        <is>
          <t>BBG01FZ9TVV3</t>
        </is>
      </c>
    </row>
    <row r="1622">
      <c r="A1622" t="inlineStr">
        <is>
          <t>BBG01CGX3GG6 Equity</t>
        </is>
      </c>
      <c r="B1622" t="inlineStr">
        <is>
          <t>TSLA US 04/21/23 P190</t>
        </is>
      </c>
      <c r="C1622" t="inlineStr">
        <is>
          <t>2023-04-21</t>
        </is>
      </c>
      <c r="D1622" t="n">
        <v>190</v>
      </c>
      <c r="E1622" t="inlineStr">
        <is>
          <t>BBG01CGX3GG6</t>
        </is>
      </c>
    </row>
    <row r="1623">
      <c r="A1623" t="inlineStr">
        <is>
          <t>BBG018XPQNR1 Equity</t>
        </is>
      </c>
      <c r="B1623" t="inlineStr">
        <is>
          <t>TSLA US 04/21/23 P191.67</t>
        </is>
      </c>
      <c r="C1623" t="inlineStr">
        <is>
          <t>2023-04-21</t>
        </is>
      </c>
      <c r="D1623" t="n">
        <v>191.67</v>
      </c>
      <c r="E1623" t="inlineStr">
        <is>
          <t>BBG018XPQNR1</t>
        </is>
      </c>
    </row>
    <row r="1624">
      <c r="A1624" t="inlineStr">
        <is>
          <t>BBG01FZ9TWY8 Equity</t>
        </is>
      </c>
      <c r="B1624" t="inlineStr">
        <is>
          <t>TSLA US 04/21/23 P192.5</t>
        </is>
      </c>
      <c r="C1624" t="inlineStr">
        <is>
          <t>2023-04-21</t>
        </is>
      </c>
      <c r="D1624" t="n">
        <v>192.5</v>
      </c>
      <c r="E1624" t="inlineStr">
        <is>
          <t>BBG01FZ9TWY8</t>
        </is>
      </c>
    </row>
    <row r="1625">
      <c r="A1625" t="inlineStr">
        <is>
          <t>BBG01DC5S0C1 Equity</t>
        </is>
      </c>
      <c r="B1625" t="inlineStr">
        <is>
          <t>TSLA US 04/21/23 P195</t>
        </is>
      </c>
      <c r="C1625" t="inlineStr">
        <is>
          <t>2023-04-21</t>
        </is>
      </c>
      <c r="D1625" t="n">
        <v>195</v>
      </c>
      <c r="E1625" t="inlineStr">
        <is>
          <t>BBG01DC5S0C1</t>
        </is>
      </c>
    </row>
    <row r="1626">
      <c r="A1626" t="inlineStr">
        <is>
          <t>BBG01FZ9TY29 Equity</t>
        </is>
      </c>
      <c r="B1626" t="inlineStr">
        <is>
          <t>TSLA US 04/21/23 P197.5</t>
        </is>
      </c>
      <c r="C1626" t="inlineStr">
        <is>
          <t>2023-04-21</t>
        </is>
      </c>
      <c r="D1626" t="n">
        <v>197.5</v>
      </c>
      <c r="E1626" t="inlineStr">
        <is>
          <t>BBG01FZ9TY29</t>
        </is>
      </c>
    </row>
    <row r="1627">
      <c r="A1627" t="inlineStr">
        <is>
          <t>BBG018XPQPV1 Equity</t>
        </is>
      </c>
      <c r="B1627" t="inlineStr">
        <is>
          <t>TSLA US 04/21/23 P200</t>
        </is>
      </c>
      <c r="C1627" t="inlineStr">
        <is>
          <t>2023-04-21</t>
        </is>
      </c>
      <c r="D1627" t="n">
        <v>200</v>
      </c>
      <c r="E1627" t="inlineStr">
        <is>
          <t>BBG018XPQPV1</t>
        </is>
      </c>
    </row>
    <row r="1628">
      <c r="A1628" t="inlineStr">
        <is>
          <t>BBG01FZ9TZ53 Equity</t>
        </is>
      </c>
      <c r="B1628" t="inlineStr">
        <is>
          <t>TSLA US 04/21/23 P202.5</t>
        </is>
      </c>
      <c r="C1628" t="inlineStr">
        <is>
          <t>2023-04-21</t>
        </is>
      </c>
      <c r="D1628" t="n">
        <v>202.5</v>
      </c>
      <c r="E1628" t="inlineStr">
        <is>
          <t>BBG01FZ9TZ53</t>
        </is>
      </c>
    </row>
    <row r="1629">
      <c r="A1629" t="inlineStr">
        <is>
          <t>BBG01DC5S1G5 Equity</t>
        </is>
      </c>
      <c r="B1629" t="inlineStr">
        <is>
          <t>TSLA US 04/21/23 P205</t>
        </is>
      </c>
      <c r="C1629" t="inlineStr">
        <is>
          <t>2023-04-21</t>
        </is>
      </c>
      <c r="D1629" t="n">
        <v>205</v>
      </c>
      <c r="E1629" t="inlineStr">
        <is>
          <t>BBG01DC5S1G5</t>
        </is>
      </c>
    </row>
    <row r="1630">
      <c r="A1630" t="inlineStr">
        <is>
          <t>BBG01FZ9V084 Equity</t>
        </is>
      </c>
      <c r="B1630" t="inlineStr">
        <is>
          <t>TSLA US 04/21/23 P207.5</t>
        </is>
      </c>
      <c r="C1630" t="inlineStr">
        <is>
          <t>2023-04-21</t>
        </is>
      </c>
      <c r="D1630" t="n">
        <v>207.5</v>
      </c>
      <c r="E1630" t="inlineStr">
        <is>
          <t>BBG01FZ9V084</t>
        </is>
      </c>
    </row>
    <row r="1631">
      <c r="A1631" t="inlineStr">
        <is>
          <t>BBG018XPQQY6 Equity</t>
        </is>
      </c>
      <c r="B1631" t="inlineStr">
        <is>
          <t>TSLA US 04/21/23 P208.33</t>
        </is>
      </c>
      <c r="C1631" t="inlineStr">
        <is>
          <t>2023-04-21</t>
        </is>
      </c>
      <c r="D1631" t="n">
        <v>208.33</v>
      </c>
      <c r="E1631" t="inlineStr">
        <is>
          <t>BBG018XPQQY6</t>
        </is>
      </c>
    </row>
    <row r="1632">
      <c r="A1632" t="inlineStr">
        <is>
          <t>BBG01DC5S2K8 Equity</t>
        </is>
      </c>
      <c r="B1632" t="inlineStr">
        <is>
          <t>TSLA US 04/21/23 P210</t>
        </is>
      </c>
      <c r="C1632" t="inlineStr">
        <is>
          <t>2023-04-21</t>
        </is>
      </c>
      <c r="D1632" t="n">
        <v>210</v>
      </c>
      <c r="E1632" t="inlineStr">
        <is>
          <t>BBG01DC5S2K8</t>
        </is>
      </c>
    </row>
    <row r="1633">
      <c r="A1633" t="inlineStr">
        <is>
          <t>BBG01DJ4PG26 Equity</t>
        </is>
      </c>
      <c r="B1633" t="inlineStr">
        <is>
          <t>TSLA US 04/21/23 P215</t>
        </is>
      </c>
      <c r="C1633" t="inlineStr">
        <is>
          <t>2023-04-21</t>
        </is>
      </c>
      <c r="D1633" t="n">
        <v>215</v>
      </c>
      <c r="E1633" t="inlineStr">
        <is>
          <t>BBG01DJ4PG26</t>
        </is>
      </c>
    </row>
    <row r="1634">
      <c r="A1634" t="inlineStr">
        <is>
          <t>BBG018XPQS27 Equity</t>
        </is>
      </c>
      <c r="B1634" t="inlineStr">
        <is>
          <t>TSLA US 04/21/23 P216.67</t>
        </is>
      </c>
      <c r="C1634" t="inlineStr">
        <is>
          <t>2023-04-21</t>
        </is>
      </c>
      <c r="D1634" t="n">
        <v>216.67</v>
      </c>
      <c r="E1634" t="inlineStr">
        <is>
          <t>BBG018XPQS27</t>
        </is>
      </c>
    </row>
    <row r="1635">
      <c r="A1635" t="inlineStr">
        <is>
          <t>BBG01DJ4PH79 Equity</t>
        </is>
      </c>
      <c r="B1635" t="inlineStr">
        <is>
          <t>TSLA US 04/21/23 P220</t>
        </is>
      </c>
      <c r="C1635" t="inlineStr">
        <is>
          <t>2023-04-21</t>
        </is>
      </c>
      <c r="D1635" t="n">
        <v>220</v>
      </c>
      <c r="E1635" t="inlineStr">
        <is>
          <t>BBG01DJ4PH79</t>
        </is>
      </c>
    </row>
    <row r="1636">
      <c r="A1636" t="inlineStr">
        <is>
          <t>BBG018XPQT52 Equity</t>
        </is>
      </c>
      <c r="B1636" t="inlineStr">
        <is>
          <t>TSLA US 04/21/23 P225</t>
        </is>
      </c>
      <c r="C1636" t="inlineStr">
        <is>
          <t>2023-04-21</t>
        </is>
      </c>
      <c r="D1636" t="n">
        <v>225</v>
      </c>
      <c r="E1636" t="inlineStr">
        <is>
          <t>BBG018XPQT52</t>
        </is>
      </c>
    </row>
    <row r="1637">
      <c r="A1637" t="inlineStr">
        <is>
          <t>BBG01DJ4PJB0 Equity</t>
        </is>
      </c>
      <c r="B1637" t="inlineStr">
        <is>
          <t>TSLA US 04/21/23 P230</t>
        </is>
      </c>
      <c r="C1637" t="inlineStr">
        <is>
          <t>2023-04-21</t>
        </is>
      </c>
      <c r="D1637" t="n">
        <v>230</v>
      </c>
      <c r="E1637" t="inlineStr">
        <is>
          <t>BBG01DJ4PJB0</t>
        </is>
      </c>
    </row>
    <row r="1638">
      <c r="A1638" t="inlineStr">
        <is>
          <t>BBG018XPQV84 Equity</t>
        </is>
      </c>
      <c r="B1638" t="inlineStr">
        <is>
          <t>TSLA US 04/21/23 P233.33</t>
        </is>
      </c>
      <c r="C1638" t="inlineStr">
        <is>
          <t>2023-04-21</t>
        </is>
      </c>
      <c r="D1638" t="n">
        <v>233.33</v>
      </c>
      <c r="E1638" t="inlineStr">
        <is>
          <t>BBG018XPQV84</t>
        </is>
      </c>
    </row>
    <row r="1639">
      <c r="A1639" t="inlineStr">
        <is>
          <t>BBG01DJ4PKF3 Equity</t>
        </is>
      </c>
      <c r="B1639" t="inlineStr">
        <is>
          <t>TSLA US 04/21/23 P235</t>
        </is>
      </c>
      <c r="C1639" t="inlineStr">
        <is>
          <t>2023-04-21</t>
        </is>
      </c>
      <c r="D1639" t="n">
        <v>235</v>
      </c>
      <c r="E1639" t="inlineStr">
        <is>
          <t>BBG01DJ4PKF3</t>
        </is>
      </c>
    </row>
    <row r="1640">
      <c r="A1640" t="inlineStr">
        <is>
          <t>BBG018XPQWF4 Equity</t>
        </is>
      </c>
      <c r="B1640" t="inlineStr">
        <is>
          <t>TSLA US 04/21/23 P240</t>
        </is>
      </c>
      <c r="C1640" t="inlineStr">
        <is>
          <t>2023-04-21</t>
        </is>
      </c>
      <c r="D1640" t="n">
        <v>240</v>
      </c>
      <c r="E1640" t="inlineStr">
        <is>
          <t>BBG018XPQWF4</t>
        </is>
      </c>
    </row>
    <row r="1641">
      <c r="A1641" t="inlineStr">
        <is>
          <t>BBG018XPQXJ8 Equity</t>
        </is>
      </c>
      <c r="B1641" t="inlineStr">
        <is>
          <t>TSLA US 04/21/23 P241.67</t>
        </is>
      </c>
      <c r="C1641" t="inlineStr">
        <is>
          <t>2023-04-21</t>
        </is>
      </c>
      <c r="D1641" t="n">
        <v>241.67</v>
      </c>
      <c r="E1641" t="inlineStr">
        <is>
          <t>BBG018XPQXJ8</t>
        </is>
      </c>
    </row>
    <row r="1642">
      <c r="A1642" t="inlineStr">
        <is>
          <t>BBG018XPQYM2 Equity</t>
        </is>
      </c>
      <c r="B1642" t="inlineStr">
        <is>
          <t>TSLA US 04/21/23 P243.33</t>
        </is>
      </c>
      <c r="C1642" t="inlineStr">
        <is>
          <t>2023-04-21</t>
        </is>
      </c>
      <c r="D1642" t="n">
        <v>243.33</v>
      </c>
      <c r="E1642" t="inlineStr">
        <is>
          <t>BBG018XPQYM2</t>
        </is>
      </c>
    </row>
    <row r="1643">
      <c r="A1643" t="inlineStr">
        <is>
          <t>BBG018XPQZR4 Equity</t>
        </is>
      </c>
      <c r="B1643" t="inlineStr">
        <is>
          <t>TSLA US 04/21/23 P245</t>
        </is>
      </c>
      <c r="C1643" t="inlineStr">
        <is>
          <t>2023-04-21</t>
        </is>
      </c>
      <c r="D1643" t="n">
        <v>245</v>
      </c>
      <c r="E1643" t="inlineStr">
        <is>
          <t>BBG018XPQZR4</t>
        </is>
      </c>
    </row>
    <row r="1644">
      <c r="A1644" t="inlineStr">
        <is>
          <t>BBG018XPR0V5 Equity</t>
        </is>
      </c>
      <c r="B1644" t="inlineStr">
        <is>
          <t>TSLA US 04/21/23 P246.67</t>
        </is>
      </c>
      <c r="C1644" t="inlineStr">
        <is>
          <t>2023-04-21</t>
        </is>
      </c>
      <c r="D1644" t="n">
        <v>246.67</v>
      </c>
      <c r="E1644" t="inlineStr">
        <is>
          <t>BBG018XPR0V5</t>
        </is>
      </c>
    </row>
    <row r="1645">
      <c r="A1645" t="inlineStr">
        <is>
          <t>BBG018XPR1Y0 Equity</t>
        </is>
      </c>
      <c r="B1645" t="inlineStr">
        <is>
          <t>TSLA US 04/21/23 P248.33</t>
        </is>
      </c>
      <c r="C1645" t="inlineStr">
        <is>
          <t>2023-04-21</t>
        </is>
      </c>
      <c r="D1645" t="n">
        <v>248.33</v>
      </c>
      <c r="E1645" t="inlineStr">
        <is>
          <t>BBG018XPR1Y0</t>
        </is>
      </c>
    </row>
    <row r="1646">
      <c r="A1646" t="inlineStr">
        <is>
          <t>BBG018XPR321 Equity</t>
        </is>
      </c>
      <c r="B1646" t="inlineStr">
        <is>
          <t>TSLA US 04/21/23 P250</t>
        </is>
      </c>
      <c r="C1646" t="inlineStr">
        <is>
          <t>2023-04-21</t>
        </is>
      </c>
      <c r="D1646" t="n">
        <v>250</v>
      </c>
      <c r="E1646" t="inlineStr">
        <is>
          <t>BBG018XPR321</t>
        </is>
      </c>
    </row>
    <row r="1647">
      <c r="A1647" t="inlineStr">
        <is>
          <t>BBG018XPR456 Equity</t>
        </is>
      </c>
      <c r="B1647" t="inlineStr">
        <is>
          <t>TSLA US 04/21/23 P251.67</t>
        </is>
      </c>
      <c r="C1647" t="inlineStr">
        <is>
          <t>2023-04-21</t>
        </is>
      </c>
      <c r="D1647" t="n">
        <v>251.67</v>
      </c>
      <c r="E1647" t="inlineStr">
        <is>
          <t>BBG018XPR456</t>
        </is>
      </c>
    </row>
    <row r="1648">
      <c r="A1648" t="inlineStr">
        <is>
          <t>BBG01C4BSBG1 Equity</t>
        </is>
      </c>
      <c r="B1648" t="inlineStr">
        <is>
          <t>TSLA US 05/19/23 P100</t>
        </is>
      </c>
      <c r="C1648" t="inlineStr">
        <is>
          <t>2023-05-19</t>
        </is>
      </c>
      <c r="D1648" t="n">
        <v>100</v>
      </c>
      <c r="E1648" t="inlineStr">
        <is>
          <t>BBG01C4BSBG1</t>
        </is>
      </c>
    </row>
    <row r="1649">
      <c r="A1649" t="inlineStr">
        <is>
          <t>BBG01C4BSCK4 Equity</t>
        </is>
      </c>
      <c r="B1649" t="inlineStr">
        <is>
          <t>TSLA US 05/19/23 P105</t>
        </is>
      </c>
      <c r="C1649" t="inlineStr">
        <is>
          <t>2023-05-19</t>
        </is>
      </c>
      <c r="D1649" t="n">
        <v>105</v>
      </c>
      <c r="E1649" t="inlineStr">
        <is>
          <t>BBG01C4BSCK4</t>
        </is>
      </c>
    </row>
    <row r="1650">
      <c r="A1650" t="inlineStr">
        <is>
          <t>BBG01C4BSDP7 Equity</t>
        </is>
      </c>
      <c r="B1650" t="inlineStr">
        <is>
          <t>TSLA US 05/19/23 P110</t>
        </is>
      </c>
      <c r="C1650" t="inlineStr">
        <is>
          <t>2023-05-19</t>
        </is>
      </c>
      <c r="D1650" t="n">
        <v>110</v>
      </c>
      <c r="E1650" t="inlineStr">
        <is>
          <t>BBG01C4BSDP7</t>
        </is>
      </c>
    </row>
    <row r="1651">
      <c r="A1651" t="inlineStr">
        <is>
          <t>BBG01C4BSFS9 Equity</t>
        </is>
      </c>
      <c r="B1651" t="inlineStr">
        <is>
          <t>TSLA US 05/19/23 P115</t>
        </is>
      </c>
      <c r="C1651" t="inlineStr">
        <is>
          <t>2023-05-19</t>
        </is>
      </c>
      <c r="D1651" t="n">
        <v>115</v>
      </c>
      <c r="E1651" t="inlineStr">
        <is>
          <t>BBG01C4BSFS9</t>
        </is>
      </c>
    </row>
    <row r="1652">
      <c r="A1652" t="inlineStr">
        <is>
          <t>BBG01C4BSGW2 Equity</t>
        </is>
      </c>
      <c r="B1652" t="inlineStr">
        <is>
          <t>TSLA US 05/19/23 P120</t>
        </is>
      </c>
      <c r="C1652" t="inlineStr">
        <is>
          <t>2023-05-19</t>
        </is>
      </c>
      <c r="D1652" t="n">
        <v>120</v>
      </c>
      <c r="E1652" t="inlineStr">
        <is>
          <t>BBG01C4BSGW2</t>
        </is>
      </c>
    </row>
    <row r="1653">
      <c r="A1653" t="inlineStr">
        <is>
          <t>BBG01C4BSJ01 Equity</t>
        </is>
      </c>
      <c r="B1653" t="inlineStr">
        <is>
          <t>TSLA US 05/19/23 P125</t>
        </is>
      </c>
      <c r="C1653" t="inlineStr">
        <is>
          <t>2023-05-19</t>
        </is>
      </c>
      <c r="D1653" t="n">
        <v>125</v>
      </c>
      <c r="E1653" t="inlineStr">
        <is>
          <t>BBG01C4BSJ01</t>
        </is>
      </c>
    </row>
    <row r="1654">
      <c r="A1654" t="inlineStr">
        <is>
          <t>BBG01BY7MJG8 Equity</t>
        </is>
      </c>
      <c r="B1654" t="inlineStr">
        <is>
          <t>TSLA US 05/19/23 P130</t>
        </is>
      </c>
      <c r="C1654" t="inlineStr">
        <is>
          <t>2023-05-19</t>
        </is>
      </c>
      <c r="D1654" t="n">
        <v>130</v>
      </c>
      <c r="E1654" t="inlineStr">
        <is>
          <t>BBG01BY7MJG8</t>
        </is>
      </c>
    </row>
    <row r="1655">
      <c r="A1655" t="inlineStr">
        <is>
          <t>BBG01BY7MKK0 Equity</t>
        </is>
      </c>
      <c r="B1655" t="inlineStr">
        <is>
          <t>TSLA US 05/19/23 P135</t>
        </is>
      </c>
      <c r="C1655" t="inlineStr">
        <is>
          <t>2023-05-19</t>
        </is>
      </c>
      <c r="D1655" t="n">
        <v>135</v>
      </c>
      <c r="E1655" t="inlineStr">
        <is>
          <t>BBG01BY7MKK0</t>
        </is>
      </c>
    </row>
    <row r="1656">
      <c r="A1656" t="inlineStr">
        <is>
          <t>BBG01BY7MLN5 Equity</t>
        </is>
      </c>
      <c r="B1656" t="inlineStr">
        <is>
          <t>TSLA US 05/19/23 P140</t>
        </is>
      </c>
      <c r="C1656" t="inlineStr">
        <is>
          <t>2023-05-19</t>
        </is>
      </c>
      <c r="D1656" t="n">
        <v>140</v>
      </c>
      <c r="E1656" t="inlineStr">
        <is>
          <t>BBG01BY7MLN5</t>
        </is>
      </c>
    </row>
    <row r="1657">
      <c r="A1657" t="inlineStr">
        <is>
          <t>BBG01BY7MMS8 Equity</t>
        </is>
      </c>
      <c r="B1657" t="inlineStr">
        <is>
          <t>TSLA US 05/19/23 P145</t>
        </is>
      </c>
      <c r="C1657" t="inlineStr">
        <is>
          <t>2023-05-19</t>
        </is>
      </c>
      <c r="D1657" t="n">
        <v>145</v>
      </c>
      <c r="E1657" t="inlineStr">
        <is>
          <t>BBG01BY7MMS8</t>
        </is>
      </c>
    </row>
    <row r="1658">
      <c r="A1658" t="inlineStr">
        <is>
          <t>BBG01BY7MNW1 Equity</t>
        </is>
      </c>
      <c r="B1658" t="inlineStr">
        <is>
          <t>TSLA US 05/19/23 P150</t>
        </is>
      </c>
      <c r="C1658" t="inlineStr">
        <is>
          <t>2023-05-19</t>
        </is>
      </c>
      <c r="D1658" t="n">
        <v>150</v>
      </c>
      <c r="E1658" t="inlineStr">
        <is>
          <t>BBG01BY7MNW1</t>
        </is>
      </c>
    </row>
    <row r="1659">
      <c r="A1659" t="inlineStr">
        <is>
          <t>BBG01BY7MPZ3 Equity</t>
        </is>
      </c>
      <c r="B1659" t="inlineStr">
        <is>
          <t>TSLA US 05/19/23 P155</t>
        </is>
      </c>
      <c r="C1659" t="inlineStr">
        <is>
          <t>2023-05-19</t>
        </is>
      </c>
      <c r="D1659" t="n">
        <v>155</v>
      </c>
      <c r="E1659" t="inlineStr">
        <is>
          <t>BBG01BY7MPZ3</t>
        </is>
      </c>
    </row>
    <row r="1660">
      <c r="A1660" t="inlineStr">
        <is>
          <t>BBG01BY7MR34 Equity</t>
        </is>
      </c>
      <c r="B1660" t="inlineStr">
        <is>
          <t>TSLA US 05/19/23 P160</t>
        </is>
      </c>
      <c r="C1660" t="inlineStr">
        <is>
          <t>2023-05-19</t>
        </is>
      </c>
      <c r="D1660" t="n">
        <v>160</v>
      </c>
      <c r="E1660" t="inlineStr">
        <is>
          <t>BBG01BY7MR34</t>
        </is>
      </c>
    </row>
    <row r="1661">
      <c r="A1661" t="inlineStr">
        <is>
          <t>BBG01BY7MS69 Equity</t>
        </is>
      </c>
      <c r="B1661" t="inlineStr">
        <is>
          <t>TSLA US 05/19/23 P165</t>
        </is>
      </c>
      <c r="C1661" t="inlineStr">
        <is>
          <t>2023-05-19</t>
        </is>
      </c>
      <c r="D1661" t="n">
        <v>165</v>
      </c>
      <c r="E1661" t="inlineStr">
        <is>
          <t>BBG01BY7MS69</t>
        </is>
      </c>
    </row>
    <row r="1662">
      <c r="A1662" t="inlineStr">
        <is>
          <t>BBG01BY7MT94 Equity</t>
        </is>
      </c>
      <c r="B1662" t="inlineStr">
        <is>
          <t>TSLA US 05/19/23 P170</t>
        </is>
      </c>
      <c r="C1662" t="inlineStr">
        <is>
          <t>2023-05-19</t>
        </is>
      </c>
      <c r="D1662" t="n">
        <v>170</v>
      </c>
      <c r="E1662" t="inlineStr">
        <is>
          <t>BBG01BY7MT94</t>
        </is>
      </c>
    </row>
    <row r="1663">
      <c r="A1663" t="inlineStr">
        <is>
          <t>BBG01BY7MVF2 Equity</t>
        </is>
      </c>
      <c r="B1663" t="inlineStr">
        <is>
          <t>TSLA US 05/19/23 P175</t>
        </is>
      </c>
      <c r="C1663" t="inlineStr">
        <is>
          <t>2023-05-19</t>
        </is>
      </c>
      <c r="D1663" t="n">
        <v>175</v>
      </c>
      <c r="E1663" t="inlineStr">
        <is>
          <t>BBG01BY7MVF2</t>
        </is>
      </c>
    </row>
    <row r="1664">
      <c r="A1664" t="inlineStr">
        <is>
          <t>BBG01BY7MWJ6 Equity</t>
        </is>
      </c>
      <c r="B1664" t="inlineStr">
        <is>
          <t>TSLA US 05/19/23 P180</t>
        </is>
      </c>
      <c r="C1664" t="inlineStr">
        <is>
          <t>2023-05-19</t>
        </is>
      </c>
      <c r="D1664" t="n">
        <v>180</v>
      </c>
      <c r="E1664" t="inlineStr">
        <is>
          <t>BBG01BY7MWJ6</t>
        </is>
      </c>
    </row>
    <row r="1665">
      <c r="A1665" t="inlineStr">
        <is>
          <t>BBG01BY7MXM0 Equity</t>
        </is>
      </c>
      <c r="B1665" t="inlineStr">
        <is>
          <t>TSLA US 05/19/23 P185</t>
        </is>
      </c>
      <c r="C1665" t="inlineStr">
        <is>
          <t>2023-05-19</t>
        </is>
      </c>
      <c r="D1665" t="n">
        <v>185</v>
      </c>
      <c r="E1665" t="inlineStr">
        <is>
          <t>BBG01BY7MXM0</t>
        </is>
      </c>
    </row>
    <row r="1666">
      <c r="A1666" t="inlineStr">
        <is>
          <t>BBG01BY7MYR3 Equity</t>
        </is>
      </c>
      <c r="B1666" t="inlineStr">
        <is>
          <t>TSLA US 05/19/23 P190</t>
        </is>
      </c>
      <c r="C1666" t="inlineStr">
        <is>
          <t>2023-05-19</t>
        </is>
      </c>
      <c r="D1666" t="n">
        <v>190</v>
      </c>
      <c r="E1666" t="inlineStr">
        <is>
          <t>BBG01BY7MYR3</t>
        </is>
      </c>
    </row>
    <row r="1667">
      <c r="A1667" t="inlineStr">
        <is>
          <t>BBG01BY7MZV5 Equity</t>
        </is>
      </c>
      <c r="B1667" t="inlineStr">
        <is>
          <t>TSLA US 05/19/23 P195</t>
        </is>
      </c>
      <c r="C1667" t="inlineStr">
        <is>
          <t>2023-05-19</t>
        </is>
      </c>
      <c r="D1667" t="n">
        <v>195</v>
      </c>
      <c r="E1667" t="inlineStr">
        <is>
          <t>BBG01BY7MZV5</t>
        </is>
      </c>
    </row>
    <row r="1668">
      <c r="A1668" t="inlineStr">
        <is>
          <t>BBG01BY7N0Y8 Equity</t>
        </is>
      </c>
      <c r="B1668" t="inlineStr">
        <is>
          <t>TSLA US 05/19/23 P200</t>
        </is>
      </c>
      <c r="C1668" t="inlineStr">
        <is>
          <t>2023-05-19</t>
        </is>
      </c>
      <c r="D1668" t="n">
        <v>200</v>
      </c>
      <c r="E1668" t="inlineStr">
        <is>
          <t>BBG01BY7N0Y8</t>
        </is>
      </c>
    </row>
    <row r="1669">
      <c r="A1669" t="inlineStr">
        <is>
          <t>BBG01DJ4PLM3 Equity</t>
        </is>
      </c>
      <c r="B1669" t="inlineStr">
        <is>
          <t>TSLA US 05/19/23 P205</t>
        </is>
      </c>
      <c r="C1669" t="inlineStr">
        <is>
          <t>2023-05-19</t>
        </is>
      </c>
      <c r="D1669" t="n">
        <v>205</v>
      </c>
      <c r="E1669" t="inlineStr">
        <is>
          <t>BBG01DJ4PLM3</t>
        </is>
      </c>
    </row>
    <row r="1670">
      <c r="A1670" t="inlineStr">
        <is>
          <t>BBG01DC5S3P1 Equity</t>
        </is>
      </c>
      <c r="B1670" t="inlineStr">
        <is>
          <t>TSLA US 05/19/23 P210</t>
        </is>
      </c>
      <c r="C1670" t="inlineStr">
        <is>
          <t>2023-05-19</t>
        </is>
      </c>
      <c r="D1670" t="n">
        <v>210</v>
      </c>
      <c r="E1670" t="inlineStr">
        <is>
          <t>BBG01DC5S3P1</t>
        </is>
      </c>
    </row>
    <row r="1671">
      <c r="A1671" t="inlineStr">
        <is>
          <t>BBG01DJ4PMQ7 Equity</t>
        </is>
      </c>
      <c r="B1671" t="inlineStr">
        <is>
          <t>TSLA US 05/19/23 P215</t>
        </is>
      </c>
      <c r="C1671" t="inlineStr">
        <is>
          <t>2023-05-19</t>
        </is>
      </c>
      <c r="D1671" t="n">
        <v>215</v>
      </c>
      <c r="E1671" t="inlineStr">
        <is>
          <t>BBG01DJ4PMQ7</t>
        </is>
      </c>
    </row>
    <row r="1672">
      <c r="A1672" t="inlineStr">
        <is>
          <t>BBG01DJ4PNT2 Equity</t>
        </is>
      </c>
      <c r="B1672" t="inlineStr">
        <is>
          <t>TSLA US 05/19/23 P220</t>
        </is>
      </c>
      <c r="C1672" t="inlineStr">
        <is>
          <t>2023-05-19</t>
        </is>
      </c>
      <c r="D1672" t="n">
        <v>220</v>
      </c>
      <c r="E1672" t="inlineStr">
        <is>
          <t>BBG01DJ4PNT2</t>
        </is>
      </c>
    </row>
    <row r="1673">
      <c r="A1673" t="inlineStr">
        <is>
          <t>BBG01DJ4PPY1 Equity</t>
        </is>
      </c>
      <c r="B1673" t="inlineStr">
        <is>
          <t>TSLA US 05/19/23 P225</t>
        </is>
      </c>
      <c r="C1673" t="inlineStr">
        <is>
          <t>2023-05-19</t>
        </is>
      </c>
      <c r="D1673" t="n">
        <v>225</v>
      </c>
      <c r="E1673" t="inlineStr">
        <is>
          <t>BBG01DJ4PPY1</t>
        </is>
      </c>
    </row>
    <row r="1674">
      <c r="A1674" t="inlineStr">
        <is>
          <t>BBG01DJ4PR13 Equity</t>
        </is>
      </c>
      <c r="B1674" t="inlineStr">
        <is>
          <t>TSLA US 05/19/23 P230</t>
        </is>
      </c>
      <c r="C1674" t="inlineStr">
        <is>
          <t>2023-05-19</t>
        </is>
      </c>
      <c r="D1674" t="n">
        <v>230</v>
      </c>
      <c r="E1674" t="inlineStr">
        <is>
          <t>BBG01DJ4PR13</t>
        </is>
      </c>
    </row>
    <row r="1675">
      <c r="A1675" t="inlineStr">
        <is>
          <t>BBG01DJ4PS48 Equity</t>
        </is>
      </c>
      <c r="B1675" t="inlineStr">
        <is>
          <t>TSLA US 05/19/23 P235</t>
        </is>
      </c>
      <c r="C1675" t="inlineStr">
        <is>
          <t>2023-05-19</t>
        </is>
      </c>
      <c r="D1675" t="n">
        <v>235</v>
      </c>
      <c r="E1675" t="inlineStr">
        <is>
          <t>BBG01DJ4PS48</t>
        </is>
      </c>
    </row>
    <row r="1676">
      <c r="A1676" t="inlineStr">
        <is>
          <t>BBG01DJ4PT82 Equity</t>
        </is>
      </c>
      <c r="B1676" t="inlineStr">
        <is>
          <t>TSLA US 05/19/23 P240</t>
        </is>
      </c>
      <c r="C1676" t="inlineStr">
        <is>
          <t>2023-05-19</t>
        </is>
      </c>
      <c r="D1676" t="n">
        <v>240</v>
      </c>
      <c r="E1676" t="inlineStr">
        <is>
          <t>BBG01DJ4PT82</t>
        </is>
      </c>
    </row>
    <row r="1677">
      <c r="A1677" t="inlineStr">
        <is>
          <t>BBG01DJ4PVC2 Equity</t>
        </is>
      </c>
      <c r="B1677" t="inlineStr">
        <is>
          <t>TSLA US 05/19/23 P245</t>
        </is>
      </c>
      <c r="C1677" t="inlineStr">
        <is>
          <t>2023-05-19</t>
        </is>
      </c>
      <c r="D1677" t="n">
        <v>245</v>
      </c>
      <c r="E1677" t="inlineStr">
        <is>
          <t>BBG01DJ4PVC2</t>
        </is>
      </c>
    </row>
    <row r="1678">
      <c r="A1678" t="inlineStr">
        <is>
          <t>BBG01DJ4PWG6 Equity</t>
        </is>
      </c>
      <c r="B1678" t="inlineStr">
        <is>
          <t>TSLA US 05/19/23 P250</t>
        </is>
      </c>
      <c r="C1678" t="inlineStr">
        <is>
          <t>2023-05-19</t>
        </is>
      </c>
      <c r="D1678" t="n">
        <v>250</v>
      </c>
      <c r="E1678" t="inlineStr">
        <is>
          <t>BBG01DJ4PWG6</t>
        </is>
      </c>
    </row>
    <row r="1679">
      <c r="A1679" t="inlineStr">
        <is>
          <t>BBG010KVSBD8 Equity</t>
        </is>
      </c>
      <c r="B1679" t="inlineStr">
        <is>
          <t>TSLA US 06/16/23 P100</t>
        </is>
      </c>
      <c r="C1679" t="inlineStr">
        <is>
          <t>2023-06-16</t>
        </is>
      </c>
      <c r="D1679" t="n">
        <v>100</v>
      </c>
      <c r="E1679" t="inlineStr">
        <is>
          <t>BBG010KVSBD8</t>
        </is>
      </c>
    </row>
    <row r="1680">
      <c r="A1680" t="inlineStr">
        <is>
          <t>BBG01C4RR3X6 Equity</t>
        </is>
      </c>
      <c r="B1680" t="inlineStr">
        <is>
          <t>TSLA US 06/16/23 P105</t>
        </is>
      </c>
      <c r="C1680" t="inlineStr">
        <is>
          <t>2023-06-16</t>
        </is>
      </c>
      <c r="D1680" t="n">
        <v>105</v>
      </c>
      <c r="E1680" t="inlineStr">
        <is>
          <t>BBG01C4RR3X6</t>
        </is>
      </c>
    </row>
    <row r="1681">
      <c r="A1681" t="inlineStr">
        <is>
          <t>BBG01C4RR507 Equity</t>
        </is>
      </c>
      <c r="B1681" t="inlineStr">
        <is>
          <t>TSLA US 06/16/23 P110</t>
        </is>
      </c>
      <c r="C1681" t="inlineStr">
        <is>
          <t>2023-06-16</t>
        </is>
      </c>
      <c r="D1681" t="n">
        <v>110</v>
      </c>
      <c r="E1681" t="inlineStr">
        <is>
          <t>BBG01C4RR507</t>
        </is>
      </c>
    </row>
    <row r="1682">
      <c r="A1682" t="inlineStr">
        <is>
          <t>BBG01C5CMJ59 Equity</t>
        </is>
      </c>
      <c r="B1682" t="inlineStr">
        <is>
          <t>TSLA US 06/16/23 P115</t>
        </is>
      </c>
      <c r="C1682" t="inlineStr">
        <is>
          <t>2023-06-16</t>
        </is>
      </c>
      <c r="D1682" t="n">
        <v>115</v>
      </c>
      <c r="E1682" t="inlineStr">
        <is>
          <t>BBG01C5CMJ59</t>
        </is>
      </c>
    </row>
    <row r="1683">
      <c r="A1683" t="inlineStr">
        <is>
          <t>BBG010KVSCH2 Equity</t>
        </is>
      </c>
      <c r="B1683" t="inlineStr">
        <is>
          <t>TSLA US 06/16/23 P116.67</t>
        </is>
      </c>
      <c r="C1683" t="inlineStr">
        <is>
          <t>2023-06-16</t>
        </is>
      </c>
      <c r="D1683" t="n">
        <v>116.67</v>
      </c>
      <c r="E1683" t="inlineStr">
        <is>
          <t>BBG010KVSCH2</t>
        </is>
      </c>
    </row>
    <row r="1684">
      <c r="A1684" t="inlineStr">
        <is>
          <t>BBG01B4PFR35 Equity</t>
        </is>
      </c>
      <c r="B1684" t="inlineStr">
        <is>
          <t>TSLA US 06/16/23 P120</t>
        </is>
      </c>
      <c r="C1684" t="inlineStr">
        <is>
          <t>2023-06-16</t>
        </is>
      </c>
      <c r="D1684" t="n">
        <v>120</v>
      </c>
      <c r="E1684" t="inlineStr">
        <is>
          <t>BBG01B4PFR35</t>
        </is>
      </c>
    </row>
    <row r="1685">
      <c r="A1685" t="inlineStr">
        <is>
          <t>BBG017FXKD21 Equity</t>
        </is>
      </c>
      <c r="B1685" t="inlineStr">
        <is>
          <t>TSLA US 06/16/23 P123.33</t>
        </is>
      </c>
      <c r="C1685" t="inlineStr">
        <is>
          <t>2023-06-16</t>
        </is>
      </c>
      <c r="D1685" t="n">
        <v>123.33</v>
      </c>
      <c r="E1685" t="inlineStr">
        <is>
          <t>BBG017FXKD21</t>
        </is>
      </c>
    </row>
    <row r="1686">
      <c r="A1686" t="inlineStr">
        <is>
          <t>BBG01B4PFS60 Equity</t>
        </is>
      </c>
      <c r="B1686" t="inlineStr">
        <is>
          <t>TSLA US 06/16/23 P125</t>
        </is>
      </c>
      <c r="C1686" t="inlineStr">
        <is>
          <t>2023-06-16</t>
        </is>
      </c>
      <c r="D1686" t="n">
        <v>125</v>
      </c>
      <c r="E1686" t="inlineStr">
        <is>
          <t>BBG01B4PFS60</t>
        </is>
      </c>
    </row>
    <row r="1687">
      <c r="A1687" t="inlineStr">
        <is>
          <t>BBG017FXKF80 Equity</t>
        </is>
      </c>
      <c r="B1687" t="inlineStr">
        <is>
          <t>TSLA US 06/16/23 P126.67</t>
        </is>
      </c>
      <c r="C1687" t="inlineStr">
        <is>
          <t>2023-06-16</t>
        </is>
      </c>
      <c r="D1687" t="n">
        <v>126.67</v>
      </c>
      <c r="E1687" t="inlineStr">
        <is>
          <t>BBG017FXKF80</t>
        </is>
      </c>
    </row>
    <row r="1688">
      <c r="A1688" t="inlineStr">
        <is>
          <t>BBG017FXKGC3 Equity</t>
        </is>
      </c>
      <c r="B1688" t="inlineStr">
        <is>
          <t>TSLA US 06/16/23 P130</t>
        </is>
      </c>
      <c r="C1688" t="inlineStr">
        <is>
          <t>2023-06-16</t>
        </is>
      </c>
      <c r="D1688" t="n">
        <v>130</v>
      </c>
      <c r="E1688" t="inlineStr">
        <is>
          <t>BBG017FXKGC3</t>
        </is>
      </c>
    </row>
    <row r="1689">
      <c r="A1689" t="inlineStr">
        <is>
          <t>BBG010KVSDL5 Equity</t>
        </is>
      </c>
      <c r="B1689" t="inlineStr">
        <is>
          <t>TSLA US 06/16/23 P133.33</t>
        </is>
      </c>
      <c r="C1689" t="inlineStr">
        <is>
          <t>2023-06-16</t>
        </is>
      </c>
      <c r="D1689" t="n">
        <v>133.33</v>
      </c>
      <c r="E1689" t="inlineStr">
        <is>
          <t>BBG010KVSDL5</t>
        </is>
      </c>
    </row>
    <row r="1690">
      <c r="A1690" t="inlineStr">
        <is>
          <t>BBG01B4PFT95 Equity</t>
        </is>
      </c>
      <c r="B1690" t="inlineStr">
        <is>
          <t>TSLA US 06/16/23 P135</t>
        </is>
      </c>
      <c r="C1690" t="inlineStr">
        <is>
          <t>2023-06-16</t>
        </is>
      </c>
      <c r="D1690" t="n">
        <v>135</v>
      </c>
      <c r="E1690" t="inlineStr">
        <is>
          <t>BBG01B4PFT95</t>
        </is>
      </c>
    </row>
    <row r="1691">
      <c r="A1691" t="inlineStr">
        <is>
          <t>BBG017FXKHG7 Equity</t>
        </is>
      </c>
      <c r="B1691" t="inlineStr">
        <is>
          <t>TSLA US 06/16/23 P136.67</t>
        </is>
      </c>
      <c r="C1691" t="inlineStr">
        <is>
          <t>2023-06-16</t>
        </is>
      </c>
      <c r="D1691" t="n">
        <v>136.67</v>
      </c>
      <c r="E1691" t="inlineStr">
        <is>
          <t>BBG017FXKHG7</t>
        </is>
      </c>
    </row>
    <row r="1692">
      <c r="A1692" t="inlineStr">
        <is>
          <t>BBG017FXKJM6 Equity</t>
        </is>
      </c>
      <c r="B1692" t="inlineStr">
        <is>
          <t>TSLA US 06/16/23 P140</t>
        </is>
      </c>
      <c r="C1692" t="inlineStr">
        <is>
          <t>2023-06-16</t>
        </is>
      </c>
      <c r="D1692" t="n">
        <v>140</v>
      </c>
      <c r="E1692" t="inlineStr">
        <is>
          <t>BBG017FXKJM6</t>
        </is>
      </c>
    </row>
    <row r="1693">
      <c r="A1693" t="inlineStr">
        <is>
          <t>BBG017FXKKQ9 Equity</t>
        </is>
      </c>
      <c r="B1693" t="inlineStr">
        <is>
          <t>TSLA US 06/16/23 P143.33</t>
        </is>
      </c>
      <c r="C1693" t="inlineStr">
        <is>
          <t>2023-06-16</t>
        </is>
      </c>
      <c r="D1693" t="n">
        <v>143.33</v>
      </c>
      <c r="E1693" t="inlineStr">
        <is>
          <t>BBG017FXKKQ9</t>
        </is>
      </c>
    </row>
    <row r="1694">
      <c r="A1694" t="inlineStr">
        <is>
          <t>BBG01B4PFVF3 Equity</t>
        </is>
      </c>
      <c r="B1694" t="inlineStr">
        <is>
          <t>TSLA US 06/16/23 P145</t>
        </is>
      </c>
      <c r="C1694" t="inlineStr">
        <is>
          <t>2023-06-16</t>
        </is>
      </c>
      <c r="D1694" t="n">
        <v>145</v>
      </c>
      <c r="E1694" t="inlineStr">
        <is>
          <t>BBG01B4PFVF3</t>
        </is>
      </c>
    </row>
    <row r="1695">
      <c r="A1695" t="inlineStr">
        <is>
          <t>BBG017FXKLT4 Equity</t>
        </is>
      </c>
      <c r="B1695" t="inlineStr">
        <is>
          <t>TSLA US 06/16/23 P146.67</t>
        </is>
      </c>
      <c r="C1695" t="inlineStr">
        <is>
          <t>2023-06-16</t>
        </is>
      </c>
      <c r="D1695" t="n">
        <v>146.67</v>
      </c>
      <c r="E1695" t="inlineStr">
        <is>
          <t>BBG017FXKLT4</t>
        </is>
      </c>
    </row>
    <row r="1696">
      <c r="A1696" t="inlineStr">
        <is>
          <t>BBG010KVSFS3 Equity</t>
        </is>
      </c>
      <c r="B1696" t="inlineStr">
        <is>
          <t>TSLA US 06/16/23 P150</t>
        </is>
      </c>
      <c r="C1696" t="inlineStr">
        <is>
          <t>2023-06-16</t>
        </is>
      </c>
      <c r="D1696" t="n">
        <v>150</v>
      </c>
      <c r="E1696" t="inlineStr">
        <is>
          <t>BBG010KVSFS3</t>
        </is>
      </c>
    </row>
    <row r="1697">
      <c r="A1697" t="inlineStr">
        <is>
          <t>BBG017FXKMZ5 Equity</t>
        </is>
      </c>
      <c r="B1697" t="inlineStr">
        <is>
          <t>TSLA US 06/16/23 P153.33</t>
        </is>
      </c>
      <c r="C1697" t="inlineStr">
        <is>
          <t>2023-06-16</t>
        </is>
      </c>
      <c r="D1697" t="n">
        <v>153.33</v>
      </c>
      <c r="E1697" t="inlineStr">
        <is>
          <t>BBG017FXKMZ5</t>
        </is>
      </c>
    </row>
    <row r="1698">
      <c r="A1698" t="inlineStr">
        <is>
          <t>BBG01B4PFWJ7 Equity</t>
        </is>
      </c>
      <c r="B1698" t="inlineStr">
        <is>
          <t>TSLA US 06/16/23 P155</t>
        </is>
      </c>
      <c r="C1698" t="inlineStr">
        <is>
          <t>2023-06-16</t>
        </is>
      </c>
      <c r="D1698" t="n">
        <v>155</v>
      </c>
      <c r="E1698" t="inlineStr">
        <is>
          <t>BBG01B4PFWJ7</t>
        </is>
      </c>
    </row>
    <row r="1699">
      <c r="A1699" t="inlineStr">
        <is>
          <t>BBG017FXKP24 Equity</t>
        </is>
      </c>
      <c r="B1699" t="inlineStr">
        <is>
          <t>TSLA US 06/16/23 P156.67</t>
        </is>
      </c>
      <c r="C1699" t="inlineStr">
        <is>
          <t>2023-06-16</t>
        </is>
      </c>
      <c r="D1699" t="n">
        <v>156.67</v>
      </c>
      <c r="E1699" t="inlineStr">
        <is>
          <t>BBG017FXKP24</t>
        </is>
      </c>
    </row>
    <row r="1700">
      <c r="A1700" t="inlineStr">
        <is>
          <t>BBG017FXKQ59 Equity</t>
        </is>
      </c>
      <c r="B1700" t="inlineStr">
        <is>
          <t>TSLA US 06/16/23 P160</t>
        </is>
      </c>
      <c r="C1700" t="inlineStr">
        <is>
          <t>2023-06-16</t>
        </is>
      </c>
      <c r="D1700" t="n">
        <v>160</v>
      </c>
      <c r="E1700" t="inlineStr">
        <is>
          <t>BBG017FXKQ59</t>
        </is>
      </c>
    </row>
    <row r="1701">
      <c r="A1701" t="inlineStr">
        <is>
          <t>BBG017FXKRB0 Equity</t>
        </is>
      </c>
      <c r="B1701" t="inlineStr">
        <is>
          <t>TSLA US 06/16/23 P163.33</t>
        </is>
      </c>
      <c r="C1701" t="inlineStr">
        <is>
          <t>2023-06-16</t>
        </is>
      </c>
      <c r="D1701" t="n">
        <v>163.33</v>
      </c>
      <c r="E1701" t="inlineStr">
        <is>
          <t>BBG017FXKRB0</t>
        </is>
      </c>
    </row>
    <row r="1702">
      <c r="A1702" t="inlineStr">
        <is>
          <t>BBG01B4PFXM1 Equity</t>
        </is>
      </c>
      <c r="B1702" t="inlineStr">
        <is>
          <t>TSLA US 06/16/23 P165</t>
        </is>
      </c>
      <c r="C1702" t="inlineStr">
        <is>
          <t>2023-06-16</t>
        </is>
      </c>
      <c r="D1702" t="n">
        <v>165</v>
      </c>
      <c r="E1702" t="inlineStr">
        <is>
          <t>BBG01B4PFXM1</t>
        </is>
      </c>
    </row>
    <row r="1703">
      <c r="A1703" t="inlineStr">
        <is>
          <t>BBG010KVSGW6 Equity</t>
        </is>
      </c>
      <c r="B1703" t="inlineStr">
        <is>
          <t>TSLA US 06/16/23 P166.67</t>
        </is>
      </c>
      <c r="C1703" t="inlineStr">
        <is>
          <t>2023-06-16</t>
        </is>
      </c>
      <c r="D1703" t="n">
        <v>166.67</v>
      </c>
      <c r="E1703" t="inlineStr">
        <is>
          <t>BBG010KVSGW6</t>
        </is>
      </c>
    </row>
    <row r="1704">
      <c r="A1704" t="inlineStr">
        <is>
          <t>BBG01B4PFYR4 Equity</t>
        </is>
      </c>
      <c r="B1704" t="inlineStr">
        <is>
          <t>TSLA US 06/16/23 P170</t>
        </is>
      </c>
      <c r="C1704" t="inlineStr">
        <is>
          <t>2023-06-16</t>
        </is>
      </c>
      <c r="D1704" t="n">
        <v>170</v>
      </c>
      <c r="E1704" t="inlineStr">
        <is>
          <t>BBG01B4PFYR4</t>
        </is>
      </c>
    </row>
    <row r="1705">
      <c r="A1705" t="inlineStr">
        <is>
          <t>BBG017FXKSF4 Equity</t>
        </is>
      </c>
      <c r="B1705" t="inlineStr">
        <is>
          <t>TSLA US 06/16/23 P173.33</t>
        </is>
      </c>
      <c r="C1705" t="inlineStr">
        <is>
          <t>2023-06-16</t>
        </is>
      </c>
      <c r="D1705" t="n">
        <v>173.33</v>
      </c>
      <c r="E1705" t="inlineStr">
        <is>
          <t>BBG017FXKSF4</t>
        </is>
      </c>
    </row>
    <row r="1706">
      <c r="A1706" t="inlineStr">
        <is>
          <t>BBG01B4PFZV6 Equity</t>
        </is>
      </c>
      <c r="B1706" t="inlineStr">
        <is>
          <t>TSLA US 06/16/23 P175</t>
        </is>
      </c>
      <c r="C1706" t="inlineStr">
        <is>
          <t>2023-06-16</t>
        </is>
      </c>
      <c r="D1706" t="n">
        <v>175</v>
      </c>
      <c r="E1706" t="inlineStr">
        <is>
          <t>BBG01B4PFZV6</t>
        </is>
      </c>
    </row>
    <row r="1707">
      <c r="A1707" t="inlineStr">
        <is>
          <t>BBG017FXKTJ8 Equity</t>
        </is>
      </c>
      <c r="B1707" t="inlineStr">
        <is>
          <t>TSLA US 06/16/23 P180</t>
        </is>
      </c>
      <c r="C1707" t="inlineStr">
        <is>
          <t>2023-06-16</t>
        </is>
      </c>
      <c r="D1707" t="n">
        <v>180</v>
      </c>
      <c r="E1707" t="inlineStr">
        <is>
          <t>BBG017FXKTJ8</t>
        </is>
      </c>
    </row>
    <row r="1708">
      <c r="A1708" t="inlineStr">
        <is>
          <t>BBG010KVSHZ1 Equity</t>
        </is>
      </c>
      <c r="B1708" t="inlineStr">
        <is>
          <t>TSLA US 06/16/23 P183.33</t>
        </is>
      </c>
      <c r="C1708" t="inlineStr">
        <is>
          <t>2023-06-16</t>
        </is>
      </c>
      <c r="D1708" t="n">
        <v>183.33</v>
      </c>
      <c r="E1708" t="inlineStr">
        <is>
          <t>BBG010KVSHZ1</t>
        </is>
      </c>
    </row>
    <row r="1709">
      <c r="A1709" t="inlineStr">
        <is>
          <t>BBG01B4PG0Y9 Equity</t>
        </is>
      </c>
      <c r="B1709" t="inlineStr">
        <is>
          <t>TSLA US 06/16/23 P185</t>
        </is>
      </c>
      <c r="C1709" t="inlineStr">
        <is>
          <t>2023-06-16</t>
        </is>
      </c>
      <c r="D1709" t="n">
        <v>185</v>
      </c>
      <c r="E1709" t="inlineStr">
        <is>
          <t>BBG01B4PG0Y9</t>
        </is>
      </c>
    </row>
    <row r="1710">
      <c r="A1710" t="inlineStr">
        <is>
          <t>BBG017FXKVP6 Equity</t>
        </is>
      </c>
      <c r="B1710" t="inlineStr">
        <is>
          <t>TSLA US 06/16/23 P186.67</t>
        </is>
      </c>
      <c r="C1710" t="inlineStr">
        <is>
          <t>2023-06-16</t>
        </is>
      </c>
      <c r="D1710" t="n">
        <v>186.67</v>
      </c>
      <c r="E1710" t="inlineStr">
        <is>
          <t>BBG017FXKVP6</t>
        </is>
      </c>
    </row>
    <row r="1711">
      <c r="A1711" t="inlineStr">
        <is>
          <t>BBG01B4PG220 Equity</t>
        </is>
      </c>
      <c r="B1711" t="inlineStr">
        <is>
          <t>TSLA US 06/16/23 P190</t>
        </is>
      </c>
      <c r="C1711" t="inlineStr">
        <is>
          <t>2023-06-16</t>
        </is>
      </c>
      <c r="D1711" t="n">
        <v>190</v>
      </c>
      <c r="E1711" t="inlineStr">
        <is>
          <t>BBG01B4PG220</t>
        </is>
      </c>
    </row>
    <row r="1712">
      <c r="A1712" t="inlineStr">
        <is>
          <t>BBG011KBMGP2 Equity</t>
        </is>
      </c>
      <c r="B1712" t="inlineStr">
        <is>
          <t>TSLA US 06/16/23 P193.33</t>
        </is>
      </c>
      <c r="C1712" t="inlineStr">
        <is>
          <t>2023-06-16</t>
        </is>
      </c>
      <c r="D1712" t="n">
        <v>193.33</v>
      </c>
      <c r="E1712" t="inlineStr">
        <is>
          <t>BBG011KBMGP2</t>
        </is>
      </c>
    </row>
    <row r="1713">
      <c r="A1713" t="inlineStr">
        <is>
          <t>BBG01B4PG355 Equity</t>
        </is>
      </c>
      <c r="B1713" t="inlineStr">
        <is>
          <t>TSLA US 06/16/23 P195</t>
        </is>
      </c>
      <c r="C1713" t="inlineStr">
        <is>
          <t>2023-06-16</t>
        </is>
      </c>
      <c r="D1713" t="n">
        <v>195</v>
      </c>
      <c r="E1713" t="inlineStr">
        <is>
          <t>BBG01B4PG355</t>
        </is>
      </c>
    </row>
    <row r="1714">
      <c r="A1714" t="inlineStr">
        <is>
          <t>BBG010KVSK39 Equity</t>
        </is>
      </c>
      <c r="B1714" t="inlineStr">
        <is>
          <t>TSLA US 06/16/23 P200</t>
        </is>
      </c>
      <c r="C1714" t="inlineStr">
        <is>
          <t>2023-06-16</t>
        </is>
      </c>
      <c r="D1714" t="n">
        <v>200</v>
      </c>
      <c r="E1714" t="inlineStr">
        <is>
          <t>BBG010KVSK39</t>
        </is>
      </c>
    </row>
    <row r="1715">
      <c r="A1715" t="inlineStr">
        <is>
          <t>BBG01B4PG499 Equity</t>
        </is>
      </c>
      <c r="B1715" t="inlineStr">
        <is>
          <t>TSLA US 06/16/23 P205</t>
        </is>
      </c>
      <c r="C1715" t="inlineStr">
        <is>
          <t>2023-06-16</t>
        </is>
      </c>
      <c r="D1715" t="n">
        <v>205</v>
      </c>
      <c r="E1715" t="inlineStr">
        <is>
          <t>BBG01B4PG499</t>
        </is>
      </c>
    </row>
    <row r="1716">
      <c r="A1716" t="inlineStr">
        <is>
          <t>BBG017FXKWS1 Equity</t>
        </is>
      </c>
      <c r="B1716" t="inlineStr">
        <is>
          <t>TSLA US 06/16/23 P206.67</t>
        </is>
      </c>
      <c r="C1716" t="inlineStr">
        <is>
          <t>2023-06-16</t>
        </is>
      </c>
      <c r="D1716" t="n">
        <v>206.67</v>
      </c>
      <c r="E1716" t="inlineStr">
        <is>
          <t>BBG017FXKWS1</t>
        </is>
      </c>
    </row>
    <row r="1717">
      <c r="A1717" t="inlineStr">
        <is>
          <t>BBG01B4PG5D1 Equity</t>
        </is>
      </c>
      <c r="B1717" t="inlineStr">
        <is>
          <t>TSLA US 06/16/23 P210</t>
        </is>
      </c>
      <c r="C1717" t="inlineStr">
        <is>
          <t>2023-06-16</t>
        </is>
      </c>
      <c r="D1717" t="n">
        <v>210</v>
      </c>
      <c r="E1717" t="inlineStr">
        <is>
          <t>BBG01B4PG5D1</t>
        </is>
      </c>
    </row>
    <row r="1718">
      <c r="A1718" t="inlineStr">
        <is>
          <t>BBG017FXKXW4 Equity</t>
        </is>
      </c>
      <c r="B1718" t="inlineStr">
        <is>
          <t>TSLA US 06/16/23 P213.33</t>
        </is>
      </c>
      <c r="C1718" t="inlineStr">
        <is>
          <t>2023-06-16</t>
        </is>
      </c>
      <c r="D1718" t="n">
        <v>213.33</v>
      </c>
      <c r="E1718" t="inlineStr">
        <is>
          <t>BBG017FXKXW4</t>
        </is>
      </c>
    </row>
    <row r="1719">
      <c r="A1719" t="inlineStr">
        <is>
          <t>BBG01B4PG6H5 Equity</t>
        </is>
      </c>
      <c r="B1719" t="inlineStr">
        <is>
          <t>TSLA US 06/16/23 P215</t>
        </is>
      </c>
      <c r="C1719" t="inlineStr">
        <is>
          <t>2023-06-16</t>
        </is>
      </c>
      <c r="D1719" t="n">
        <v>215</v>
      </c>
      <c r="E1719" t="inlineStr">
        <is>
          <t>BBG01B4PG6H5</t>
        </is>
      </c>
    </row>
    <row r="1720">
      <c r="A1720" t="inlineStr">
        <is>
          <t>BBG010KVSL64 Equity</t>
        </is>
      </c>
      <c r="B1720" t="inlineStr">
        <is>
          <t>TSLA US 06/16/23 P216.67</t>
        </is>
      </c>
      <c r="C1720" t="inlineStr">
        <is>
          <t>2023-06-16</t>
        </is>
      </c>
      <c r="D1720" t="n">
        <v>216.67</v>
      </c>
      <c r="E1720" t="inlineStr">
        <is>
          <t>BBG010KVSL64</t>
        </is>
      </c>
    </row>
    <row r="1721">
      <c r="A1721" t="inlineStr">
        <is>
          <t>BBG017FXKZ13 Equity</t>
        </is>
      </c>
      <c r="B1721" t="inlineStr">
        <is>
          <t>TSLA US 06/16/23 P220</t>
        </is>
      </c>
      <c r="C1721" t="inlineStr">
        <is>
          <t>2023-06-16</t>
        </is>
      </c>
      <c r="D1721" t="n">
        <v>220</v>
      </c>
      <c r="E1721" t="inlineStr">
        <is>
          <t>BBG017FXKZ13</t>
        </is>
      </c>
    </row>
    <row r="1722">
      <c r="A1722" t="inlineStr">
        <is>
          <t>BBG01B4PG7M7 Equity</t>
        </is>
      </c>
      <c r="B1722" t="inlineStr">
        <is>
          <t>TSLA US 06/16/23 P225</t>
        </is>
      </c>
      <c r="C1722" t="inlineStr">
        <is>
          <t>2023-06-16</t>
        </is>
      </c>
      <c r="D1722" t="n">
        <v>225</v>
      </c>
      <c r="E1722" t="inlineStr">
        <is>
          <t>BBG01B4PG7M7</t>
        </is>
      </c>
    </row>
    <row r="1723">
      <c r="A1723" t="inlineStr">
        <is>
          <t>BBG017FXL046 Equity</t>
        </is>
      </c>
      <c r="B1723" t="inlineStr">
        <is>
          <t>TSLA US 06/16/23 P226.67</t>
        </is>
      </c>
      <c r="C1723" t="inlineStr">
        <is>
          <t>2023-06-16</t>
        </is>
      </c>
      <c r="D1723" t="n">
        <v>226.67</v>
      </c>
      <c r="E1723" t="inlineStr">
        <is>
          <t>BBG017FXL046</t>
        </is>
      </c>
    </row>
    <row r="1724">
      <c r="A1724" t="inlineStr">
        <is>
          <t>BBG01B4PG8Q1 Equity</t>
        </is>
      </c>
      <c r="B1724" t="inlineStr">
        <is>
          <t>TSLA US 06/16/23 P230</t>
        </is>
      </c>
      <c r="C1724" t="inlineStr">
        <is>
          <t>2023-06-16</t>
        </is>
      </c>
      <c r="D1724" t="n">
        <v>230</v>
      </c>
      <c r="E1724" t="inlineStr">
        <is>
          <t>BBG01B4PG8Q1</t>
        </is>
      </c>
    </row>
    <row r="1725">
      <c r="A1725" t="inlineStr">
        <is>
          <t>BBG010KVSM99 Equity</t>
        </is>
      </c>
      <c r="B1725" t="inlineStr">
        <is>
          <t>TSLA US 06/16/23 P233.33</t>
        </is>
      </c>
      <c r="C1725" t="inlineStr">
        <is>
          <t>2023-06-16</t>
        </is>
      </c>
      <c r="D1725" t="n">
        <v>233.33</v>
      </c>
      <c r="E1725" t="inlineStr">
        <is>
          <t>BBG010KVSM99</t>
        </is>
      </c>
    </row>
    <row r="1726">
      <c r="A1726" t="inlineStr">
        <is>
          <t>BBG01B4PG9T6 Equity</t>
        </is>
      </c>
      <c r="B1726" t="inlineStr">
        <is>
          <t>TSLA US 06/16/23 P235</t>
        </is>
      </c>
      <c r="C1726" t="inlineStr">
        <is>
          <t>2023-06-16</t>
        </is>
      </c>
      <c r="D1726" t="n">
        <v>235</v>
      </c>
      <c r="E1726" t="inlineStr">
        <is>
          <t>BBG01B4PG9T6</t>
        </is>
      </c>
    </row>
    <row r="1727">
      <c r="A1727" t="inlineStr">
        <is>
          <t>BBG017FXL171 Equity</t>
        </is>
      </c>
      <c r="B1727" t="inlineStr">
        <is>
          <t>TSLA US 06/16/23 P240</t>
        </is>
      </c>
      <c r="C1727" t="inlineStr">
        <is>
          <t>2023-06-16</t>
        </is>
      </c>
      <c r="D1727" t="n">
        <v>240</v>
      </c>
      <c r="E1727" t="inlineStr">
        <is>
          <t>BBG017FXL171</t>
        </is>
      </c>
    </row>
    <row r="1728">
      <c r="A1728" t="inlineStr">
        <is>
          <t>BBG011KBMHV3 Equity</t>
        </is>
      </c>
      <c r="B1728" t="inlineStr">
        <is>
          <t>TSLA US 06/16/23 P243.33</t>
        </is>
      </c>
      <c r="C1728" t="inlineStr">
        <is>
          <t>2023-06-16</t>
        </is>
      </c>
      <c r="D1728" t="n">
        <v>243.33</v>
      </c>
      <c r="E1728" t="inlineStr">
        <is>
          <t>BBG011KBMHV3</t>
        </is>
      </c>
    </row>
    <row r="1729">
      <c r="A1729" t="inlineStr">
        <is>
          <t>BBG01B4PGBY5 Equity</t>
        </is>
      </c>
      <c r="B1729" t="inlineStr">
        <is>
          <t>TSLA US 06/16/23 P245</t>
        </is>
      </c>
      <c r="C1729" t="inlineStr">
        <is>
          <t>2023-06-16</t>
        </is>
      </c>
      <c r="D1729" t="n">
        <v>245</v>
      </c>
      <c r="E1729" t="inlineStr">
        <is>
          <t>BBG01B4PGBY5</t>
        </is>
      </c>
    </row>
    <row r="1730">
      <c r="A1730" t="inlineStr">
        <is>
          <t>BBG017FXL2F0 Equity</t>
        </is>
      </c>
      <c r="B1730" t="inlineStr">
        <is>
          <t>TSLA US 06/16/23 P246.67</t>
        </is>
      </c>
      <c r="C1730" t="inlineStr">
        <is>
          <t>2023-06-16</t>
        </is>
      </c>
      <c r="D1730" t="n">
        <v>246.67</v>
      </c>
      <c r="E1730" t="inlineStr">
        <is>
          <t>BBG017FXL2F0</t>
        </is>
      </c>
    </row>
    <row r="1731">
      <c r="A1731" t="inlineStr">
        <is>
          <t>BBG010KVSNF0 Equity</t>
        </is>
      </c>
      <c r="B1731" t="inlineStr">
        <is>
          <t>TSLA US 06/16/23 P250</t>
        </is>
      </c>
      <c r="C1731" t="inlineStr">
        <is>
          <t>2023-06-16</t>
        </is>
      </c>
      <c r="D1731" t="n">
        <v>250</v>
      </c>
      <c r="E1731" t="inlineStr">
        <is>
          <t>BBG010KVSNF0</t>
        </is>
      </c>
    </row>
    <row r="1732">
      <c r="A1732" t="inlineStr">
        <is>
          <t>BBG01BP8RWT8 Equity</t>
        </is>
      </c>
      <c r="B1732" t="inlineStr">
        <is>
          <t>TSLA US 07/21/23 P160</t>
        </is>
      </c>
      <c r="C1732" t="inlineStr">
        <is>
          <t>2023-07-21</t>
        </is>
      </c>
      <c r="D1732" t="n">
        <v>160</v>
      </c>
      <c r="E1732" t="inlineStr">
        <is>
          <t>BBG01BP8RWT8</t>
        </is>
      </c>
    </row>
    <row r="1733">
      <c r="A1733" t="inlineStr">
        <is>
          <t>BBG01BP8RXX1 Equity</t>
        </is>
      </c>
      <c r="B1733" t="inlineStr">
        <is>
          <t>TSLA US 07/21/23 P165</t>
        </is>
      </c>
      <c r="C1733" t="inlineStr">
        <is>
          <t>2023-07-21</t>
        </is>
      </c>
      <c r="D1733" t="n">
        <v>165</v>
      </c>
      <c r="E1733" t="inlineStr">
        <is>
          <t>BBG01BP8RXX1</t>
        </is>
      </c>
    </row>
    <row r="1734">
      <c r="A1734" t="inlineStr">
        <is>
          <t>BBG01BP8RZ02 Equity</t>
        </is>
      </c>
      <c r="B1734" t="inlineStr">
        <is>
          <t>TSLA US 07/21/23 P170</t>
        </is>
      </c>
      <c r="C1734" t="inlineStr">
        <is>
          <t>2023-07-21</t>
        </is>
      </c>
      <c r="D1734" t="n">
        <v>170</v>
      </c>
      <c r="E1734" t="inlineStr">
        <is>
          <t>BBG01BP8RZ02</t>
        </is>
      </c>
    </row>
    <row r="1735">
      <c r="A1735" t="inlineStr">
        <is>
          <t>BBG01BP8S044 Equity</t>
        </is>
      </c>
      <c r="B1735" t="inlineStr">
        <is>
          <t>TSLA US 07/21/23 P175</t>
        </is>
      </c>
      <c r="C1735" t="inlineStr">
        <is>
          <t>2023-07-21</t>
        </is>
      </c>
      <c r="D1735" t="n">
        <v>175</v>
      </c>
      <c r="E1735" t="inlineStr">
        <is>
          <t>BBG01BP8S044</t>
        </is>
      </c>
    </row>
    <row r="1736">
      <c r="A1736" t="inlineStr">
        <is>
          <t>BBG01BP8S179 Equity</t>
        </is>
      </c>
      <c r="B1736" t="inlineStr">
        <is>
          <t>TSLA US 07/21/23 P180</t>
        </is>
      </c>
      <c r="C1736" t="inlineStr">
        <is>
          <t>2023-07-21</t>
        </is>
      </c>
      <c r="D1736" t="n">
        <v>180</v>
      </c>
      <c r="E1736" t="inlineStr">
        <is>
          <t>BBG01BP8S179</t>
        </is>
      </c>
    </row>
    <row r="1737">
      <c r="A1737" t="inlineStr">
        <is>
          <t>BBG01BP8S2B2 Equity</t>
        </is>
      </c>
      <c r="B1737" t="inlineStr">
        <is>
          <t>TSLA US 07/21/23 P185</t>
        </is>
      </c>
      <c r="C1737" t="inlineStr">
        <is>
          <t>2023-07-21</t>
        </is>
      </c>
      <c r="D1737" t="n">
        <v>185</v>
      </c>
      <c r="E1737" t="inlineStr">
        <is>
          <t>BBG01BP8S2B2</t>
        </is>
      </c>
    </row>
    <row r="1738">
      <c r="A1738" t="inlineStr">
        <is>
          <t>BBG01BP8S3G5 Equity</t>
        </is>
      </c>
      <c r="B1738" t="inlineStr">
        <is>
          <t>TSLA US 07/21/23 P190</t>
        </is>
      </c>
      <c r="C1738" t="inlineStr">
        <is>
          <t>2023-07-21</t>
        </is>
      </c>
      <c r="D1738" t="n">
        <v>190</v>
      </c>
      <c r="E1738" t="inlineStr">
        <is>
          <t>BBG01BP8S3G5</t>
        </is>
      </c>
    </row>
    <row r="1739">
      <c r="A1739" t="inlineStr">
        <is>
          <t>BBG01BP8S4K8 Equity</t>
        </is>
      </c>
      <c r="B1739" t="inlineStr">
        <is>
          <t>TSLA US 07/21/23 P195</t>
        </is>
      </c>
      <c r="C1739" t="inlineStr">
        <is>
          <t>2023-07-21</t>
        </is>
      </c>
      <c r="D1739" t="n">
        <v>195</v>
      </c>
      <c r="E1739" t="inlineStr">
        <is>
          <t>BBG01BP8S4K8</t>
        </is>
      </c>
    </row>
    <row r="1740">
      <c r="A1740" t="inlineStr">
        <is>
          <t>BBG01BP8S5N2 Equity</t>
        </is>
      </c>
      <c r="B1740" t="inlineStr">
        <is>
          <t>TSLA US 07/21/23 P200</t>
        </is>
      </c>
      <c r="C1740" t="inlineStr">
        <is>
          <t>2023-07-21</t>
        </is>
      </c>
      <c r="D1740" t="n">
        <v>200</v>
      </c>
      <c r="E1740" t="inlineStr">
        <is>
          <t>BBG01BP8S5N2</t>
        </is>
      </c>
    </row>
    <row r="1741">
      <c r="A1741" t="inlineStr">
        <is>
          <t>BBG01BP8S6S5 Equity</t>
        </is>
      </c>
      <c r="B1741" t="inlineStr">
        <is>
          <t>TSLA US 07/21/23 P205</t>
        </is>
      </c>
      <c r="C1741" t="inlineStr">
        <is>
          <t>2023-07-21</t>
        </is>
      </c>
      <c r="D1741" t="n">
        <v>205</v>
      </c>
      <c r="E1741" t="inlineStr">
        <is>
          <t>BBG01BP8S6S5</t>
        </is>
      </c>
    </row>
    <row r="1742">
      <c r="A1742" t="inlineStr">
        <is>
          <t>BBG01BP8S7W8 Equity</t>
        </is>
      </c>
      <c r="B1742" t="inlineStr">
        <is>
          <t>TSLA US 07/21/23 P210</t>
        </is>
      </c>
      <c r="C1742" t="inlineStr">
        <is>
          <t>2023-07-21</t>
        </is>
      </c>
      <c r="D1742" t="n">
        <v>210</v>
      </c>
      <c r="E1742" t="inlineStr">
        <is>
          <t>BBG01BP8S7W8</t>
        </is>
      </c>
    </row>
    <row r="1743">
      <c r="A1743" t="inlineStr">
        <is>
          <t>BBG01BP8S8Z3 Equity</t>
        </is>
      </c>
      <c r="B1743" t="inlineStr">
        <is>
          <t>TSLA US 07/21/23 P215</t>
        </is>
      </c>
      <c r="C1743" t="inlineStr">
        <is>
          <t>2023-07-21</t>
        </is>
      </c>
      <c r="D1743" t="n">
        <v>215</v>
      </c>
      <c r="E1743" t="inlineStr">
        <is>
          <t>BBG01BP8S8Z3</t>
        </is>
      </c>
    </row>
    <row r="1744">
      <c r="A1744" t="inlineStr">
        <is>
          <t>BBG01BP8SB31 Equity</t>
        </is>
      </c>
      <c r="B1744" t="inlineStr">
        <is>
          <t>TSLA US 07/21/23 P220</t>
        </is>
      </c>
      <c r="C1744" t="inlineStr">
        <is>
          <t>2023-07-21</t>
        </is>
      </c>
      <c r="D1744" t="n">
        <v>220</v>
      </c>
      <c r="E1744" t="inlineStr">
        <is>
          <t>BBG01BP8SB31</t>
        </is>
      </c>
    </row>
    <row r="1745">
      <c r="A1745" t="inlineStr">
        <is>
          <t>BBG01BP8SC66 Equity</t>
        </is>
      </c>
      <c r="B1745" t="inlineStr">
        <is>
          <t>TSLA US 07/21/23 P225</t>
        </is>
      </c>
      <c r="C1745" t="inlineStr">
        <is>
          <t>2023-07-21</t>
        </is>
      </c>
      <c r="D1745" t="n">
        <v>225</v>
      </c>
      <c r="E1745" t="inlineStr">
        <is>
          <t>BBG01BP8SC66</t>
        </is>
      </c>
    </row>
    <row r="1746">
      <c r="A1746" t="inlineStr">
        <is>
          <t>BBG01BP8SD91 Equity</t>
        </is>
      </c>
      <c r="B1746" t="inlineStr">
        <is>
          <t>TSLA US 07/21/23 P230</t>
        </is>
      </c>
      <c r="C1746" t="inlineStr">
        <is>
          <t>2023-07-21</t>
        </is>
      </c>
      <c r="D1746" t="n">
        <v>230</v>
      </c>
      <c r="E1746" t="inlineStr">
        <is>
          <t>BBG01BP8SD91</t>
        </is>
      </c>
    </row>
    <row r="1747">
      <c r="A1747" t="inlineStr">
        <is>
          <t>BBG01BP8SFF9 Equity</t>
        </is>
      </c>
      <c r="B1747" t="inlineStr">
        <is>
          <t>TSLA US 07/21/23 P235</t>
        </is>
      </c>
      <c r="C1747" t="inlineStr">
        <is>
          <t>2023-07-21</t>
        </is>
      </c>
      <c r="D1747" t="n">
        <v>235</v>
      </c>
      <c r="E1747" t="inlineStr">
        <is>
          <t>BBG01BP8SFF9</t>
        </is>
      </c>
    </row>
    <row r="1748">
      <c r="A1748" t="inlineStr">
        <is>
          <t>BBG01H4564S0 Equity</t>
        </is>
      </c>
      <c r="B1748" t="inlineStr">
        <is>
          <t>TSLA US 07/21/23 P237.5</t>
        </is>
      </c>
      <c r="C1748" t="inlineStr">
        <is>
          <t>2023-07-21</t>
        </is>
      </c>
      <c r="D1748" t="n">
        <v>237.5</v>
      </c>
      <c r="E1748" t="inlineStr">
        <is>
          <t>BBG01H4564S0</t>
        </is>
      </c>
    </row>
    <row r="1749">
      <c r="A1749" t="inlineStr">
        <is>
          <t>BBG01BP8SGJ3 Equity</t>
        </is>
      </c>
      <c r="B1749" t="inlineStr">
        <is>
          <t>TSLA US 07/21/23 P240</t>
        </is>
      </c>
      <c r="C1749" t="inlineStr">
        <is>
          <t>2023-07-21</t>
        </is>
      </c>
      <c r="D1749" t="n">
        <v>240</v>
      </c>
      <c r="E1749" t="inlineStr">
        <is>
          <t>BBG01BP8SGJ3</t>
        </is>
      </c>
    </row>
    <row r="1750">
      <c r="A1750" t="inlineStr">
        <is>
          <t>BBG01H4565X1 Equity</t>
        </is>
      </c>
      <c r="B1750" t="inlineStr">
        <is>
          <t>TSLA US 07/21/23 P242.5</t>
        </is>
      </c>
      <c r="C1750" t="inlineStr">
        <is>
          <t>2023-07-21</t>
        </is>
      </c>
      <c r="D1750" t="n">
        <v>242.5</v>
      </c>
      <c r="E1750" t="inlineStr">
        <is>
          <t>BBG01H4565X1</t>
        </is>
      </c>
    </row>
    <row r="1751">
      <c r="A1751" t="inlineStr">
        <is>
          <t>BBG01BP8SHM7 Equity</t>
        </is>
      </c>
      <c r="B1751" t="inlineStr">
        <is>
          <t>TSLA US 07/21/23 P245</t>
        </is>
      </c>
      <c r="C1751" t="inlineStr">
        <is>
          <t>2023-07-21</t>
        </is>
      </c>
      <c r="D1751" t="n">
        <v>245</v>
      </c>
      <c r="E1751" t="inlineStr">
        <is>
          <t>BBG01BP8SHM7</t>
        </is>
      </c>
    </row>
    <row r="1752">
      <c r="A1752" t="inlineStr">
        <is>
          <t>BBG01H456703 Equity</t>
        </is>
      </c>
      <c r="B1752" t="inlineStr">
        <is>
          <t>TSLA US 07/21/23 P247.5</t>
        </is>
      </c>
      <c r="C1752" t="inlineStr">
        <is>
          <t>2023-07-21</t>
        </is>
      </c>
      <c r="D1752" t="n">
        <v>247.5</v>
      </c>
      <c r="E1752" t="inlineStr">
        <is>
          <t>BBG01H456703</t>
        </is>
      </c>
    </row>
    <row r="1753">
      <c r="A1753" t="inlineStr">
        <is>
          <t>BBG01BP8SJR8 Equity</t>
        </is>
      </c>
      <c r="B1753" t="inlineStr">
        <is>
          <t>TSLA US 07/21/23 P250</t>
        </is>
      </c>
      <c r="C1753" t="inlineStr">
        <is>
          <t>2023-07-21</t>
        </is>
      </c>
      <c r="D1753" t="n">
        <v>250</v>
      </c>
      <c r="E1753" t="inlineStr">
        <is>
          <t>BBG01BP8SJR8</t>
        </is>
      </c>
    </row>
    <row r="1754">
      <c r="A1754" t="inlineStr">
        <is>
          <t>BBG01H456847 Equity</t>
        </is>
      </c>
      <c r="B1754" t="inlineStr">
        <is>
          <t>TSLA US 07/21/23 P252.5</t>
        </is>
      </c>
      <c r="C1754" t="inlineStr">
        <is>
          <t>2023-07-21</t>
        </is>
      </c>
      <c r="D1754" t="n">
        <v>252.5</v>
      </c>
      <c r="E1754" t="inlineStr">
        <is>
          <t>BBG01H456847</t>
        </is>
      </c>
    </row>
    <row r="1755">
      <c r="A1755" t="inlineStr">
        <is>
          <t>BBG01BP8SKV0 Equity</t>
        </is>
      </c>
      <c r="B1755" t="inlineStr">
        <is>
          <t>TSLA US 07/21/23 P255</t>
        </is>
      </c>
      <c r="C1755" t="inlineStr">
        <is>
          <t>2023-07-21</t>
        </is>
      </c>
      <c r="D1755" t="n">
        <v>255</v>
      </c>
      <c r="E1755" t="inlineStr">
        <is>
          <t>BBG01BP8SKV0</t>
        </is>
      </c>
    </row>
    <row r="1756">
      <c r="A1756" t="inlineStr">
        <is>
          <t>BBG01H456972 Equity</t>
        </is>
      </c>
      <c r="B1756" t="inlineStr">
        <is>
          <t>TSLA US 07/21/23 P257.5</t>
        </is>
      </c>
      <c r="C1756" t="inlineStr">
        <is>
          <t>2023-07-21</t>
        </is>
      </c>
      <c r="D1756" t="n">
        <v>257.5</v>
      </c>
      <c r="E1756" t="inlineStr">
        <is>
          <t>BBG01H456972</t>
        </is>
      </c>
    </row>
    <row r="1757">
      <c r="A1757" t="inlineStr">
        <is>
          <t>BBG01BP8SLY5 Equity</t>
        </is>
      </c>
      <c r="B1757" t="inlineStr">
        <is>
          <t>TSLA US 07/21/23 P260</t>
        </is>
      </c>
      <c r="C1757" t="inlineStr">
        <is>
          <t>2023-07-21</t>
        </is>
      </c>
      <c r="D1757" t="n">
        <v>260</v>
      </c>
      <c r="E1757" t="inlineStr">
        <is>
          <t>BBG01BP8SLY5</t>
        </is>
      </c>
    </row>
    <row r="1758">
      <c r="A1758" t="inlineStr">
        <is>
          <t>BBG01H456BB2 Equity</t>
        </is>
      </c>
      <c r="B1758" t="inlineStr">
        <is>
          <t>TSLA US 07/21/23 P262.5</t>
        </is>
      </c>
      <c r="C1758" t="inlineStr">
        <is>
          <t>2023-07-21</t>
        </is>
      </c>
      <c r="D1758" t="n">
        <v>262.5</v>
      </c>
      <c r="E1758" t="inlineStr">
        <is>
          <t>BBG01H456BB2</t>
        </is>
      </c>
    </row>
    <row r="1759">
      <c r="A1759" t="inlineStr">
        <is>
          <t>BBG01BP8SN26 Equity</t>
        </is>
      </c>
      <c r="B1759" t="inlineStr">
        <is>
          <t>TSLA US 07/21/23 P265</t>
        </is>
      </c>
      <c r="C1759" t="inlineStr">
        <is>
          <t>2023-07-21</t>
        </is>
      </c>
      <c r="D1759" t="n">
        <v>265</v>
      </c>
      <c r="E1759" t="inlineStr">
        <is>
          <t>BBG01BP8SN26</t>
        </is>
      </c>
    </row>
    <row r="1760">
      <c r="A1760" t="inlineStr">
        <is>
          <t>BBG01H456CG5 Equity</t>
        </is>
      </c>
      <c r="B1760" t="inlineStr">
        <is>
          <t>TSLA US 07/21/23 P267.5</t>
        </is>
      </c>
      <c r="C1760" t="inlineStr">
        <is>
          <t>2023-07-21</t>
        </is>
      </c>
      <c r="D1760" t="n">
        <v>267.5</v>
      </c>
      <c r="E1760" t="inlineStr">
        <is>
          <t>BBG01H456CG5</t>
        </is>
      </c>
    </row>
    <row r="1761">
      <c r="A1761" t="inlineStr">
        <is>
          <t>BBG01BP8SP58 Equity</t>
        </is>
      </c>
      <c r="B1761" t="inlineStr">
        <is>
          <t>TSLA US 07/21/23 P270</t>
        </is>
      </c>
      <c r="C1761" t="inlineStr">
        <is>
          <t>2023-07-21</t>
        </is>
      </c>
      <c r="D1761" t="n">
        <v>270</v>
      </c>
      <c r="E1761" t="inlineStr">
        <is>
          <t>BBG01BP8SP58</t>
        </is>
      </c>
    </row>
    <row r="1762">
      <c r="A1762" t="inlineStr">
        <is>
          <t>BBG01H456DK8 Equity</t>
        </is>
      </c>
      <c r="B1762" t="inlineStr">
        <is>
          <t>TSLA US 07/21/23 P272.5</t>
        </is>
      </c>
      <c r="C1762" t="inlineStr">
        <is>
          <t>2023-07-21</t>
        </is>
      </c>
      <c r="D1762" t="n">
        <v>272.5</v>
      </c>
      <c r="E1762" t="inlineStr">
        <is>
          <t>BBG01H456DK8</t>
        </is>
      </c>
    </row>
    <row r="1763">
      <c r="A1763" t="inlineStr">
        <is>
          <t>BBG01BP8SQ83 Equity</t>
        </is>
      </c>
      <c r="B1763" t="inlineStr">
        <is>
          <t>TSLA US 07/21/23 P275</t>
        </is>
      </c>
      <c r="C1763" t="inlineStr">
        <is>
          <t>2023-07-21</t>
        </is>
      </c>
      <c r="D1763" t="n">
        <v>275</v>
      </c>
      <c r="E1763" t="inlineStr">
        <is>
          <t>BBG01BP8SQ83</t>
        </is>
      </c>
    </row>
    <row r="1764">
      <c r="A1764" t="inlineStr">
        <is>
          <t>BBG01H456FN0 Equity</t>
        </is>
      </c>
      <c r="B1764" t="inlineStr">
        <is>
          <t>TSLA US 07/21/23 P277.5</t>
        </is>
      </c>
      <c r="C1764" t="inlineStr">
        <is>
          <t>2023-07-21</t>
        </is>
      </c>
      <c r="D1764" t="n">
        <v>277.5</v>
      </c>
      <c r="E1764" t="inlineStr">
        <is>
          <t>BBG01H456FN0</t>
        </is>
      </c>
    </row>
    <row r="1765">
      <c r="A1765" t="inlineStr">
        <is>
          <t>BBG01BP8SRD5 Equity</t>
        </is>
      </c>
      <c r="B1765" t="inlineStr">
        <is>
          <t>TSLA US 07/21/23 P280</t>
        </is>
      </c>
      <c r="C1765" t="inlineStr">
        <is>
          <t>2023-07-21</t>
        </is>
      </c>
      <c r="D1765" t="n">
        <v>280</v>
      </c>
      <c r="E1765" t="inlineStr">
        <is>
          <t>BBG01BP8SRD5</t>
        </is>
      </c>
    </row>
    <row r="1766">
      <c r="A1766" t="inlineStr">
        <is>
          <t>BBG01H456GS3 Equity</t>
        </is>
      </c>
      <c r="B1766" t="inlineStr">
        <is>
          <t>TSLA US 07/21/23 P282.5</t>
        </is>
      </c>
      <c r="C1766" t="inlineStr">
        <is>
          <t>2023-07-21</t>
        </is>
      </c>
      <c r="D1766" t="n">
        <v>282.5</v>
      </c>
      <c r="E1766" t="inlineStr">
        <is>
          <t>BBG01H456GS3</t>
        </is>
      </c>
    </row>
    <row r="1767">
      <c r="A1767" t="inlineStr">
        <is>
          <t>BBG01BP8SSH9 Equity</t>
        </is>
      </c>
      <c r="B1767" t="inlineStr">
        <is>
          <t>TSLA US 07/21/23 P285</t>
        </is>
      </c>
      <c r="C1767" t="inlineStr">
        <is>
          <t>2023-07-21</t>
        </is>
      </c>
      <c r="D1767" t="n">
        <v>285</v>
      </c>
      <c r="E1767" t="inlineStr">
        <is>
          <t>BBG01BP8SSH9</t>
        </is>
      </c>
    </row>
    <row r="1768">
      <c r="A1768" t="inlineStr">
        <is>
          <t>BBG01H456HW6 Equity</t>
        </is>
      </c>
      <c r="B1768" t="inlineStr">
        <is>
          <t>TSLA US 07/21/23 P287.5</t>
        </is>
      </c>
      <c r="C1768" t="inlineStr">
        <is>
          <t>2023-07-21</t>
        </is>
      </c>
      <c r="D1768" t="n">
        <v>287.5</v>
      </c>
      <c r="E1768" t="inlineStr">
        <is>
          <t>BBG01H456HW6</t>
        </is>
      </c>
    </row>
    <row r="1769">
      <c r="A1769" t="inlineStr">
        <is>
          <t>BBG01BP8STL2 Equity</t>
        </is>
      </c>
      <c r="B1769" t="inlineStr">
        <is>
          <t>TSLA US 07/21/23 P290</t>
        </is>
      </c>
      <c r="C1769" t="inlineStr">
        <is>
          <t>2023-07-21</t>
        </is>
      </c>
      <c r="D1769" t="n">
        <v>290</v>
      </c>
      <c r="E1769" t="inlineStr">
        <is>
          <t>BBG01BP8STL2</t>
        </is>
      </c>
    </row>
    <row r="1770">
      <c r="A1770" t="inlineStr">
        <is>
          <t>BBG01H456JZ9 Equity</t>
        </is>
      </c>
      <c r="B1770" t="inlineStr">
        <is>
          <t>TSLA US 07/21/23 P292.5</t>
        </is>
      </c>
      <c r="C1770" t="inlineStr">
        <is>
          <t>2023-07-21</t>
        </is>
      </c>
      <c r="D1770" t="n">
        <v>292.5</v>
      </c>
      <c r="E1770" t="inlineStr">
        <is>
          <t>BBG01H456JZ9</t>
        </is>
      </c>
    </row>
    <row r="1771">
      <c r="A1771" t="inlineStr">
        <is>
          <t>BBG01BP8SVQ2 Equity</t>
        </is>
      </c>
      <c r="B1771" t="inlineStr">
        <is>
          <t>TSLA US 07/21/23 P295</t>
        </is>
      </c>
      <c r="C1771" t="inlineStr">
        <is>
          <t>2023-07-21</t>
        </is>
      </c>
      <c r="D1771" t="n">
        <v>295</v>
      </c>
      <c r="E1771" t="inlineStr">
        <is>
          <t>BBG01BP8SVQ2</t>
        </is>
      </c>
    </row>
    <row r="1772">
      <c r="A1772" t="inlineStr">
        <is>
          <t>BBG01BP8SWT7 Equity</t>
        </is>
      </c>
      <c r="B1772" t="inlineStr">
        <is>
          <t>TSLA US 07/21/23 P300</t>
        </is>
      </c>
      <c r="C1772" t="inlineStr">
        <is>
          <t>2023-07-21</t>
        </is>
      </c>
      <c r="D1772" t="n">
        <v>300</v>
      </c>
      <c r="E1772" t="inlineStr">
        <is>
          <t>BBG01BP8SWT7</t>
        </is>
      </c>
    </row>
    <row r="1773">
      <c r="A1773" t="inlineStr">
        <is>
          <t>BBG01BP8SXX0 Equity</t>
        </is>
      </c>
      <c r="B1773" t="inlineStr">
        <is>
          <t>TSLA US 07/21/23 P305</t>
        </is>
      </c>
      <c r="C1773" t="inlineStr">
        <is>
          <t>2023-07-21</t>
        </is>
      </c>
      <c r="D1773" t="n">
        <v>305</v>
      </c>
      <c r="E1773" t="inlineStr">
        <is>
          <t>BBG01BP8SXX0</t>
        </is>
      </c>
    </row>
    <row r="1774">
      <c r="A1774" t="inlineStr">
        <is>
          <t>BBG01BP8SZ10 Equity</t>
        </is>
      </c>
      <c r="B1774" t="inlineStr">
        <is>
          <t>TSLA US 07/21/23 P310</t>
        </is>
      </c>
      <c r="C1774" t="inlineStr">
        <is>
          <t>2023-07-21</t>
        </is>
      </c>
      <c r="D1774" t="n">
        <v>310</v>
      </c>
      <c r="E1774" t="inlineStr">
        <is>
          <t>BBG01BP8SZ10</t>
        </is>
      </c>
    </row>
    <row r="1775">
      <c r="A1775" t="inlineStr">
        <is>
          <t>BBG01BP8T043 Equity</t>
        </is>
      </c>
      <c r="B1775" t="inlineStr">
        <is>
          <t>TSLA US 07/21/23 P315</t>
        </is>
      </c>
      <c r="C1775" t="inlineStr">
        <is>
          <t>2023-07-21</t>
        </is>
      </c>
      <c r="D1775" t="n">
        <v>315</v>
      </c>
      <c r="E1775" t="inlineStr">
        <is>
          <t>BBG01BP8T043</t>
        </is>
      </c>
    </row>
    <row r="1776">
      <c r="A1776" t="inlineStr">
        <is>
          <t>BBG01BP8T178 Equity</t>
        </is>
      </c>
      <c r="B1776" t="inlineStr">
        <is>
          <t>TSLA US 07/21/23 P320</t>
        </is>
      </c>
      <c r="C1776" t="inlineStr">
        <is>
          <t>2023-07-21</t>
        </is>
      </c>
      <c r="D1776" t="n">
        <v>320</v>
      </c>
      <c r="E1776" t="inlineStr">
        <is>
          <t>BBG01BP8T178</t>
        </is>
      </c>
    </row>
    <row r="1777">
      <c r="A1777" t="inlineStr">
        <is>
          <t>BBG01BP8T2C0 Equity</t>
        </is>
      </c>
      <c r="B1777" t="inlineStr">
        <is>
          <t>TSLA US 07/21/23 P325</t>
        </is>
      </c>
      <c r="C1777" t="inlineStr">
        <is>
          <t>2023-07-21</t>
        </is>
      </c>
      <c r="D1777" t="n">
        <v>325</v>
      </c>
      <c r="E1777" t="inlineStr">
        <is>
          <t>BBG01BP8T2C0</t>
        </is>
      </c>
    </row>
    <row r="1778">
      <c r="A1778" t="inlineStr">
        <is>
          <t>BBG01BP8T3G4 Equity</t>
        </is>
      </c>
      <c r="B1778" t="inlineStr">
        <is>
          <t>TSLA US 07/21/23 P330</t>
        </is>
      </c>
      <c r="C1778" t="inlineStr">
        <is>
          <t>2023-07-21</t>
        </is>
      </c>
      <c r="D1778" t="n">
        <v>330</v>
      </c>
      <c r="E1778" t="inlineStr">
        <is>
          <t>BBG01BP8T3G4</t>
        </is>
      </c>
    </row>
    <row r="1779">
      <c r="A1779" t="inlineStr">
        <is>
          <t>BBG01BP8T4L6 Equity</t>
        </is>
      </c>
      <c r="B1779" t="inlineStr">
        <is>
          <t>TSLA US 07/21/23 P335</t>
        </is>
      </c>
      <c r="C1779" t="inlineStr">
        <is>
          <t>2023-07-21</t>
        </is>
      </c>
      <c r="D1779" t="n">
        <v>335</v>
      </c>
      <c r="E1779" t="inlineStr">
        <is>
          <t>BBG01BP8T4L6</t>
        </is>
      </c>
    </row>
    <row r="1780">
      <c r="A1780" t="inlineStr">
        <is>
          <t>BBG01BP8T5P9 Equity</t>
        </is>
      </c>
      <c r="B1780" t="inlineStr">
        <is>
          <t>TSLA US 07/21/23 P340</t>
        </is>
      </c>
      <c r="C1780" t="inlineStr">
        <is>
          <t>2023-07-21</t>
        </is>
      </c>
      <c r="D1780" t="n">
        <v>340</v>
      </c>
      <c r="E1780" t="inlineStr">
        <is>
          <t>BBG01BP8T5P9</t>
        </is>
      </c>
    </row>
    <row r="1781">
      <c r="A1781" t="inlineStr">
        <is>
          <t>BBG01BPSTXL8 Equity</t>
        </is>
      </c>
      <c r="B1781" t="inlineStr">
        <is>
          <t>TSLA US 07/21/23 P345</t>
        </is>
      </c>
      <c r="C1781" t="inlineStr">
        <is>
          <t>2023-07-21</t>
        </is>
      </c>
      <c r="D1781" t="n">
        <v>345</v>
      </c>
      <c r="E1781" t="inlineStr">
        <is>
          <t>BBG01BPSTXL8</t>
        </is>
      </c>
    </row>
    <row r="1782">
      <c r="A1782" t="inlineStr">
        <is>
          <t>BBG01BPSTYP2 Equity</t>
        </is>
      </c>
      <c r="B1782" t="inlineStr">
        <is>
          <t>TSLA US 07/21/23 P350</t>
        </is>
      </c>
      <c r="C1782" t="inlineStr">
        <is>
          <t>2023-07-21</t>
        </is>
      </c>
      <c r="D1782" t="n">
        <v>350</v>
      </c>
      <c r="E1782" t="inlineStr">
        <is>
          <t>BBG01BPSTYP2</t>
        </is>
      </c>
    </row>
    <row r="1783">
      <c r="A1783" t="inlineStr">
        <is>
          <t>BBG01BPSTZS6 Equity</t>
        </is>
      </c>
      <c r="B1783" t="inlineStr">
        <is>
          <t>TSLA US 07/21/23 P355</t>
        </is>
      </c>
      <c r="C1783" t="inlineStr">
        <is>
          <t>2023-07-21</t>
        </is>
      </c>
      <c r="D1783" t="n">
        <v>355</v>
      </c>
      <c r="E1783" t="inlineStr">
        <is>
          <t>BBG01BPSTZS6</t>
        </is>
      </c>
    </row>
    <row r="1784">
      <c r="A1784" t="inlineStr">
        <is>
          <t>BBG01BPSV0X4 Equity</t>
        </is>
      </c>
      <c r="B1784" t="inlineStr">
        <is>
          <t>TSLA US 07/21/23 P360</t>
        </is>
      </c>
      <c r="C1784" t="inlineStr">
        <is>
          <t>2023-07-21</t>
        </is>
      </c>
      <c r="D1784" t="n">
        <v>360</v>
      </c>
      <c r="E1784" t="inlineStr">
        <is>
          <t>BBG01BPSV0X4</t>
        </is>
      </c>
    </row>
    <row r="1785">
      <c r="A1785" t="inlineStr">
        <is>
          <t>BBG01FQ9HJD3 Equity</t>
        </is>
      </c>
      <c r="B1785" t="inlineStr">
        <is>
          <t>TSLA US 08/18/23 P160</t>
        </is>
      </c>
      <c r="C1785" t="inlineStr">
        <is>
          <t>2023-08-18</t>
        </is>
      </c>
      <c r="D1785" t="n">
        <v>160</v>
      </c>
      <c r="E1785" t="inlineStr">
        <is>
          <t>BBG01FQ9HJD3</t>
        </is>
      </c>
    </row>
    <row r="1786">
      <c r="A1786" t="inlineStr">
        <is>
          <t>BBG01FQ9HKH6 Equity</t>
        </is>
      </c>
      <c r="B1786" t="inlineStr">
        <is>
          <t>TSLA US 08/18/23 P165</t>
        </is>
      </c>
      <c r="C1786" t="inlineStr">
        <is>
          <t>2023-08-18</t>
        </is>
      </c>
      <c r="D1786" t="n">
        <v>165</v>
      </c>
      <c r="E1786" t="inlineStr">
        <is>
          <t>BBG01FQ9HKH6</t>
        </is>
      </c>
    </row>
    <row r="1787">
      <c r="A1787" t="inlineStr">
        <is>
          <t>BBG01FQ9HLL9 Equity</t>
        </is>
      </c>
      <c r="B1787" t="inlineStr">
        <is>
          <t>TSLA US 08/18/23 P170</t>
        </is>
      </c>
      <c r="C1787" t="inlineStr">
        <is>
          <t>2023-08-18</t>
        </is>
      </c>
      <c r="D1787" t="n">
        <v>170</v>
      </c>
      <c r="E1787" t="inlineStr">
        <is>
          <t>BBG01FQ9HLL9</t>
        </is>
      </c>
    </row>
    <row r="1788">
      <c r="A1788" t="inlineStr">
        <is>
          <t>BBG01FQ9HMQ2 Equity</t>
        </is>
      </c>
      <c r="B1788" t="inlineStr">
        <is>
          <t>TSLA US 08/18/23 P175</t>
        </is>
      </c>
      <c r="C1788" t="inlineStr">
        <is>
          <t>2023-08-18</t>
        </is>
      </c>
      <c r="D1788" t="n">
        <v>175</v>
      </c>
      <c r="E1788" t="inlineStr">
        <is>
          <t>BBG01FQ9HMQ2</t>
        </is>
      </c>
    </row>
    <row r="1789">
      <c r="A1789" t="inlineStr">
        <is>
          <t>BBG01FQ9HNT7 Equity</t>
        </is>
      </c>
      <c r="B1789" t="inlineStr">
        <is>
          <t>TSLA US 08/18/23 P180</t>
        </is>
      </c>
      <c r="C1789" t="inlineStr">
        <is>
          <t>2023-08-18</t>
        </is>
      </c>
      <c r="D1789" t="n">
        <v>180</v>
      </c>
      <c r="E1789" t="inlineStr">
        <is>
          <t>BBG01FQ9HNT7</t>
        </is>
      </c>
    </row>
    <row r="1790">
      <c r="A1790" t="inlineStr">
        <is>
          <t>BBG01FQ9HPX7 Equity</t>
        </is>
      </c>
      <c r="B1790" t="inlineStr">
        <is>
          <t>TSLA US 08/18/23 P185</t>
        </is>
      </c>
      <c r="C1790" t="inlineStr">
        <is>
          <t>2023-08-18</t>
        </is>
      </c>
      <c r="D1790" t="n">
        <v>185</v>
      </c>
      <c r="E1790" t="inlineStr">
        <is>
          <t>BBG01FQ9HPX7</t>
        </is>
      </c>
    </row>
    <row r="1791">
      <c r="A1791" t="inlineStr">
        <is>
          <t>BBG01FQ9HR18 Equity</t>
        </is>
      </c>
      <c r="B1791" t="inlineStr">
        <is>
          <t>TSLA US 08/18/23 P190</t>
        </is>
      </c>
      <c r="C1791" t="inlineStr">
        <is>
          <t>2023-08-18</t>
        </is>
      </c>
      <c r="D1791" t="n">
        <v>190</v>
      </c>
      <c r="E1791" t="inlineStr">
        <is>
          <t>BBG01FQ9HR18</t>
        </is>
      </c>
    </row>
    <row r="1792">
      <c r="A1792" t="inlineStr">
        <is>
          <t>BBG01FQ9HS43 Equity</t>
        </is>
      </c>
      <c r="B1792" t="inlineStr">
        <is>
          <t>TSLA US 08/18/23 P195</t>
        </is>
      </c>
      <c r="C1792" t="inlineStr">
        <is>
          <t>2023-08-18</t>
        </is>
      </c>
      <c r="D1792" t="n">
        <v>195</v>
      </c>
      <c r="E1792" t="inlineStr">
        <is>
          <t>BBG01FQ9HS43</t>
        </is>
      </c>
    </row>
    <row r="1793">
      <c r="A1793" t="inlineStr">
        <is>
          <t>BBG01FQ9HT78 Equity</t>
        </is>
      </c>
      <c r="B1793" t="inlineStr">
        <is>
          <t>TSLA US 08/18/23 P200</t>
        </is>
      </c>
      <c r="C1793" t="inlineStr">
        <is>
          <t>2023-08-18</t>
        </is>
      </c>
      <c r="D1793" t="n">
        <v>200</v>
      </c>
      <c r="E1793" t="inlineStr">
        <is>
          <t>BBG01FQ9HT78</t>
        </is>
      </c>
    </row>
    <row r="1794">
      <c r="A1794" t="inlineStr">
        <is>
          <t>BBG01FQ9HVF4 Equity</t>
        </is>
      </c>
      <c r="B1794" t="inlineStr">
        <is>
          <t>TSLA US 08/18/23 P205</t>
        </is>
      </c>
      <c r="C1794" t="inlineStr">
        <is>
          <t>2023-08-18</t>
        </is>
      </c>
      <c r="D1794" t="n">
        <v>205</v>
      </c>
      <c r="E1794" t="inlineStr">
        <is>
          <t>BBG01FQ9HVF4</t>
        </is>
      </c>
    </row>
    <row r="1795">
      <c r="A1795" t="inlineStr">
        <is>
          <t>BBG01FQ9HWJ8 Equity</t>
        </is>
      </c>
      <c r="B1795" t="inlineStr">
        <is>
          <t>TSLA US 08/18/23 P210</t>
        </is>
      </c>
      <c r="C1795" t="inlineStr">
        <is>
          <t>2023-08-18</t>
        </is>
      </c>
      <c r="D1795" t="n">
        <v>210</v>
      </c>
      <c r="E1795" t="inlineStr">
        <is>
          <t>BBG01FQ9HWJ8</t>
        </is>
      </c>
    </row>
    <row r="1796">
      <c r="A1796" t="inlineStr">
        <is>
          <t>BBG01FQ9HXM2 Equity</t>
        </is>
      </c>
      <c r="B1796" t="inlineStr">
        <is>
          <t>TSLA US 08/18/23 P215</t>
        </is>
      </c>
      <c r="C1796" t="inlineStr">
        <is>
          <t>2023-08-18</t>
        </is>
      </c>
      <c r="D1796" t="n">
        <v>215</v>
      </c>
      <c r="E1796" t="inlineStr">
        <is>
          <t>BBG01FQ9HXM2</t>
        </is>
      </c>
    </row>
    <row r="1797">
      <c r="A1797" t="inlineStr">
        <is>
          <t>BBG01FQ9HYR5 Equity</t>
        </is>
      </c>
      <c r="B1797" t="inlineStr">
        <is>
          <t>TSLA US 08/18/23 P220</t>
        </is>
      </c>
      <c r="C1797" t="inlineStr">
        <is>
          <t>2023-08-18</t>
        </is>
      </c>
      <c r="D1797" t="n">
        <v>220</v>
      </c>
      <c r="E1797" t="inlineStr">
        <is>
          <t>BBG01FQ9HYR5</t>
        </is>
      </c>
    </row>
    <row r="1798">
      <c r="A1798" t="inlineStr">
        <is>
          <t>BBG01FQ9HZV7 Equity</t>
        </is>
      </c>
      <c r="B1798" t="inlineStr">
        <is>
          <t>TSLA US 08/18/23 P225</t>
        </is>
      </c>
      <c r="C1798" t="inlineStr">
        <is>
          <t>2023-08-18</t>
        </is>
      </c>
      <c r="D1798" t="n">
        <v>225</v>
      </c>
      <c r="E1798" t="inlineStr">
        <is>
          <t>BBG01FQ9HZV7</t>
        </is>
      </c>
    </row>
    <row r="1799">
      <c r="A1799" t="inlineStr">
        <is>
          <t>BBG01FQ9J0Y9 Equity</t>
        </is>
      </c>
      <c r="B1799" t="inlineStr">
        <is>
          <t>TSLA US 08/18/23 P230</t>
        </is>
      </c>
      <c r="C1799" t="inlineStr">
        <is>
          <t>2023-08-18</t>
        </is>
      </c>
      <c r="D1799" t="n">
        <v>230</v>
      </c>
      <c r="E1799" t="inlineStr">
        <is>
          <t>BBG01FQ9J0Y9</t>
        </is>
      </c>
    </row>
    <row r="1800">
      <c r="A1800" t="inlineStr">
        <is>
          <t>BBG01FQ9J220 Equity</t>
        </is>
      </c>
      <c r="B1800" t="inlineStr">
        <is>
          <t>TSLA US 08/18/23 P235</t>
        </is>
      </c>
      <c r="C1800" t="inlineStr">
        <is>
          <t>2023-08-18</t>
        </is>
      </c>
      <c r="D1800" t="n">
        <v>235</v>
      </c>
      <c r="E1800" t="inlineStr">
        <is>
          <t>BBG01FQ9J220</t>
        </is>
      </c>
    </row>
    <row r="1801">
      <c r="A1801" t="inlineStr">
        <is>
          <t>BBG01FQ9J355 Equity</t>
        </is>
      </c>
      <c r="B1801" t="inlineStr">
        <is>
          <t>TSLA US 08/18/23 P240</t>
        </is>
      </c>
      <c r="C1801" t="inlineStr">
        <is>
          <t>2023-08-18</t>
        </is>
      </c>
      <c r="D1801" t="n">
        <v>240</v>
      </c>
      <c r="E1801" t="inlineStr">
        <is>
          <t>BBG01FQ9J355</t>
        </is>
      </c>
    </row>
    <row r="1802">
      <c r="A1802" t="inlineStr">
        <is>
          <t>BBG01FQ9J480 Equity</t>
        </is>
      </c>
      <c r="B1802" t="inlineStr">
        <is>
          <t>TSLA US 08/18/23 P245</t>
        </is>
      </c>
      <c r="C1802" t="inlineStr">
        <is>
          <t>2023-08-18</t>
        </is>
      </c>
      <c r="D1802" t="n">
        <v>245</v>
      </c>
      <c r="E1802" t="inlineStr">
        <is>
          <t>BBG01FQ9J480</t>
        </is>
      </c>
    </row>
    <row r="1803">
      <c r="A1803" t="inlineStr">
        <is>
          <t>BBG01FQ9J5D1 Equity</t>
        </is>
      </c>
      <c r="B1803" t="inlineStr">
        <is>
          <t>TSLA US 08/18/23 P250</t>
        </is>
      </c>
      <c r="C1803" t="inlineStr">
        <is>
          <t>2023-08-18</t>
        </is>
      </c>
      <c r="D1803" t="n">
        <v>250</v>
      </c>
      <c r="E1803" t="inlineStr">
        <is>
          <t>BBG01FQ9J5D1</t>
        </is>
      </c>
    </row>
    <row r="1804">
      <c r="A1804" t="inlineStr">
        <is>
          <t>BBG01FQ9J6H5 Equity</t>
        </is>
      </c>
      <c r="B1804" t="inlineStr">
        <is>
          <t>TSLA US 08/18/23 P255</t>
        </is>
      </c>
      <c r="C1804" t="inlineStr">
        <is>
          <t>2023-08-18</t>
        </is>
      </c>
      <c r="D1804" t="n">
        <v>255</v>
      </c>
      <c r="E1804" t="inlineStr">
        <is>
          <t>BBG01FQ9J6H5</t>
        </is>
      </c>
    </row>
    <row r="1805">
      <c r="A1805" t="inlineStr">
        <is>
          <t>BBG01FQ9J7M7 Equity</t>
        </is>
      </c>
      <c r="B1805" t="inlineStr">
        <is>
          <t>TSLA US 08/18/23 P260</t>
        </is>
      </c>
      <c r="C1805" t="inlineStr">
        <is>
          <t>2023-08-18</t>
        </is>
      </c>
      <c r="D1805" t="n">
        <v>260</v>
      </c>
      <c r="E1805" t="inlineStr">
        <is>
          <t>BBG01FQ9J7M7</t>
        </is>
      </c>
    </row>
    <row r="1806">
      <c r="A1806" t="inlineStr">
        <is>
          <t>BBG01FQ9J8Q1 Equity</t>
        </is>
      </c>
      <c r="B1806" t="inlineStr">
        <is>
          <t>TSLA US 08/18/23 P265</t>
        </is>
      </c>
      <c r="C1806" t="inlineStr">
        <is>
          <t>2023-08-18</t>
        </is>
      </c>
      <c r="D1806" t="n">
        <v>265</v>
      </c>
      <c r="E1806" t="inlineStr">
        <is>
          <t>BBG01FQ9J8Q1</t>
        </is>
      </c>
    </row>
    <row r="1807">
      <c r="A1807" t="inlineStr">
        <is>
          <t>BBG01FQ9J9T6 Equity</t>
        </is>
      </c>
      <c r="B1807" t="inlineStr">
        <is>
          <t>TSLA US 08/18/23 P270</t>
        </is>
      </c>
      <c r="C1807" t="inlineStr">
        <is>
          <t>2023-08-18</t>
        </is>
      </c>
      <c r="D1807" t="n">
        <v>270</v>
      </c>
      <c r="E1807" t="inlineStr">
        <is>
          <t>BBG01FQ9J9T6</t>
        </is>
      </c>
    </row>
    <row r="1808">
      <c r="A1808" t="inlineStr">
        <is>
          <t>BBG01FQ9JBY5 Equity</t>
        </is>
      </c>
      <c r="B1808" t="inlineStr">
        <is>
          <t>TSLA US 08/18/23 P275</t>
        </is>
      </c>
      <c r="C1808" t="inlineStr">
        <is>
          <t>2023-08-18</t>
        </is>
      </c>
      <c r="D1808" t="n">
        <v>275</v>
      </c>
      <c r="E1808" t="inlineStr">
        <is>
          <t>BBG01FQ9JBY5</t>
        </is>
      </c>
    </row>
    <row r="1809">
      <c r="A1809" t="inlineStr">
        <is>
          <t>BBG01FQ9JD17 Equity</t>
        </is>
      </c>
      <c r="B1809" t="inlineStr">
        <is>
          <t>TSLA US 08/18/23 P280</t>
        </is>
      </c>
      <c r="C1809" t="inlineStr">
        <is>
          <t>2023-08-18</t>
        </is>
      </c>
      <c r="D1809" t="n">
        <v>280</v>
      </c>
      <c r="E1809" t="inlineStr">
        <is>
          <t>BBG01FQ9JD17</t>
        </is>
      </c>
    </row>
    <row r="1810">
      <c r="A1810" t="inlineStr">
        <is>
          <t>BBG01FQ9JF49 Equity</t>
        </is>
      </c>
      <c r="B1810" t="inlineStr">
        <is>
          <t>TSLA US 08/18/23 P285</t>
        </is>
      </c>
      <c r="C1810" t="inlineStr">
        <is>
          <t>2023-08-18</t>
        </is>
      </c>
      <c r="D1810" t="n">
        <v>285</v>
      </c>
      <c r="E1810" t="inlineStr">
        <is>
          <t>BBG01FQ9JF49</t>
        </is>
      </c>
    </row>
    <row r="1811">
      <c r="A1811" t="inlineStr">
        <is>
          <t>BBG01FQ9JG83 Equity</t>
        </is>
      </c>
      <c r="B1811" t="inlineStr">
        <is>
          <t>TSLA US 08/18/23 P290</t>
        </is>
      </c>
      <c r="C1811" t="inlineStr">
        <is>
          <t>2023-08-18</t>
        </is>
      </c>
      <c r="D1811" t="n">
        <v>290</v>
      </c>
      <c r="E1811" t="inlineStr">
        <is>
          <t>BBG01FQ9JG83</t>
        </is>
      </c>
    </row>
    <row r="1812">
      <c r="A1812" t="inlineStr">
        <is>
          <t>BBG01FQ9JHC6 Equity</t>
        </is>
      </c>
      <c r="B1812" t="inlineStr">
        <is>
          <t>TSLA US 08/18/23 P295</t>
        </is>
      </c>
      <c r="C1812" t="inlineStr">
        <is>
          <t>2023-08-18</t>
        </is>
      </c>
      <c r="D1812" t="n">
        <v>295</v>
      </c>
      <c r="E1812" t="inlineStr">
        <is>
          <t>BBG01FQ9JHC6</t>
        </is>
      </c>
    </row>
    <row r="1813">
      <c r="A1813" t="inlineStr">
        <is>
          <t>BBG01FQ9JJG8 Equity</t>
        </is>
      </c>
      <c r="B1813" t="inlineStr">
        <is>
          <t>TSLA US 08/18/23 P300</t>
        </is>
      </c>
      <c r="C1813" t="inlineStr">
        <is>
          <t>2023-08-18</t>
        </is>
      </c>
      <c r="D1813" t="n">
        <v>300</v>
      </c>
      <c r="E1813" t="inlineStr">
        <is>
          <t>BBG01FQ9JJG8</t>
        </is>
      </c>
    </row>
    <row r="1814">
      <c r="A1814" t="inlineStr">
        <is>
          <t>BBG01FQ9JKL9 Equity</t>
        </is>
      </c>
      <c r="B1814" t="inlineStr">
        <is>
          <t>TSLA US 08/18/23 P305</t>
        </is>
      </c>
      <c r="C1814" t="inlineStr">
        <is>
          <t>2023-08-18</t>
        </is>
      </c>
      <c r="D1814" t="n">
        <v>305</v>
      </c>
      <c r="E1814" t="inlineStr">
        <is>
          <t>BBG01FQ9JKL9</t>
        </is>
      </c>
    </row>
    <row r="1815">
      <c r="A1815" t="inlineStr">
        <is>
          <t>BBG01FQ9JLP3 Equity</t>
        </is>
      </c>
      <c r="B1815" t="inlineStr">
        <is>
          <t>TSLA US 08/18/23 P310</t>
        </is>
      </c>
      <c r="C1815" t="inlineStr">
        <is>
          <t>2023-08-18</t>
        </is>
      </c>
      <c r="D1815" t="n">
        <v>310</v>
      </c>
      <c r="E1815" t="inlineStr">
        <is>
          <t>BBG01FQ9JLP3</t>
        </is>
      </c>
    </row>
    <row r="1816">
      <c r="A1816" t="inlineStr">
        <is>
          <t>BBG01FQ9JMS8 Equity</t>
        </is>
      </c>
      <c r="B1816" t="inlineStr">
        <is>
          <t>TSLA US 08/18/23 P315</t>
        </is>
      </c>
      <c r="C1816" t="inlineStr">
        <is>
          <t>2023-08-18</t>
        </is>
      </c>
      <c r="D1816" t="n">
        <v>315</v>
      </c>
      <c r="E1816" t="inlineStr">
        <is>
          <t>BBG01FQ9JMS8</t>
        </is>
      </c>
    </row>
    <row r="1817">
      <c r="A1817" t="inlineStr">
        <is>
          <t>BBG01FQ9JNX0 Equity</t>
        </is>
      </c>
      <c r="B1817" t="inlineStr">
        <is>
          <t>TSLA US 08/18/23 P320</t>
        </is>
      </c>
      <c r="C1817" t="inlineStr">
        <is>
          <t>2023-08-18</t>
        </is>
      </c>
      <c r="D1817" t="n">
        <v>320</v>
      </c>
      <c r="E1817" t="inlineStr">
        <is>
          <t>BBG01FQ9JNX0</t>
        </is>
      </c>
    </row>
    <row r="1818">
      <c r="A1818" t="inlineStr">
        <is>
          <t>BBG01FQ9JQ09 Equity</t>
        </is>
      </c>
      <c r="B1818" t="inlineStr">
        <is>
          <t>TSLA US 08/18/23 P325</t>
        </is>
      </c>
      <c r="C1818" t="inlineStr">
        <is>
          <t>2023-08-18</t>
        </is>
      </c>
      <c r="D1818" t="n">
        <v>325</v>
      </c>
      <c r="E1818" t="inlineStr">
        <is>
          <t>BBG01FQ9JQ09</t>
        </is>
      </c>
    </row>
    <row r="1819">
      <c r="A1819" t="inlineStr">
        <is>
          <t>BBG01FQ9JR34 Equity</t>
        </is>
      </c>
      <c r="B1819" t="inlineStr">
        <is>
          <t>TSLA US 08/18/23 P330</t>
        </is>
      </c>
      <c r="C1819" t="inlineStr">
        <is>
          <t>2023-08-18</t>
        </is>
      </c>
      <c r="D1819" t="n">
        <v>330</v>
      </c>
      <c r="E1819" t="inlineStr">
        <is>
          <t>BBG01FQ9JR34</t>
        </is>
      </c>
    </row>
    <row r="1820">
      <c r="A1820" t="inlineStr">
        <is>
          <t>BBG01FQ9JS78 Equity</t>
        </is>
      </c>
      <c r="B1820" t="inlineStr">
        <is>
          <t>TSLA US 08/18/23 P335</t>
        </is>
      </c>
      <c r="C1820" t="inlineStr">
        <is>
          <t>2023-08-18</t>
        </is>
      </c>
      <c r="D1820" t="n">
        <v>335</v>
      </c>
      <c r="E1820" t="inlineStr">
        <is>
          <t>BBG01FQ9JS78</t>
        </is>
      </c>
    </row>
    <row r="1821">
      <c r="A1821" t="inlineStr">
        <is>
          <t>BBG01FQ9JTB1 Equity</t>
        </is>
      </c>
      <c r="B1821" t="inlineStr">
        <is>
          <t>TSLA US 08/18/23 P340</t>
        </is>
      </c>
      <c r="C1821" t="inlineStr">
        <is>
          <t>2023-08-18</t>
        </is>
      </c>
      <c r="D1821" t="n">
        <v>340</v>
      </c>
      <c r="E1821" t="inlineStr">
        <is>
          <t>BBG01FQ9JTB1</t>
        </is>
      </c>
    </row>
    <row r="1822">
      <c r="A1822" t="inlineStr">
        <is>
          <t>BBG01FQ9JVF2 Equity</t>
        </is>
      </c>
      <c r="B1822" t="inlineStr">
        <is>
          <t>TSLA US 08/18/23 P345</t>
        </is>
      </c>
      <c r="C1822" t="inlineStr">
        <is>
          <t>2023-08-18</t>
        </is>
      </c>
      <c r="D1822" t="n">
        <v>345</v>
      </c>
      <c r="E1822" t="inlineStr">
        <is>
          <t>BBG01FQ9JVF2</t>
        </is>
      </c>
    </row>
    <row r="1823">
      <c r="A1823" t="inlineStr">
        <is>
          <t>BBG01FQ9JWK4 Equity</t>
        </is>
      </c>
      <c r="B1823" t="inlineStr">
        <is>
          <t>TSLA US 08/18/23 P350</t>
        </is>
      </c>
      <c r="C1823" t="inlineStr">
        <is>
          <t>2023-08-18</t>
        </is>
      </c>
      <c r="D1823" t="n">
        <v>350</v>
      </c>
      <c r="E1823" t="inlineStr">
        <is>
          <t>BBG01FQ9JWK4</t>
        </is>
      </c>
    </row>
    <row r="1824">
      <c r="A1824" t="inlineStr">
        <is>
          <t>BBG01FQ9JXN9 Equity</t>
        </is>
      </c>
      <c r="B1824" t="inlineStr">
        <is>
          <t>TSLA US 08/18/23 P355</t>
        </is>
      </c>
      <c r="C1824" t="inlineStr">
        <is>
          <t>2023-08-18</t>
        </is>
      </c>
      <c r="D1824" t="n">
        <v>355</v>
      </c>
      <c r="E1824" t="inlineStr">
        <is>
          <t>BBG01FQ9JXN9</t>
        </is>
      </c>
    </row>
    <row r="1825">
      <c r="A1825" t="inlineStr">
        <is>
          <t>BBG01FQ9JYR3 Equity</t>
        </is>
      </c>
      <c r="B1825" t="inlineStr">
        <is>
          <t>TSLA US 08/18/23 P360</t>
        </is>
      </c>
      <c r="C1825" t="inlineStr">
        <is>
          <t>2023-08-18</t>
        </is>
      </c>
      <c r="D1825" t="n">
        <v>360</v>
      </c>
      <c r="E1825" t="inlineStr">
        <is>
          <t>BBG01FQ9JYR3</t>
        </is>
      </c>
    </row>
    <row r="1826">
      <c r="A1826" t="inlineStr">
        <is>
          <t>BBG017FXLWB8 Equity</t>
        </is>
      </c>
      <c r="B1826" t="inlineStr">
        <is>
          <t>TSLA US 09/15/23 P156.67</t>
        </is>
      </c>
      <c r="C1826" t="inlineStr">
        <is>
          <t>2023-09-15</t>
        </is>
      </c>
      <c r="D1826" t="n">
        <v>156.67</v>
      </c>
      <c r="E1826" t="inlineStr">
        <is>
          <t>BBG017FXLWB8</t>
        </is>
      </c>
    </row>
    <row r="1827">
      <c r="A1827" t="inlineStr">
        <is>
          <t>BBG015902H34 Equity</t>
        </is>
      </c>
      <c r="B1827" t="inlineStr">
        <is>
          <t>TSLA US 09/15/23 P158.33</t>
        </is>
      </c>
      <c r="C1827" t="inlineStr">
        <is>
          <t>2023-09-15</t>
        </is>
      </c>
      <c r="D1827" t="n">
        <v>158.33</v>
      </c>
      <c r="E1827" t="inlineStr">
        <is>
          <t>BBG015902H34</t>
        </is>
      </c>
    </row>
    <row r="1828">
      <c r="A1828" t="inlineStr">
        <is>
          <t>BBG017FXLXG1 Equity</t>
        </is>
      </c>
      <c r="B1828" t="inlineStr">
        <is>
          <t>TSLA US 09/15/23 P160</t>
        </is>
      </c>
      <c r="C1828" t="inlineStr">
        <is>
          <t>2023-09-15</t>
        </is>
      </c>
      <c r="D1828" t="n">
        <v>160</v>
      </c>
      <c r="E1828" t="inlineStr">
        <is>
          <t>BBG017FXLXG1</t>
        </is>
      </c>
    </row>
    <row r="1829">
      <c r="A1829" t="inlineStr">
        <is>
          <t>BBG017FXLYK4 Equity</t>
        </is>
      </c>
      <c r="B1829" t="inlineStr">
        <is>
          <t>TSLA US 09/15/23 P163.33</t>
        </is>
      </c>
      <c r="C1829" t="inlineStr">
        <is>
          <t>2023-09-15</t>
        </is>
      </c>
      <c r="D1829" t="n">
        <v>163.33</v>
      </c>
      <c r="E1829" t="inlineStr">
        <is>
          <t>BBG017FXLYK4</t>
        </is>
      </c>
    </row>
    <row r="1830">
      <c r="A1830" t="inlineStr">
        <is>
          <t>BBG01C5CN0P7 Equity</t>
        </is>
      </c>
      <c r="B1830" t="inlineStr">
        <is>
          <t>TSLA US 09/15/23 P165</t>
        </is>
      </c>
      <c r="C1830" t="inlineStr">
        <is>
          <t>2023-09-15</t>
        </is>
      </c>
      <c r="D1830" t="n">
        <v>165</v>
      </c>
      <c r="E1830" t="inlineStr">
        <is>
          <t>BBG01C5CN0P7</t>
        </is>
      </c>
    </row>
    <row r="1831">
      <c r="A1831" t="inlineStr">
        <is>
          <t>BBG015902JB1 Equity</t>
        </is>
      </c>
      <c r="B1831" t="inlineStr">
        <is>
          <t>TSLA US 09/15/23 P166.67</t>
        </is>
      </c>
      <c r="C1831" t="inlineStr">
        <is>
          <t>2023-09-15</t>
        </is>
      </c>
      <c r="D1831" t="n">
        <v>166.67</v>
      </c>
      <c r="E1831" t="inlineStr">
        <is>
          <t>BBG015902JB1</t>
        </is>
      </c>
    </row>
    <row r="1832">
      <c r="A1832" t="inlineStr">
        <is>
          <t>BBG01C5CN1S2 Equity</t>
        </is>
      </c>
      <c r="B1832" t="inlineStr">
        <is>
          <t>TSLA US 09/15/23 P170</t>
        </is>
      </c>
      <c r="C1832" t="inlineStr">
        <is>
          <t>2023-09-15</t>
        </is>
      </c>
      <c r="D1832" t="n">
        <v>170</v>
      </c>
      <c r="E1832" t="inlineStr">
        <is>
          <t>BBG01C5CN1S2</t>
        </is>
      </c>
    </row>
    <row r="1833">
      <c r="A1833" t="inlineStr">
        <is>
          <t>BBG017FXLZN8 Equity</t>
        </is>
      </c>
      <c r="B1833" t="inlineStr">
        <is>
          <t>TSLA US 09/15/23 P173.33</t>
        </is>
      </c>
      <c r="C1833" t="inlineStr">
        <is>
          <t>2023-09-15</t>
        </is>
      </c>
      <c r="D1833" t="n">
        <v>173.33</v>
      </c>
      <c r="E1833" t="inlineStr">
        <is>
          <t>BBG017FXLZN8</t>
        </is>
      </c>
    </row>
    <row r="1834">
      <c r="A1834" t="inlineStr">
        <is>
          <t>BBG015902KF4 Equity</t>
        </is>
      </c>
      <c r="B1834" t="inlineStr">
        <is>
          <t>TSLA US 09/15/23 P175</t>
        </is>
      </c>
      <c r="C1834" t="inlineStr">
        <is>
          <t>2023-09-15</t>
        </is>
      </c>
      <c r="D1834" t="n">
        <v>175</v>
      </c>
      <c r="E1834" t="inlineStr">
        <is>
          <t>BBG015902KF4</t>
        </is>
      </c>
    </row>
    <row r="1835">
      <c r="A1835" t="inlineStr">
        <is>
          <t>BBG017FXM0V5 Equity</t>
        </is>
      </c>
      <c r="B1835" t="inlineStr">
        <is>
          <t>TSLA US 09/15/23 P180</t>
        </is>
      </c>
      <c r="C1835" t="inlineStr">
        <is>
          <t>2023-09-15</t>
        </is>
      </c>
      <c r="D1835" t="n">
        <v>180</v>
      </c>
      <c r="E1835" t="inlineStr">
        <is>
          <t>BBG017FXM0V5</t>
        </is>
      </c>
    </row>
    <row r="1836">
      <c r="A1836" t="inlineStr">
        <is>
          <t>BBG015902LJ8 Equity</t>
        </is>
      </c>
      <c r="B1836" t="inlineStr">
        <is>
          <t>TSLA US 09/15/23 P183.33</t>
        </is>
      </c>
      <c r="C1836" t="inlineStr">
        <is>
          <t>2023-09-15</t>
        </is>
      </c>
      <c r="D1836" t="n">
        <v>183.33</v>
      </c>
      <c r="E1836" t="inlineStr">
        <is>
          <t>BBG015902LJ8</t>
        </is>
      </c>
    </row>
    <row r="1837">
      <c r="A1837" t="inlineStr">
        <is>
          <t>BBG01CG2DWG8 Equity</t>
        </is>
      </c>
      <c r="B1837" t="inlineStr">
        <is>
          <t>TSLA US 09/15/23 P185</t>
        </is>
      </c>
      <c r="C1837" t="inlineStr">
        <is>
          <t>2023-09-15</t>
        </is>
      </c>
      <c r="D1837" t="n">
        <v>185</v>
      </c>
      <c r="E1837" t="inlineStr">
        <is>
          <t>BBG01CG2DWG8</t>
        </is>
      </c>
    </row>
    <row r="1838">
      <c r="A1838" t="inlineStr">
        <is>
          <t>BBG017FXM1Y0 Equity</t>
        </is>
      </c>
      <c r="B1838" t="inlineStr">
        <is>
          <t>TSLA US 09/15/23 P186.67</t>
        </is>
      </c>
      <c r="C1838" t="inlineStr">
        <is>
          <t>2023-09-15</t>
        </is>
      </c>
      <c r="D1838" t="n">
        <v>186.67</v>
      </c>
      <c r="E1838" t="inlineStr">
        <is>
          <t>BBG017FXM1Y0</t>
        </is>
      </c>
    </row>
    <row r="1839">
      <c r="A1839" t="inlineStr">
        <is>
          <t>BBG01CG2DXK1 Equity</t>
        </is>
      </c>
      <c r="B1839" t="inlineStr">
        <is>
          <t>TSLA US 09/15/23 P190</t>
        </is>
      </c>
      <c r="C1839" t="inlineStr">
        <is>
          <t>2023-09-15</t>
        </is>
      </c>
      <c r="D1839" t="n">
        <v>190</v>
      </c>
      <c r="E1839" t="inlineStr">
        <is>
          <t>BBG01CG2DXK1</t>
        </is>
      </c>
    </row>
    <row r="1840">
      <c r="A1840" t="inlineStr">
        <is>
          <t>BBG015902MT5 Equity</t>
        </is>
      </c>
      <c r="B1840" t="inlineStr">
        <is>
          <t>TSLA US 09/15/23 P191.67</t>
        </is>
      </c>
      <c r="C1840" t="inlineStr">
        <is>
          <t>2023-09-15</t>
        </is>
      </c>
      <c r="D1840" t="n">
        <v>191.67</v>
      </c>
      <c r="E1840" t="inlineStr">
        <is>
          <t>BBG015902MT5</t>
        </is>
      </c>
    </row>
    <row r="1841">
      <c r="A1841" t="inlineStr">
        <is>
          <t>BBG017FXM312 Equity</t>
        </is>
      </c>
      <c r="B1841" t="inlineStr">
        <is>
          <t>TSLA US 09/15/23 P193.33</t>
        </is>
      </c>
      <c r="C1841" t="inlineStr">
        <is>
          <t>2023-09-15</t>
        </is>
      </c>
      <c r="D1841" t="n">
        <v>193.33</v>
      </c>
      <c r="E1841" t="inlineStr">
        <is>
          <t>BBG017FXM312</t>
        </is>
      </c>
    </row>
    <row r="1842">
      <c r="A1842" t="inlineStr">
        <is>
          <t>BBG01CG2DYN6 Equity</t>
        </is>
      </c>
      <c r="B1842" t="inlineStr">
        <is>
          <t>TSLA US 09/15/23 P195</t>
        </is>
      </c>
      <c r="C1842" t="inlineStr">
        <is>
          <t>2023-09-15</t>
        </is>
      </c>
      <c r="D1842" t="n">
        <v>195</v>
      </c>
      <c r="E1842" t="inlineStr">
        <is>
          <t>BBG01CG2DYN6</t>
        </is>
      </c>
    </row>
    <row r="1843">
      <c r="A1843" t="inlineStr">
        <is>
          <t>BBG015902NX8 Equity</t>
        </is>
      </c>
      <c r="B1843" t="inlineStr">
        <is>
          <t>TSLA US 09/15/23 P200</t>
        </is>
      </c>
      <c r="C1843" t="inlineStr">
        <is>
          <t>2023-09-15</t>
        </is>
      </c>
      <c r="D1843" t="n">
        <v>200</v>
      </c>
      <c r="E1843" t="inlineStr">
        <is>
          <t>BBG015902NX8</t>
        </is>
      </c>
    </row>
    <row r="1844">
      <c r="A1844" t="inlineStr">
        <is>
          <t>BBG01CG2DZT7 Equity</t>
        </is>
      </c>
      <c r="B1844" t="inlineStr">
        <is>
          <t>TSLA US 09/15/23 P205</t>
        </is>
      </c>
      <c r="C1844" t="inlineStr">
        <is>
          <t>2023-09-15</t>
        </is>
      </c>
      <c r="D1844" t="n">
        <v>205</v>
      </c>
      <c r="E1844" t="inlineStr">
        <is>
          <t>BBG01CG2DZT7</t>
        </is>
      </c>
    </row>
    <row r="1845">
      <c r="A1845" t="inlineStr">
        <is>
          <t>BBG017FXM465 Equity</t>
        </is>
      </c>
      <c r="B1845" t="inlineStr">
        <is>
          <t>TSLA US 09/15/23 P206.67</t>
        </is>
      </c>
      <c r="C1845" t="inlineStr">
        <is>
          <t>2023-09-15</t>
        </is>
      </c>
      <c r="D1845" t="n">
        <v>206.67</v>
      </c>
      <c r="E1845" t="inlineStr">
        <is>
          <t>BBG017FXM465</t>
        </is>
      </c>
    </row>
    <row r="1846">
      <c r="A1846" t="inlineStr">
        <is>
          <t>BBG015902Q07 Equity</t>
        </is>
      </c>
      <c r="B1846" t="inlineStr">
        <is>
          <t>TSLA US 09/15/23 P208.33</t>
        </is>
      </c>
      <c r="C1846" t="inlineStr">
        <is>
          <t>2023-09-15</t>
        </is>
      </c>
      <c r="D1846" t="n">
        <v>208.33</v>
      </c>
      <c r="E1846" t="inlineStr">
        <is>
          <t>BBG015902Q07</t>
        </is>
      </c>
    </row>
    <row r="1847">
      <c r="A1847" t="inlineStr">
        <is>
          <t>BBG01CG2F0X7 Equity</t>
        </is>
      </c>
      <c r="B1847" t="inlineStr">
        <is>
          <t>TSLA US 09/15/23 P210</t>
        </is>
      </c>
      <c r="C1847" t="inlineStr">
        <is>
          <t>2023-09-15</t>
        </is>
      </c>
      <c r="D1847" t="n">
        <v>210</v>
      </c>
      <c r="E1847" t="inlineStr">
        <is>
          <t>BBG01CG2F0X7</t>
        </is>
      </c>
    </row>
    <row r="1848">
      <c r="A1848" t="inlineStr">
        <is>
          <t>BBG017FXM599 Equity</t>
        </is>
      </c>
      <c r="B1848" t="inlineStr">
        <is>
          <t>TSLA US 09/15/23 P213.33</t>
        </is>
      </c>
      <c r="C1848" t="inlineStr">
        <is>
          <t>2023-09-15</t>
        </is>
      </c>
      <c r="D1848" t="n">
        <v>213.33</v>
      </c>
      <c r="E1848" t="inlineStr">
        <is>
          <t>BBG017FXM599</t>
        </is>
      </c>
    </row>
    <row r="1849">
      <c r="A1849" t="inlineStr">
        <is>
          <t>BBG01CG2F209 Equity</t>
        </is>
      </c>
      <c r="B1849" t="inlineStr">
        <is>
          <t>TSLA US 09/15/23 P215</t>
        </is>
      </c>
      <c r="C1849" t="inlineStr">
        <is>
          <t>2023-09-15</t>
        </is>
      </c>
      <c r="D1849" t="n">
        <v>215</v>
      </c>
      <c r="E1849" t="inlineStr">
        <is>
          <t>BBG01CG2F209</t>
        </is>
      </c>
    </row>
    <row r="1850">
      <c r="A1850" t="inlineStr">
        <is>
          <t>BBG015902R87 Equity</t>
        </is>
      </c>
      <c r="B1850" t="inlineStr">
        <is>
          <t>TSLA US 09/15/23 P216.67</t>
        </is>
      </c>
      <c r="C1850" t="inlineStr">
        <is>
          <t>2023-09-15</t>
        </is>
      </c>
      <c r="D1850" t="n">
        <v>216.67</v>
      </c>
      <c r="E1850" t="inlineStr">
        <is>
          <t>BBG015902R87</t>
        </is>
      </c>
    </row>
    <row r="1851">
      <c r="A1851" t="inlineStr">
        <is>
          <t>BBG017FXM6D2 Equity</t>
        </is>
      </c>
      <c r="B1851" t="inlineStr">
        <is>
          <t>TSLA US 09/15/23 P220</t>
        </is>
      </c>
      <c r="C1851" t="inlineStr">
        <is>
          <t>2023-09-15</t>
        </is>
      </c>
      <c r="D1851" t="n">
        <v>220</v>
      </c>
      <c r="E1851" t="inlineStr">
        <is>
          <t>BBG017FXM6D2</t>
        </is>
      </c>
    </row>
    <row r="1852">
      <c r="A1852" t="inlineStr">
        <is>
          <t>BBG015902SC0 Equity</t>
        </is>
      </c>
      <c r="B1852" t="inlineStr">
        <is>
          <t>TSLA US 09/15/23 P225</t>
        </is>
      </c>
      <c r="C1852" t="inlineStr">
        <is>
          <t>2023-09-15</t>
        </is>
      </c>
      <c r="D1852" t="n">
        <v>225</v>
      </c>
      <c r="E1852" t="inlineStr">
        <is>
          <t>BBG015902SC0</t>
        </is>
      </c>
    </row>
    <row r="1853">
      <c r="A1853" t="inlineStr">
        <is>
          <t>BBG017FXM7K2 Equity</t>
        </is>
      </c>
      <c r="B1853" t="inlineStr">
        <is>
          <t>TSLA US 09/15/23 P226.67</t>
        </is>
      </c>
      <c r="C1853" t="inlineStr">
        <is>
          <t>2023-09-15</t>
        </is>
      </c>
      <c r="D1853" t="n">
        <v>226.67</v>
      </c>
      <c r="E1853" t="inlineStr">
        <is>
          <t>BBG017FXM7K2</t>
        </is>
      </c>
    </row>
    <row r="1854">
      <c r="A1854" t="inlineStr">
        <is>
          <t>BBG01CG2F343 Equity</t>
        </is>
      </c>
      <c r="B1854" t="inlineStr">
        <is>
          <t>TSLA US 09/15/23 P230</t>
        </is>
      </c>
      <c r="C1854" t="inlineStr">
        <is>
          <t>2023-09-15</t>
        </is>
      </c>
      <c r="D1854" t="n">
        <v>230</v>
      </c>
      <c r="E1854" t="inlineStr">
        <is>
          <t>BBG01CG2F343</t>
        </is>
      </c>
    </row>
    <row r="1855">
      <c r="A1855" t="inlineStr">
        <is>
          <t>BBG015902TG4 Equity</t>
        </is>
      </c>
      <c r="B1855" t="inlineStr">
        <is>
          <t>TSLA US 09/15/23 P233.33</t>
        </is>
      </c>
      <c r="C1855" t="inlineStr">
        <is>
          <t>2023-09-15</t>
        </is>
      </c>
      <c r="D1855" t="n">
        <v>233.33</v>
      </c>
      <c r="E1855" t="inlineStr">
        <is>
          <t>BBG015902TG4</t>
        </is>
      </c>
    </row>
    <row r="1856">
      <c r="A1856" t="inlineStr">
        <is>
          <t>BBG01CTQYD70 Equity</t>
        </is>
      </c>
      <c r="B1856" t="inlineStr">
        <is>
          <t>TSLA US 09/15/23 P235</t>
        </is>
      </c>
      <c r="C1856" t="inlineStr">
        <is>
          <t>2023-09-15</t>
        </is>
      </c>
      <c r="D1856" t="n">
        <v>235</v>
      </c>
      <c r="E1856" t="inlineStr">
        <is>
          <t>BBG01CTQYD70</t>
        </is>
      </c>
    </row>
    <row r="1857">
      <c r="A1857" t="inlineStr">
        <is>
          <t>BBG017FXM8N7 Equity</t>
        </is>
      </c>
      <c r="B1857" t="inlineStr">
        <is>
          <t>TSLA US 09/15/23 P240</t>
        </is>
      </c>
      <c r="C1857" t="inlineStr">
        <is>
          <t>2023-09-15</t>
        </is>
      </c>
      <c r="D1857" t="n">
        <v>240</v>
      </c>
      <c r="E1857" t="inlineStr">
        <is>
          <t>BBG017FXM8N7</t>
        </is>
      </c>
    </row>
    <row r="1858">
      <c r="A1858" t="inlineStr">
        <is>
          <t>BBG015902VQ8 Equity</t>
        </is>
      </c>
      <c r="B1858" t="inlineStr">
        <is>
          <t>TSLA US 09/15/23 P241.67</t>
        </is>
      </c>
      <c r="C1858" t="inlineStr">
        <is>
          <t>2023-09-15</t>
        </is>
      </c>
      <c r="D1858" t="n">
        <v>241.67</v>
      </c>
      <c r="E1858" t="inlineStr">
        <is>
          <t>BBG015902VQ8</t>
        </is>
      </c>
    </row>
    <row r="1859">
      <c r="A1859" t="inlineStr">
        <is>
          <t>BBG01CTQYLT8 Equity</t>
        </is>
      </c>
      <c r="B1859" t="inlineStr">
        <is>
          <t>TSLA US 09/15/23 P245</t>
        </is>
      </c>
      <c r="C1859" t="inlineStr">
        <is>
          <t>2023-09-15</t>
        </is>
      </c>
      <c r="D1859" t="n">
        <v>245</v>
      </c>
      <c r="E1859" t="inlineStr">
        <is>
          <t>BBG01CTQYLT8</t>
        </is>
      </c>
    </row>
    <row r="1860">
      <c r="A1860" t="inlineStr">
        <is>
          <t>BBG017FXM9R1 Equity</t>
        </is>
      </c>
      <c r="B1860" t="inlineStr">
        <is>
          <t>TSLA US 09/15/23 P246.67</t>
        </is>
      </c>
      <c r="C1860" t="inlineStr">
        <is>
          <t>2023-09-15</t>
        </is>
      </c>
      <c r="D1860" t="n">
        <v>246.67</v>
      </c>
      <c r="E1860" t="inlineStr">
        <is>
          <t>BBG017FXM9R1</t>
        </is>
      </c>
    </row>
    <row r="1861">
      <c r="A1861" t="inlineStr">
        <is>
          <t>BBG015902WT3 Equity</t>
        </is>
      </c>
      <c r="B1861" t="inlineStr">
        <is>
          <t>TSLA US 09/15/23 P250</t>
        </is>
      </c>
      <c r="C1861" t="inlineStr">
        <is>
          <t>2023-09-15</t>
        </is>
      </c>
      <c r="D1861" t="n">
        <v>250</v>
      </c>
      <c r="E1861" t="inlineStr">
        <is>
          <t>BBG015902WT3</t>
        </is>
      </c>
    </row>
    <row r="1862">
      <c r="A1862" t="inlineStr">
        <is>
          <t>BBG017FXMBX9 Equity</t>
        </is>
      </c>
      <c r="B1862" t="inlineStr">
        <is>
          <t>TSLA US 09/15/23 P253.33</t>
        </is>
      </c>
      <c r="C1862" t="inlineStr">
        <is>
          <t>2023-09-15</t>
        </is>
      </c>
      <c r="D1862" t="n">
        <v>253.33</v>
      </c>
      <c r="E1862" t="inlineStr">
        <is>
          <t>BBG017FXMBX9</t>
        </is>
      </c>
    </row>
    <row r="1863">
      <c r="A1863" t="inlineStr">
        <is>
          <t>BBG01CTQYMX1 Equity</t>
        </is>
      </c>
      <c r="B1863" t="inlineStr">
        <is>
          <t>TSLA US 09/15/23 P255</t>
        </is>
      </c>
      <c r="C1863" t="inlineStr">
        <is>
          <t>2023-09-15</t>
        </is>
      </c>
      <c r="D1863" t="n">
        <v>255</v>
      </c>
      <c r="E1863" t="inlineStr">
        <is>
          <t>BBG01CTQYMX1</t>
        </is>
      </c>
    </row>
    <row r="1864">
      <c r="A1864" t="inlineStr">
        <is>
          <t>BBG015902XX6 Equity</t>
        </is>
      </c>
      <c r="B1864" t="inlineStr">
        <is>
          <t>TSLA US 09/15/23 P258.33</t>
        </is>
      </c>
      <c r="C1864" t="inlineStr">
        <is>
          <t>2023-09-15</t>
        </is>
      </c>
      <c r="D1864" t="n">
        <v>258.33</v>
      </c>
      <c r="E1864" t="inlineStr">
        <is>
          <t>BBG015902XX6</t>
        </is>
      </c>
    </row>
    <row r="1865">
      <c r="A1865" t="inlineStr">
        <is>
          <t>BBG017FXMD01 Equity</t>
        </is>
      </c>
      <c r="B1865" t="inlineStr">
        <is>
          <t>TSLA US 09/15/23 P260</t>
        </is>
      </c>
      <c r="C1865" t="inlineStr">
        <is>
          <t>2023-09-15</t>
        </is>
      </c>
      <c r="D1865" t="n">
        <v>260</v>
      </c>
      <c r="E1865" t="inlineStr">
        <is>
          <t>BBG017FXMD01</t>
        </is>
      </c>
    </row>
    <row r="1866">
      <c r="A1866" t="inlineStr">
        <is>
          <t>BBG01CTQYP00 Equity</t>
        </is>
      </c>
      <c r="B1866" t="inlineStr">
        <is>
          <t>TSLA US 09/15/23 P265</t>
        </is>
      </c>
      <c r="C1866" t="inlineStr">
        <is>
          <t>2023-09-15</t>
        </is>
      </c>
      <c r="D1866" t="n">
        <v>265</v>
      </c>
      <c r="E1866" t="inlineStr">
        <is>
          <t>BBG01CTQYP00</t>
        </is>
      </c>
    </row>
    <row r="1867">
      <c r="A1867" t="inlineStr">
        <is>
          <t>BBG015902Z34 Equity</t>
        </is>
      </c>
      <c r="B1867" t="inlineStr">
        <is>
          <t>TSLA US 09/15/23 P266.67</t>
        </is>
      </c>
      <c r="C1867" t="inlineStr">
        <is>
          <t>2023-09-15</t>
        </is>
      </c>
      <c r="D1867" t="n">
        <v>266.67</v>
      </c>
      <c r="E1867" t="inlineStr">
        <is>
          <t>BBG015902Z34</t>
        </is>
      </c>
    </row>
    <row r="1868">
      <c r="A1868" t="inlineStr">
        <is>
          <t>BBG01CTQYR97 Equity</t>
        </is>
      </c>
      <c r="B1868" t="inlineStr">
        <is>
          <t>TSLA US 09/15/23 P270</t>
        </is>
      </c>
      <c r="C1868" t="inlineStr">
        <is>
          <t>2023-09-15</t>
        </is>
      </c>
      <c r="D1868" t="n">
        <v>270</v>
      </c>
      <c r="E1868" t="inlineStr">
        <is>
          <t>BBG01CTQYR97</t>
        </is>
      </c>
    </row>
    <row r="1869">
      <c r="A1869" t="inlineStr">
        <is>
          <t>BBG017FXMF33 Equity</t>
        </is>
      </c>
      <c r="B1869" t="inlineStr">
        <is>
          <t>TSLA US 09/15/23 P273.33</t>
        </is>
      </c>
      <c r="C1869" t="inlineStr">
        <is>
          <t>2023-09-15</t>
        </is>
      </c>
      <c r="D1869" t="n">
        <v>273.33</v>
      </c>
      <c r="E1869" t="inlineStr">
        <is>
          <t>BBG017FXMF33</t>
        </is>
      </c>
    </row>
    <row r="1870">
      <c r="A1870" t="inlineStr">
        <is>
          <t>BBG015903067 Equity</t>
        </is>
      </c>
      <c r="B1870" t="inlineStr">
        <is>
          <t>TSLA US 09/15/23 P275</t>
        </is>
      </c>
      <c r="C1870" t="inlineStr">
        <is>
          <t>2023-09-15</t>
        </is>
      </c>
      <c r="D1870" t="n">
        <v>275</v>
      </c>
      <c r="E1870" t="inlineStr">
        <is>
          <t>BBG015903067</t>
        </is>
      </c>
    </row>
    <row r="1871">
      <c r="A1871" t="inlineStr">
        <is>
          <t>BBG017FXMG77 Equity</t>
        </is>
      </c>
      <c r="B1871" t="inlineStr">
        <is>
          <t>TSLA US 09/15/23 P280</t>
        </is>
      </c>
      <c r="C1871" t="inlineStr">
        <is>
          <t>2023-09-15</t>
        </is>
      </c>
      <c r="D1871" t="n">
        <v>280</v>
      </c>
      <c r="E1871" t="inlineStr">
        <is>
          <t>BBG017FXMG77</t>
        </is>
      </c>
    </row>
    <row r="1872">
      <c r="A1872" t="inlineStr">
        <is>
          <t>BBG015903192 Equity</t>
        </is>
      </c>
      <c r="B1872" t="inlineStr">
        <is>
          <t>TSLA US 09/15/23 P283.33</t>
        </is>
      </c>
      <c r="C1872" t="inlineStr">
        <is>
          <t>2023-09-15</t>
        </is>
      </c>
      <c r="D1872" t="n">
        <v>283.33</v>
      </c>
      <c r="E1872" t="inlineStr">
        <is>
          <t>BBG015903192</t>
        </is>
      </c>
    </row>
    <row r="1873">
      <c r="A1873" t="inlineStr">
        <is>
          <t>BBG01H8N23S3 Equity</t>
        </is>
      </c>
      <c r="B1873" t="inlineStr">
        <is>
          <t>TSLA US 09/15/23 P285</t>
        </is>
      </c>
      <c r="C1873" t="inlineStr">
        <is>
          <t>2023-09-15</t>
        </is>
      </c>
      <c r="D1873" t="n">
        <v>285</v>
      </c>
      <c r="E1873" t="inlineStr">
        <is>
          <t>BBG01H8N23S3</t>
        </is>
      </c>
    </row>
    <row r="1874">
      <c r="A1874" t="inlineStr">
        <is>
          <t>BBG017FXMHB0 Equity</t>
        </is>
      </c>
      <c r="B1874" t="inlineStr">
        <is>
          <t>TSLA US 09/15/23 P286.67</t>
        </is>
      </c>
      <c r="C1874" t="inlineStr">
        <is>
          <t>2023-09-15</t>
        </is>
      </c>
      <c r="D1874" t="n">
        <v>286.67</v>
      </c>
      <c r="E1874" t="inlineStr">
        <is>
          <t>BBG017FXMHB0</t>
        </is>
      </c>
    </row>
    <row r="1875">
      <c r="A1875" t="inlineStr">
        <is>
          <t>BBG01F3WH7H9 Equity</t>
        </is>
      </c>
      <c r="B1875" t="inlineStr">
        <is>
          <t>TSLA US 09/15/23 P290</t>
        </is>
      </c>
      <c r="C1875" t="inlineStr">
        <is>
          <t>2023-09-15</t>
        </is>
      </c>
      <c r="D1875" t="n">
        <v>290</v>
      </c>
      <c r="E1875" t="inlineStr">
        <is>
          <t>BBG01F3WH7H9</t>
        </is>
      </c>
    </row>
    <row r="1876">
      <c r="A1876" t="inlineStr">
        <is>
          <t>BBG0159032L6 Equity</t>
        </is>
      </c>
      <c r="B1876" t="inlineStr">
        <is>
          <t>TSLA US 09/15/23 P291.67</t>
        </is>
      </c>
      <c r="C1876" t="inlineStr">
        <is>
          <t>2023-09-15</t>
        </is>
      </c>
      <c r="D1876" t="n">
        <v>291.67</v>
      </c>
      <c r="E1876" t="inlineStr">
        <is>
          <t>BBG0159032L6</t>
        </is>
      </c>
    </row>
    <row r="1877">
      <c r="A1877" t="inlineStr">
        <is>
          <t>BBG017FXMJF2 Equity</t>
        </is>
      </c>
      <c r="B1877" t="inlineStr">
        <is>
          <t>TSLA US 09/15/23 P293.33</t>
        </is>
      </c>
      <c r="C1877" t="inlineStr">
        <is>
          <t>2023-09-15</t>
        </is>
      </c>
      <c r="D1877" t="n">
        <v>293.33</v>
      </c>
      <c r="E1877" t="inlineStr">
        <is>
          <t>BBG017FXMJF2</t>
        </is>
      </c>
    </row>
    <row r="1878">
      <c r="A1878" t="inlineStr">
        <is>
          <t>BBG01H8N24X5 Equity</t>
        </is>
      </c>
      <c r="B1878" t="inlineStr">
        <is>
          <t>TSLA US 09/15/23 P295</t>
        </is>
      </c>
      <c r="C1878" t="inlineStr">
        <is>
          <t>2023-09-15</t>
        </is>
      </c>
      <c r="D1878" t="n">
        <v>295</v>
      </c>
      <c r="E1878" t="inlineStr">
        <is>
          <t>BBG01H8N24X5</t>
        </is>
      </c>
    </row>
    <row r="1879">
      <c r="A1879" t="inlineStr">
        <is>
          <t>BBG0159033P0 Equity</t>
        </is>
      </c>
      <c r="B1879" t="inlineStr">
        <is>
          <t>TSLA US 09/15/23 P300</t>
        </is>
      </c>
      <c r="C1879" t="inlineStr">
        <is>
          <t>2023-09-15</t>
        </is>
      </c>
      <c r="D1879" t="n">
        <v>300</v>
      </c>
      <c r="E1879" t="inlineStr">
        <is>
          <t>BBG0159033P0</t>
        </is>
      </c>
    </row>
    <row r="1880">
      <c r="A1880" t="inlineStr">
        <is>
          <t>BBG01H8N2606 Equity</t>
        </is>
      </c>
      <c r="B1880" t="inlineStr">
        <is>
          <t>TSLA US 09/15/23 P305</t>
        </is>
      </c>
      <c r="C1880" t="inlineStr">
        <is>
          <t>2023-09-15</t>
        </is>
      </c>
      <c r="D1880" t="n">
        <v>305</v>
      </c>
      <c r="E1880" t="inlineStr">
        <is>
          <t>BBG01H8N2606</t>
        </is>
      </c>
    </row>
    <row r="1881">
      <c r="A1881" t="inlineStr">
        <is>
          <t>BBG017FXMKL2 Equity</t>
        </is>
      </c>
      <c r="B1881" t="inlineStr">
        <is>
          <t>TSLA US 09/15/23 P306.67</t>
        </is>
      </c>
      <c r="C1881" t="inlineStr">
        <is>
          <t>2023-09-15</t>
        </is>
      </c>
      <c r="D1881" t="n">
        <v>306.67</v>
      </c>
      <c r="E1881" t="inlineStr">
        <is>
          <t>BBG017FXMKL2</t>
        </is>
      </c>
    </row>
    <row r="1882">
      <c r="A1882" t="inlineStr">
        <is>
          <t>BBG0159034S5 Equity</t>
        </is>
      </c>
      <c r="B1882" t="inlineStr">
        <is>
          <t>TSLA US 09/15/23 P308.33</t>
        </is>
      </c>
      <c r="C1882" t="inlineStr">
        <is>
          <t>2023-09-15</t>
        </is>
      </c>
      <c r="D1882" t="n">
        <v>308.33</v>
      </c>
      <c r="E1882" t="inlineStr">
        <is>
          <t>BBG0159034S5</t>
        </is>
      </c>
    </row>
    <row r="1883">
      <c r="A1883" t="inlineStr">
        <is>
          <t>BBG01F723VH3 Equity</t>
        </is>
      </c>
      <c r="B1883" t="inlineStr">
        <is>
          <t>TSLA US 09/15/23 P310</t>
        </is>
      </c>
      <c r="C1883" t="inlineStr">
        <is>
          <t>2023-09-15</t>
        </is>
      </c>
      <c r="D1883" t="n">
        <v>310</v>
      </c>
      <c r="E1883" t="inlineStr">
        <is>
          <t>BBG01F723VH3</t>
        </is>
      </c>
    </row>
    <row r="1884">
      <c r="A1884" t="inlineStr">
        <is>
          <t>BBG017FXMLP6 Equity</t>
        </is>
      </c>
      <c r="B1884" t="inlineStr">
        <is>
          <t>TSLA US 09/15/23 P313.33</t>
        </is>
      </c>
      <c r="C1884" t="inlineStr">
        <is>
          <t>2023-09-15</t>
        </is>
      </c>
      <c r="D1884" t="n">
        <v>313.33</v>
      </c>
      <c r="E1884" t="inlineStr">
        <is>
          <t>BBG017FXMLP6</t>
        </is>
      </c>
    </row>
    <row r="1885">
      <c r="A1885" t="inlineStr">
        <is>
          <t>BBG01H8N2731 Equity</t>
        </is>
      </c>
      <c r="B1885" t="inlineStr">
        <is>
          <t>TSLA US 09/15/23 P315</t>
        </is>
      </c>
      <c r="C1885" t="inlineStr">
        <is>
          <t>2023-09-15</t>
        </is>
      </c>
      <c r="D1885" t="n">
        <v>315</v>
      </c>
      <c r="E1885" t="inlineStr">
        <is>
          <t>BBG01H8N2731</t>
        </is>
      </c>
    </row>
    <row r="1886">
      <c r="A1886" t="inlineStr">
        <is>
          <t>BBG015903637 Equity</t>
        </is>
      </c>
      <c r="B1886" t="inlineStr">
        <is>
          <t>TSLA US 09/15/23 P316.67</t>
        </is>
      </c>
      <c r="C1886" t="inlineStr">
        <is>
          <t>2023-09-15</t>
        </is>
      </c>
      <c r="D1886" t="n">
        <v>316.67</v>
      </c>
      <c r="E1886" t="inlineStr">
        <is>
          <t>BBG015903637</t>
        </is>
      </c>
    </row>
    <row r="1887">
      <c r="A1887" t="inlineStr">
        <is>
          <t>BBG017FXMMW6 Equity</t>
        </is>
      </c>
      <c r="B1887" t="inlineStr">
        <is>
          <t>TSLA US 09/15/23 P320</t>
        </is>
      </c>
      <c r="C1887" t="inlineStr">
        <is>
          <t>2023-09-15</t>
        </is>
      </c>
      <c r="D1887" t="n">
        <v>320</v>
      </c>
      <c r="E1887" t="inlineStr">
        <is>
          <t>BBG017FXMMW6</t>
        </is>
      </c>
    </row>
    <row r="1888">
      <c r="A1888" t="inlineStr">
        <is>
          <t>BBG015903762 Equity</t>
        </is>
      </c>
      <c r="B1888" t="inlineStr">
        <is>
          <t>TSLA US 09/15/23 P325</t>
        </is>
      </c>
      <c r="C1888" t="inlineStr">
        <is>
          <t>2023-09-15</t>
        </is>
      </c>
      <c r="D1888" t="n">
        <v>325</v>
      </c>
      <c r="E1888" t="inlineStr">
        <is>
          <t>BBG015903762</t>
        </is>
      </c>
    </row>
    <row r="1889">
      <c r="A1889" t="inlineStr">
        <is>
          <t>BBG017FXMNZ1 Equity</t>
        </is>
      </c>
      <c r="B1889" t="inlineStr">
        <is>
          <t>TSLA US 09/15/23 P326.67</t>
        </is>
      </c>
      <c r="C1889" t="inlineStr">
        <is>
          <t>2023-09-15</t>
        </is>
      </c>
      <c r="D1889" t="n">
        <v>326.67</v>
      </c>
      <c r="E1889" t="inlineStr">
        <is>
          <t>BBG017FXMNZ1</t>
        </is>
      </c>
    </row>
    <row r="1890">
      <c r="A1890" t="inlineStr">
        <is>
          <t>BBG01GZR8XH6 Equity</t>
        </is>
      </c>
      <c r="B1890" t="inlineStr">
        <is>
          <t>TSLA US 09/15/23 P330</t>
        </is>
      </c>
      <c r="C1890" t="inlineStr">
        <is>
          <t>2023-09-15</t>
        </is>
      </c>
      <c r="D1890" t="n">
        <v>330</v>
      </c>
      <c r="E1890" t="inlineStr">
        <is>
          <t>BBG01GZR8XH6</t>
        </is>
      </c>
    </row>
    <row r="1891">
      <c r="A1891" t="inlineStr">
        <is>
          <t>BBG015903897 Equity</t>
        </is>
      </c>
      <c r="B1891" t="inlineStr">
        <is>
          <t>TSLA US 09/15/23 P333.33</t>
        </is>
      </c>
      <c r="C1891" t="inlineStr">
        <is>
          <t>2023-09-15</t>
        </is>
      </c>
      <c r="D1891" t="n">
        <v>333.33</v>
      </c>
      <c r="E1891" t="inlineStr">
        <is>
          <t>BBG015903897</t>
        </is>
      </c>
    </row>
    <row r="1892">
      <c r="A1892" t="inlineStr">
        <is>
          <t>BBG01H8N2875 Equity</t>
        </is>
      </c>
      <c r="B1892" t="inlineStr">
        <is>
          <t>TSLA US 09/15/23 P335</t>
        </is>
      </c>
      <c r="C1892" t="inlineStr">
        <is>
          <t>2023-09-15</t>
        </is>
      </c>
      <c r="D1892" t="n">
        <v>335</v>
      </c>
      <c r="E1892" t="inlineStr">
        <is>
          <t>BBG01H8N2875</t>
        </is>
      </c>
    </row>
    <row r="1893">
      <c r="A1893" t="inlineStr">
        <is>
          <t>BBG017FXMQ20 Equity</t>
        </is>
      </c>
      <c r="B1893" t="inlineStr">
        <is>
          <t>TSLA US 09/15/23 P340</t>
        </is>
      </c>
      <c r="C1893" t="inlineStr">
        <is>
          <t>2023-09-15</t>
        </is>
      </c>
      <c r="D1893" t="n">
        <v>340</v>
      </c>
      <c r="E1893" t="inlineStr">
        <is>
          <t>BBG017FXMQ20</t>
        </is>
      </c>
    </row>
    <row r="1894">
      <c r="A1894" t="inlineStr">
        <is>
          <t>BBG0159039L1 Equity</t>
        </is>
      </c>
      <c r="B1894" t="inlineStr">
        <is>
          <t>TSLA US 09/15/23 P341.67</t>
        </is>
      </c>
      <c r="C1894" t="inlineStr">
        <is>
          <t>2023-09-15</t>
        </is>
      </c>
      <c r="D1894" t="n">
        <v>341.67</v>
      </c>
      <c r="E1894" t="inlineStr">
        <is>
          <t>BBG0159039L1</t>
        </is>
      </c>
    </row>
    <row r="1895">
      <c r="A1895" t="inlineStr">
        <is>
          <t>BBG01H8N29B8 Equity</t>
        </is>
      </c>
      <c r="B1895" t="inlineStr">
        <is>
          <t>TSLA US 09/15/23 P345</t>
        </is>
      </c>
      <c r="C1895" t="inlineStr">
        <is>
          <t>2023-09-15</t>
        </is>
      </c>
      <c r="D1895" t="n">
        <v>345</v>
      </c>
      <c r="E1895" t="inlineStr">
        <is>
          <t>BBG01H8N29B8</t>
        </is>
      </c>
    </row>
    <row r="1896">
      <c r="A1896" t="inlineStr">
        <is>
          <t>BBG017FXMR73 Equity</t>
        </is>
      </c>
      <c r="B1896" t="inlineStr">
        <is>
          <t>TSLA US 09/15/23 P346.67</t>
        </is>
      </c>
      <c r="C1896" t="inlineStr">
        <is>
          <t>2023-09-15</t>
        </is>
      </c>
      <c r="D1896" t="n">
        <v>346.67</v>
      </c>
      <c r="E1896" t="inlineStr">
        <is>
          <t>BBG017FXMR73</t>
        </is>
      </c>
    </row>
    <row r="1897">
      <c r="A1897" t="inlineStr">
        <is>
          <t>BBG015903BP2 Equity</t>
        </is>
      </c>
      <c r="B1897" t="inlineStr">
        <is>
          <t>TSLA US 09/15/23 P350</t>
        </is>
      </c>
      <c r="C1897" t="inlineStr">
        <is>
          <t>2023-09-15</t>
        </is>
      </c>
      <c r="D1897" t="n">
        <v>350</v>
      </c>
      <c r="E1897" t="inlineStr">
        <is>
          <t>BBG015903BP2</t>
        </is>
      </c>
    </row>
    <row r="1898">
      <c r="A1898" t="inlineStr">
        <is>
          <t>BBG017FXMSB6 Equity</t>
        </is>
      </c>
      <c r="B1898" t="inlineStr">
        <is>
          <t>TSLA US 09/15/23 P353.33</t>
        </is>
      </c>
      <c r="C1898" t="inlineStr">
        <is>
          <t>2023-09-15</t>
        </is>
      </c>
      <c r="D1898" t="n">
        <v>353.33</v>
      </c>
      <c r="E1898" t="inlineStr">
        <is>
          <t>BBG017FXMSB6</t>
        </is>
      </c>
    </row>
    <row r="1899">
      <c r="A1899" t="inlineStr">
        <is>
          <t>BBG01H8N2BF9 Equity</t>
        </is>
      </c>
      <c r="B1899" t="inlineStr">
        <is>
          <t>TSLA US 09/15/23 P355</t>
        </is>
      </c>
      <c r="C1899" t="inlineStr">
        <is>
          <t>2023-09-15</t>
        </is>
      </c>
      <c r="D1899" t="n">
        <v>355</v>
      </c>
      <c r="E1899" t="inlineStr">
        <is>
          <t>BBG01H8N2BF9</t>
        </is>
      </c>
    </row>
    <row r="1900">
      <c r="A1900" t="inlineStr">
        <is>
          <t>BBG015903CS7 Equity</t>
        </is>
      </c>
      <c r="B1900" t="inlineStr">
        <is>
          <t>TSLA US 09/15/23 P358.33</t>
        </is>
      </c>
      <c r="C1900" t="inlineStr">
        <is>
          <t>2023-09-15</t>
        </is>
      </c>
      <c r="D1900" t="n">
        <v>358.33</v>
      </c>
      <c r="E1900" t="inlineStr">
        <is>
          <t>BBG015903CS7</t>
        </is>
      </c>
    </row>
    <row r="1901">
      <c r="A1901" t="inlineStr">
        <is>
          <t>BBG017FXMTF0 Equity</t>
        </is>
      </c>
      <c r="B1901" t="inlineStr">
        <is>
          <t>TSLA US 09/15/23 P360</t>
        </is>
      </c>
      <c r="C1901" t="inlineStr">
        <is>
          <t>2023-09-15</t>
        </is>
      </c>
      <c r="D1901" t="n">
        <v>360</v>
      </c>
      <c r="E1901" t="inlineStr">
        <is>
          <t>BBG017FXMTF0</t>
        </is>
      </c>
    </row>
    <row r="1902">
      <c r="A1902" t="inlineStr">
        <is>
          <t>BBG01FQ9LQ42 Equity</t>
        </is>
      </c>
      <c r="B1902" t="inlineStr">
        <is>
          <t>TSLA US 10/20/23 P205</t>
        </is>
      </c>
      <c r="C1902" t="inlineStr">
        <is>
          <t>2023-10-20</t>
        </is>
      </c>
      <c r="D1902" t="n">
        <v>205</v>
      </c>
      <c r="E1902" t="inlineStr">
        <is>
          <t>BBG01FQ9LQ42</t>
        </is>
      </c>
    </row>
    <row r="1903">
      <c r="A1903" t="inlineStr">
        <is>
          <t>BBG01FQ9LR86 Equity</t>
        </is>
      </c>
      <c r="B1903" t="inlineStr">
        <is>
          <t>TSLA US 10/20/23 P210</t>
        </is>
      </c>
      <c r="C1903" t="inlineStr">
        <is>
          <t>2023-10-20</t>
        </is>
      </c>
      <c r="D1903" t="n">
        <v>210</v>
      </c>
      <c r="E1903" t="inlineStr">
        <is>
          <t>BBG01FQ9LR86</t>
        </is>
      </c>
    </row>
    <row r="1904">
      <c r="A1904" t="inlineStr">
        <is>
          <t>BBG01FQ9LSC9 Equity</t>
        </is>
      </c>
      <c r="B1904" t="inlineStr">
        <is>
          <t>TSLA US 10/20/23 P215</t>
        </is>
      </c>
      <c r="C1904" t="inlineStr">
        <is>
          <t>2023-10-20</t>
        </is>
      </c>
      <c r="D1904" t="n">
        <v>215</v>
      </c>
      <c r="E1904" t="inlineStr">
        <is>
          <t>BBG01FQ9LSC9</t>
        </is>
      </c>
    </row>
    <row r="1905">
      <c r="A1905" t="inlineStr">
        <is>
          <t>BBG01FQ9LTG3 Equity</t>
        </is>
      </c>
      <c r="B1905" t="inlineStr">
        <is>
          <t>TSLA US 10/20/23 P220</t>
        </is>
      </c>
      <c r="C1905" t="inlineStr">
        <is>
          <t>2023-10-20</t>
        </is>
      </c>
      <c r="D1905" t="n">
        <v>220</v>
      </c>
      <c r="E1905" t="inlineStr">
        <is>
          <t>BBG01FQ9LTG3</t>
        </is>
      </c>
    </row>
    <row r="1906">
      <c r="A1906" t="inlineStr">
        <is>
          <t>BBG01FQ9LVL2 Equity</t>
        </is>
      </c>
      <c r="B1906" t="inlineStr">
        <is>
          <t>TSLA US 10/20/23 P225</t>
        </is>
      </c>
      <c r="C1906" t="inlineStr">
        <is>
          <t>2023-10-20</t>
        </is>
      </c>
      <c r="D1906" t="n">
        <v>225</v>
      </c>
      <c r="E1906" t="inlineStr">
        <is>
          <t>BBG01FQ9LVL2</t>
        </is>
      </c>
    </row>
    <row r="1907">
      <c r="A1907" t="inlineStr">
        <is>
          <t>BBG01FQ9LWP6 Equity</t>
        </is>
      </c>
      <c r="B1907" t="inlineStr">
        <is>
          <t>TSLA US 10/20/23 P230</t>
        </is>
      </c>
      <c r="C1907" t="inlineStr">
        <is>
          <t>2023-10-20</t>
        </is>
      </c>
      <c r="D1907" t="n">
        <v>230</v>
      </c>
      <c r="E1907" t="inlineStr">
        <is>
          <t>BBG01FQ9LWP6</t>
        </is>
      </c>
    </row>
    <row r="1908">
      <c r="A1908" t="inlineStr">
        <is>
          <t>BBG01FQ9LXS1 Equity</t>
        </is>
      </c>
      <c r="B1908" t="inlineStr">
        <is>
          <t>TSLA US 10/20/23 P235</t>
        </is>
      </c>
      <c r="C1908" t="inlineStr">
        <is>
          <t>2023-10-20</t>
        </is>
      </c>
      <c r="D1908" t="n">
        <v>235</v>
      </c>
      <c r="E1908" t="inlineStr">
        <is>
          <t>BBG01FQ9LXS1</t>
        </is>
      </c>
    </row>
    <row r="1909">
      <c r="A1909" t="inlineStr">
        <is>
          <t>BBG01FQ9LYX3 Equity</t>
        </is>
      </c>
      <c r="B1909" t="inlineStr">
        <is>
          <t>TSLA US 10/20/23 P240</t>
        </is>
      </c>
      <c r="C1909" t="inlineStr">
        <is>
          <t>2023-10-20</t>
        </is>
      </c>
      <c r="D1909" t="n">
        <v>240</v>
      </c>
      <c r="E1909" t="inlineStr">
        <is>
          <t>BBG01FQ9LYX3</t>
        </is>
      </c>
    </row>
    <row r="1910">
      <c r="A1910" t="inlineStr">
        <is>
          <t>BBG01FQ9M002 Equity</t>
        </is>
      </c>
      <c r="B1910" t="inlineStr">
        <is>
          <t>TSLA US 10/20/23 P245</t>
        </is>
      </c>
      <c r="C1910" t="inlineStr">
        <is>
          <t>2023-10-20</t>
        </is>
      </c>
      <c r="D1910" t="n">
        <v>245</v>
      </c>
      <c r="E1910" t="inlineStr">
        <is>
          <t>BBG01FQ9M002</t>
        </is>
      </c>
    </row>
    <row r="1911">
      <c r="A1911" t="inlineStr">
        <is>
          <t>BBG01JF6SDD4 Equity</t>
        </is>
      </c>
      <c r="B1911" t="inlineStr">
        <is>
          <t>TSLA US 10/20/23 P247.5</t>
        </is>
      </c>
      <c r="C1911" t="inlineStr">
        <is>
          <t>2023-10-20</t>
        </is>
      </c>
      <c r="D1911" t="n">
        <v>247.5</v>
      </c>
      <c r="E1911" t="inlineStr">
        <is>
          <t>BBG01JF6SDD4</t>
        </is>
      </c>
    </row>
    <row r="1912">
      <c r="A1912" t="inlineStr">
        <is>
          <t>BBG01FQ9M137 Equity</t>
        </is>
      </c>
      <c r="B1912" t="inlineStr">
        <is>
          <t>TSLA US 10/20/23 P250</t>
        </is>
      </c>
      <c r="C1912" t="inlineStr">
        <is>
          <t>2023-10-20</t>
        </is>
      </c>
      <c r="D1912" t="n">
        <v>250</v>
      </c>
      <c r="E1912" t="inlineStr">
        <is>
          <t>BBG01FQ9M137</t>
        </is>
      </c>
    </row>
    <row r="1913">
      <c r="A1913" t="inlineStr">
        <is>
          <t>BBG01JF6SFJ3 Equity</t>
        </is>
      </c>
      <c r="B1913" t="inlineStr">
        <is>
          <t>TSLA US 10/20/23 P252.5</t>
        </is>
      </c>
      <c r="C1913" t="inlineStr">
        <is>
          <t>2023-10-20</t>
        </is>
      </c>
      <c r="D1913" t="n">
        <v>252.5</v>
      </c>
      <c r="E1913" t="inlineStr">
        <is>
          <t>BBG01JF6SFJ3</t>
        </is>
      </c>
    </row>
    <row r="1914">
      <c r="A1914" t="inlineStr">
        <is>
          <t>BBG01FQ9M271 Equity</t>
        </is>
      </c>
      <c r="B1914" t="inlineStr">
        <is>
          <t>TSLA US 10/20/23 P255</t>
        </is>
      </c>
      <c r="C1914" t="inlineStr">
        <is>
          <t>2023-10-20</t>
        </is>
      </c>
      <c r="D1914" t="n">
        <v>255</v>
      </c>
      <c r="E1914" t="inlineStr">
        <is>
          <t>BBG01FQ9M271</t>
        </is>
      </c>
    </row>
    <row r="1915">
      <c r="A1915" t="inlineStr">
        <is>
          <t>BBG01JF6SGM7 Equity</t>
        </is>
      </c>
      <c r="B1915" t="inlineStr">
        <is>
          <t>TSLA US 10/20/23 P257.5</t>
        </is>
      </c>
      <c r="C1915" t="inlineStr">
        <is>
          <t>2023-10-20</t>
        </is>
      </c>
      <c r="D1915" t="n">
        <v>257.5</v>
      </c>
      <c r="E1915" t="inlineStr">
        <is>
          <t>BBG01JF6SGM7</t>
        </is>
      </c>
    </row>
    <row r="1916">
      <c r="A1916" t="inlineStr">
        <is>
          <t>BBG01FQ9M3B4 Equity</t>
        </is>
      </c>
      <c r="B1916" t="inlineStr">
        <is>
          <t>TSLA US 10/20/23 P260</t>
        </is>
      </c>
      <c r="C1916" t="inlineStr">
        <is>
          <t>2023-10-20</t>
        </is>
      </c>
      <c r="D1916" t="n">
        <v>260</v>
      </c>
      <c r="E1916" t="inlineStr">
        <is>
          <t>BBG01FQ9M3B4</t>
        </is>
      </c>
    </row>
    <row r="1917">
      <c r="A1917" t="inlineStr">
        <is>
          <t>BBG01JF6SHR0 Equity</t>
        </is>
      </c>
      <c r="B1917" t="inlineStr">
        <is>
          <t>TSLA US 10/20/23 P262.5</t>
        </is>
      </c>
      <c r="C1917" t="inlineStr">
        <is>
          <t>2023-10-20</t>
        </is>
      </c>
      <c r="D1917" t="n">
        <v>262.5</v>
      </c>
      <c r="E1917" t="inlineStr">
        <is>
          <t>BBG01JF6SHR0</t>
        </is>
      </c>
    </row>
    <row r="1918">
      <c r="A1918" t="inlineStr">
        <is>
          <t>BBG01FQ9M4F8 Equity</t>
        </is>
      </c>
      <c r="B1918" t="inlineStr">
        <is>
          <t>TSLA US 10/20/23 P265</t>
        </is>
      </c>
      <c r="C1918" t="inlineStr">
        <is>
          <t>2023-10-20</t>
        </is>
      </c>
      <c r="D1918" t="n">
        <v>265</v>
      </c>
      <c r="E1918" t="inlineStr">
        <is>
          <t>BBG01FQ9M4F8</t>
        </is>
      </c>
    </row>
    <row r="1919">
      <c r="A1919" t="inlineStr">
        <is>
          <t>BBG01JF6SJV1 Equity</t>
        </is>
      </c>
      <c r="B1919" t="inlineStr">
        <is>
          <t>TSLA US 10/20/23 P267.5</t>
        </is>
      </c>
      <c r="C1919" t="inlineStr">
        <is>
          <t>2023-10-20</t>
        </is>
      </c>
      <c r="D1919" t="n">
        <v>267.5</v>
      </c>
      <c r="E1919" t="inlineStr">
        <is>
          <t>BBG01JF6SJV1</t>
        </is>
      </c>
    </row>
    <row r="1920">
      <c r="A1920" t="inlineStr">
        <is>
          <t>BBG01FQ9M5K9 Equity</t>
        </is>
      </c>
      <c r="B1920" t="inlineStr">
        <is>
          <t>TSLA US 10/20/23 P270</t>
        </is>
      </c>
      <c r="C1920" t="inlineStr">
        <is>
          <t>2023-10-20</t>
        </is>
      </c>
      <c r="D1920" t="n">
        <v>270</v>
      </c>
      <c r="E1920" t="inlineStr">
        <is>
          <t>BBG01FQ9M5K9</t>
        </is>
      </c>
    </row>
    <row r="1921">
      <c r="A1921" t="inlineStr">
        <is>
          <t>BBG01JF6SKY5 Equity</t>
        </is>
      </c>
      <c r="B1921" t="inlineStr">
        <is>
          <t>TSLA US 10/20/23 P272.5</t>
        </is>
      </c>
      <c r="C1921" t="inlineStr">
        <is>
          <t>2023-10-20</t>
        </is>
      </c>
      <c r="D1921" t="n">
        <v>272.5</v>
      </c>
      <c r="E1921" t="inlineStr">
        <is>
          <t>BBG01JF6SKY5</t>
        </is>
      </c>
    </row>
    <row r="1922">
      <c r="A1922" t="inlineStr">
        <is>
          <t>BBG01FQ9M6N4 Equity</t>
        </is>
      </c>
      <c r="B1922" t="inlineStr">
        <is>
          <t>TSLA US 10/20/23 P275</t>
        </is>
      </c>
      <c r="C1922" t="inlineStr">
        <is>
          <t>2023-10-20</t>
        </is>
      </c>
      <c r="D1922" t="n">
        <v>275</v>
      </c>
      <c r="E1922" t="inlineStr">
        <is>
          <t>BBG01FQ9M6N4</t>
        </is>
      </c>
    </row>
    <row r="1923">
      <c r="A1923" t="inlineStr">
        <is>
          <t>BBG01JF6SM26 Equity</t>
        </is>
      </c>
      <c r="B1923" t="inlineStr">
        <is>
          <t>TSLA US 10/20/23 P277.5</t>
        </is>
      </c>
      <c r="C1923" t="inlineStr">
        <is>
          <t>2023-10-20</t>
        </is>
      </c>
      <c r="D1923" t="n">
        <v>277.5</v>
      </c>
      <c r="E1923" t="inlineStr">
        <is>
          <t>BBG01JF6SM26</t>
        </is>
      </c>
    </row>
    <row r="1924">
      <c r="A1924" t="inlineStr">
        <is>
          <t>BBG01FQ9M7R8 Equity</t>
        </is>
      </c>
      <c r="B1924" t="inlineStr">
        <is>
          <t>TSLA US 10/20/23 P280</t>
        </is>
      </c>
      <c r="C1924" t="inlineStr">
        <is>
          <t>2023-10-20</t>
        </is>
      </c>
      <c r="D1924" t="n">
        <v>280</v>
      </c>
      <c r="E1924" t="inlineStr">
        <is>
          <t>BBG01FQ9M7R8</t>
        </is>
      </c>
    </row>
    <row r="1925">
      <c r="A1925" t="inlineStr">
        <is>
          <t>BBG01JF6SN51 Equity</t>
        </is>
      </c>
      <c r="B1925" t="inlineStr">
        <is>
          <t>TSLA US 10/20/23 P282.5</t>
        </is>
      </c>
      <c r="C1925" t="inlineStr">
        <is>
          <t>2023-10-20</t>
        </is>
      </c>
      <c r="D1925" t="n">
        <v>282.5</v>
      </c>
      <c r="E1925" t="inlineStr">
        <is>
          <t>BBG01JF6SN51</t>
        </is>
      </c>
    </row>
    <row r="1926">
      <c r="A1926" t="inlineStr">
        <is>
          <t>BBG01FQ9M8W0 Equity</t>
        </is>
      </c>
      <c r="B1926" t="inlineStr">
        <is>
          <t>TSLA US 10/20/23 P285</t>
        </is>
      </c>
      <c r="C1926" t="inlineStr">
        <is>
          <t>2023-10-20</t>
        </is>
      </c>
      <c r="D1926" t="n">
        <v>285</v>
      </c>
      <c r="E1926" t="inlineStr">
        <is>
          <t>BBG01FQ9M8W0</t>
        </is>
      </c>
    </row>
    <row r="1927">
      <c r="A1927" t="inlineStr">
        <is>
          <t>BBG01JF6SP83 Equity</t>
        </is>
      </c>
      <c r="B1927" t="inlineStr">
        <is>
          <t>TSLA US 10/20/23 P287.5</t>
        </is>
      </c>
      <c r="C1927" t="inlineStr">
        <is>
          <t>2023-10-20</t>
        </is>
      </c>
      <c r="D1927" t="n">
        <v>287.5</v>
      </c>
      <c r="E1927" t="inlineStr">
        <is>
          <t>BBG01JF6SP83</t>
        </is>
      </c>
    </row>
    <row r="1928">
      <c r="A1928" t="inlineStr">
        <is>
          <t>BBG01FQ9M9Z5 Equity</t>
        </is>
      </c>
      <c r="B1928" t="inlineStr">
        <is>
          <t>TSLA US 10/20/23 P290</t>
        </is>
      </c>
      <c r="C1928" t="inlineStr">
        <is>
          <t>2023-10-20</t>
        </is>
      </c>
      <c r="D1928" t="n">
        <v>290</v>
      </c>
      <c r="E1928" t="inlineStr">
        <is>
          <t>BBG01FQ9M9Z5</t>
        </is>
      </c>
    </row>
    <row r="1929">
      <c r="A1929" t="inlineStr">
        <is>
          <t>BBG01JF6SQD5 Equity</t>
        </is>
      </c>
      <c r="B1929" t="inlineStr">
        <is>
          <t>TSLA US 10/20/23 P292.5</t>
        </is>
      </c>
      <c r="C1929" t="inlineStr">
        <is>
          <t>2023-10-20</t>
        </is>
      </c>
      <c r="D1929" t="n">
        <v>292.5</v>
      </c>
      <c r="E1929" t="inlineStr">
        <is>
          <t>BBG01JF6SQD5</t>
        </is>
      </c>
    </row>
    <row r="1930">
      <c r="A1930" t="inlineStr">
        <is>
          <t>BBG01FQ9MC24 Equity</t>
        </is>
      </c>
      <c r="B1930" t="inlineStr">
        <is>
          <t>TSLA US 10/20/23 P295</t>
        </is>
      </c>
      <c r="C1930" t="inlineStr">
        <is>
          <t>2023-10-20</t>
        </is>
      </c>
      <c r="D1930" t="n">
        <v>295</v>
      </c>
      <c r="E1930" t="inlineStr">
        <is>
          <t>BBG01FQ9MC24</t>
        </is>
      </c>
    </row>
    <row r="1931">
      <c r="A1931" t="inlineStr">
        <is>
          <t>BBG01JF6SRH9 Equity</t>
        </is>
      </c>
      <c r="B1931" t="inlineStr">
        <is>
          <t>TSLA US 10/20/23 P297.5</t>
        </is>
      </c>
      <c r="C1931" t="inlineStr">
        <is>
          <t>2023-10-20</t>
        </is>
      </c>
      <c r="D1931" t="n">
        <v>297.5</v>
      </c>
      <c r="E1931" t="inlineStr">
        <is>
          <t>BBG01JF6SRH9</t>
        </is>
      </c>
    </row>
    <row r="1932">
      <c r="A1932" t="inlineStr">
        <is>
          <t>BBG01FQ9MD68 Equity</t>
        </is>
      </c>
      <c r="B1932" t="inlineStr">
        <is>
          <t>TSLA US 10/20/23 P300</t>
        </is>
      </c>
      <c r="C1932" t="inlineStr">
        <is>
          <t>2023-10-20</t>
        </is>
      </c>
      <c r="D1932" t="n">
        <v>300</v>
      </c>
      <c r="E1932" t="inlineStr">
        <is>
          <t>BBG01FQ9MD68</t>
        </is>
      </c>
    </row>
    <row r="1933">
      <c r="A1933" t="inlineStr">
        <is>
          <t>BBG01JF6SSL2 Equity</t>
        </is>
      </c>
      <c r="B1933" t="inlineStr">
        <is>
          <t>TSLA US 10/20/23 P302.5</t>
        </is>
      </c>
      <c r="C1933" t="inlineStr">
        <is>
          <t>2023-10-20</t>
        </is>
      </c>
      <c r="D1933" t="n">
        <v>302.5</v>
      </c>
      <c r="E1933" t="inlineStr">
        <is>
          <t>BBG01JF6SSL2</t>
        </is>
      </c>
    </row>
    <row r="1934">
      <c r="A1934" t="inlineStr">
        <is>
          <t>BBG01FQ9MF90 Equity</t>
        </is>
      </c>
      <c r="B1934" t="inlineStr">
        <is>
          <t>TSLA US 10/20/23 P305</t>
        </is>
      </c>
      <c r="C1934" t="inlineStr">
        <is>
          <t>2023-10-20</t>
        </is>
      </c>
      <c r="D1934" t="n">
        <v>305</v>
      </c>
      <c r="E1934" t="inlineStr">
        <is>
          <t>BBG01FQ9MF90</t>
        </is>
      </c>
    </row>
    <row r="1935">
      <c r="A1935" t="inlineStr">
        <is>
          <t>BBG01FQ9MGD3 Equity</t>
        </is>
      </c>
      <c r="B1935" t="inlineStr">
        <is>
          <t>TSLA US 10/20/23 P310</t>
        </is>
      </c>
      <c r="C1935" t="inlineStr">
        <is>
          <t>2023-10-20</t>
        </is>
      </c>
      <c r="D1935" t="n">
        <v>310</v>
      </c>
      <c r="E1935" t="inlineStr">
        <is>
          <t>BBG01FQ9MGD3</t>
        </is>
      </c>
    </row>
    <row r="1936">
      <c r="A1936" t="inlineStr">
        <is>
          <t>BBG01FQ9MHK3 Equity</t>
        </is>
      </c>
      <c r="B1936" t="inlineStr">
        <is>
          <t>TSLA US 10/20/23 P315</t>
        </is>
      </c>
      <c r="C1936" t="inlineStr">
        <is>
          <t>2023-10-20</t>
        </is>
      </c>
      <c r="D1936" t="n">
        <v>315</v>
      </c>
      <c r="E1936" t="inlineStr">
        <is>
          <t>BBG01FQ9MHK3</t>
        </is>
      </c>
    </row>
    <row r="1937">
      <c r="A1937" t="inlineStr">
        <is>
          <t>BBG01FQ9MJN6 Equity</t>
        </is>
      </c>
      <c r="B1937" t="inlineStr">
        <is>
          <t>TSLA US 10/20/23 P320</t>
        </is>
      </c>
      <c r="C1937" t="inlineStr">
        <is>
          <t>2023-10-20</t>
        </is>
      </c>
      <c r="D1937" t="n">
        <v>320</v>
      </c>
      <c r="E1937" t="inlineStr">
        <is>
          <t>BBG01FQ9MJN6</t>
        </is>
      </c>
    </row>
    <row r="1938">
      <c r="A1938" t="inlineStr">
        <is>
          <t>BBG01FQ9MKR9 Equity</t>
        </is>
      </c>
      <c r="B1938" t="inlineStr">
        <is>
          <t>TSLA US 10/20/23 P325</t>
        </is>
      </c>
      <c r="C1938" t="inlineStr">
        <is>
          <t>2023-10-20</t>
        </is>
      </c>
      <c r="D1938" t="n">
        <v>325</v>
      </c>
      <c r="E1938" t="inlineStr">
        <is>
          <t>BBG01FQ9MKR9</t>
        </is>
      </c>
    </row>
    <row r="1939">
      <c r="A1939" t="inlineStr">
        <is>
          <t>BBG01FQ9MLW1 Equity</t>
        </is>
      </c>
      <c r="B1939" t="inlineStr">
        <is>
          <t>TSLA US 10/20/23 P330</t>
        </is>
      </c>
      <c r="C1939" t="inlineStr">
        <is>
          <t>2023-10-20</t>
        </is>
      </c>
      <c r="D1939" t="n">
        <v>330</v>
      </c>
      <c r="E1939" t="inlineStr">
        <is>
          <t>BBG01FQ9MLW1</t>
        </is>
      </c>
    </row>
    <row r="1940">
      <c r="A1940" t="inlineStr">
        <is>
          <t>BBG01FQ9MMZ6 Equity</t>
        </is>
      </c>
      <c r="B1940" t="inlineStr">
        <is>
          <t>TSLA US 10/20/23 P335</t>
        </is>
      </c>
      <c r="C1940" t="inlineStr">
        <is>
          <t>2023-10-20</t>
        </is>
      </c>
      <c r="D1940" t="n">
        <v>335</v>
      </c>
      <c r="E1940" t="inlineStr">
        <is>
          <t>BBG01FQ9MMZ6</t>
        </is>
      </c>
    </row>
    <row r="1941">
      <c r="A1941" t="inlineStr">
        <is>
          <t>BBG01FQ9MP25 Equity</t>
        </is>
      </c>
      <c r="B1941" t="inlineStr">
        <is>
          <t>TSLA US 10/20/23 P340</t>
        </is>
      </c>
      <c r="C1941" t="inlineStr">
        <is>
          <t>2023-10-20</t>
        </is>
      </c>
      <c r="D1941" t="n">
        <v>340</v>
      </c>
      <c r="E1941" t="inlineStr">
        <is>
          <t>BBG01FQ9MP25</t>
        </is>
      </c>
    </row>
    <row r="1942">
      <c r="A1942" t="inlineStr">
        <is>
          <t>BBG01FQ9MQ69 Equity</t>
        </is>
      </c>
      <c r="B1942" t="inlineStr">
        <is>
          <t>TSLA US 10/20/23 P345</t>
        </is>
      </c>
      <c r="C1942" t="inlineStr">
        <is>
          <t>2023-10-20</t>
        </is>
      </c>
      <c r="D1942" t="n">
        <v>345</v>
      </c>
      <c r="E1942" t="inlineStr">
        <is>
          <t>BBG01FQ9MQ69</t>
        </is>
      </c>
    </row>
    <row r="1943">
      <c r="A1943" t="inlineStr">
        <is>
          <t>BBG01FQ9MR94 Equity</t>
        </is>
      </c>
      <c r="B1943" t="inlineStr">
        <is>
          <t>TSLA US 10/20/23 P350</t>
        </is>
      </c>
      <c r="C1943" t="inlineStr">
        <is>
          <t>2023-10-20</t>
        </is>
      </c>
      <c r="D1943" t="n">
        <v>350</v>
      </c>
      <c r="E1943" t="inlineStr">
        <is>
          <t>BBG01FQ9MR94</t>
        </is>
      </c>
    </row>
    <row r="1944">
      <c r="A1944" t="inlineStr">
        <is>
          <t>BBG01FQ9MSF5 Equity</t>
        </is>
      </c>
      <c r="B1944" t="inlineStr">
        <is>
          <t>TSLA US 10/20/23 P355</t>
        </is>
      </c>
      <c r="C1944" t="inlineStr">
        <is>
          <t>2023-10-20</t>
        </is>
      </c>
      <c r="D1944" t="n">
        <v>355</v>
      </c>
      <c r="E1944" t="inlineStr">
        <is>
          <t>BBG01FQ9MSF5</t>
        </is>
      </c>
    </row>
    <row r="1945">
      <c r="A1945" t="inlineStr">
        <is>
          <t>BBG01FQ9MTJ9 Equity</t>
        </is>
      </c>
      <c r="B1945" t="inlineStr">
        <is>
          <t>TSLA US 10/20/23 P360</t>
        </is>
      </c>
      <c r="C1945" t="inlineStr">
        <is>
          <t>2023-10-20</t>
        </is>
      </c>
      <c r="D1945" t="n">
        <v>360</v>
      </c>
      <c r="E1945" t="inlineStr">
        <is>
          <t>BBG01FQ9MTJ9</t>
        </is>
      </c>
    </row>
    <row r="1946">
      <c r="A1946" t="inlineStr">
        <is>
          <t>BBG01FN9DM25 Equity</t>
        </is>
      </c>
      <c r="B1946" t="inlineStr">
        <is>
          <t>TSLA US 11/17/23 P205</t>
        </is>
      </c>
      <c r="C1946" t="inlineStr">
        <is>
          <t>2023-11-17</t>
        </is>
      </c>
      <c r="D1946" t="n">
        <v>205</v>
      </c>
      <c r="E1946" t="inlineStr">
        <is>
          <t>BBG01FN9DM25</t>
        </is>
      </c>
    </row>
    <row r="1947">
      <c r="A1947" t="inlineStr">
        <is>
          <t>BBG01FN9DN50 Equity</t>
        </is>
      </c>
      <c r="B1947" t="inlineStr">
        <is>
          <t>TSLA US 11/17/23 P210</t>
        </is>
      </c>
      <c r="C1947" t="inlineStr">
        <is>
          <t>2023-11-17</t>
        </is>
      </c>
      <c r="D1947" t="n">
        <v>210</v>
      </c>
      <c r="E1947" t="inlineStr">
        <is>
          <t>BBG01FN9DN50</t>
        </is>
      </c>
    </row>
    <row r="1948">
      <c r="A1948" t="inlineStr">
        <is>
          <t>BBG01FN9DP82 Equity</t>
        </is>
      </c>
      <c r="B1948" t="inlineStr">
        <is>
          <t>TSLA US 11/17/23 P215</t>
        </is>
      </c>
      <c r="C1948" t="inlineStr">
        <is>
          <t>2023-11-17</t>
        </is>
      </c>
      <c r="D1948" t="n">
        <v>215</v>
      </c>
      <c r="E1948" t="inlineStr">
        <is>
          <t>BBG01FN9DP82</t>
        </is>
      </c>
    </row>
    <row r="1949">
      <c r="A1949" t="inlineStr">
        <is>
          <t>BBG01FN9DQD4 Equity</t>
        </is>
      </c>
      <c r="B1949" t="inlineStr">
        <is>
          <t>TSLA US 11/17/23 P220</t>
        </is>
      </c>
      <c r="C1949" t="inlineStr">
        <is>
          <t>2023-11-17</t>
        </is>
      </c>
      <c r="D1949" t="n">
        <v>220</v>
      </c>
      <c r="E1949" t="inlineStr">
        <is>
          <t>BBG01FN9DQD4</t>
        </is>
      </c>
    </row>
    <row r="1950">
      <c r="A1950" t="inlineStr">
        <is>
          <t>BBG01FN9DRH8 Equity</t>
        </is>
      </c>
      <c r="B1950" t="inlineStr">
        <is>
          <t>TSLA US 11/17/23 P225</t>
        </is>
      </c>
      <c r="C1950" t="inlineStr">
        <is>
          <t>2023-11-17</t>
        </is>
      </c>
      <c r="D1950" t="n">
        <v>225</v>
      </c>
      <c r="E1950" t="inlineStr">
        <is>
          <t>BBG01FN9DRH8</t>
        </is>
      </c>
    </row>
    <row r="1951">
      <c r="A1951" t="inlineStr">
        <is>
          <t>BBG01FN9DSL1 Equity</t>
        </is>
      </c>
      <c r="B1951" t="inlineStr">
        <is>
          <t>TSLA US 11/17/23 P230</t>
        </is>
      </c>
      <c r="C1951" t="inlineStr">
        <is>
          <t>2023-11-17</t>
        </is>
      </c>
      <c r="D1951" t="n">
        <v>230</v>
      </c>
      <c r="E1951" t="inlineStr">
        <is>
          <t>BBG01FN9DSL1</t>
        </is>
      </c>
    </row>
    <row r="1952">
      <c r="A1952" t="inlineStr">
        <is>
          <t>BBG01FN9DTQ4 Equity</t>
        </is>
      </c>
      <c r="B1952" t="inlineStr">
        <is>
          <t>TSLA US 11/17/23 P235</t>
        </is>
      </c>
      <c r="C1952" t="inlineStr">
        <is>
          <t>2023-11-17</t>
        </is>
      </c>
      <c r="D1952" t="n">
        <v>235</v>
      </c>
      <c r="E1952" t="inlineStr">
        <is>
          <t>BBG01FN9DTQ4</t>
        </is>
      </c>
    </row>
    <row r="1953">
      <c r="A1953" t="inlineStr">
        <is>
          <t>BBG01FN9DVT6 Equity</t>
        </is>
      </c>
      <c r="B1953" t="inlineStr">
        <is>
          <t>TSLA US 11/17/23 P240</t>
        </is>
      </c>
      <c r="C1953" t="inlineStr">
        <is>
          <t>2023-11-17</t>
        </is>
      </c>
      <c r="D1953" t="n">
        <v>240</v>
      </c>
      <c r="E1953" t="inlineStr">
        <is>
          <t>BBG01FN9DVT6</t>
        </is>
      </c>
    </row>
    <row r="1954">
      <c r="A1954" t="inlineStr">
        <is>
          <t>BBG01FN9DWX9 Equity</t>
        </is>
      </c>
      <c r="B1954" t="inlineStr">
        <is>
          <t>TSLA US 11/17/23 P245</t>
        </is>
      </c>
      <c r="C1954" t="inlineStr">
        <is>
          <t>2023-11-17</t>
        </is>
      </c>
      <c r="D1954" t="n">
        <v>245</v>
      </c>
      <c r="E1954" t="inlineStr">
        <is>
          <t>BBG01FN9DWX9</t>
        </is>
      </c>
    </row>
    <row r="1955">
      <c r="A1955" t="inlineStr">
        <is>
          <t>BBG01FN9DY10 Equity</t>
        </is>
      </c>
      <c r="B1955" t="inlineStr">
        <is>
          <t>TSLA US 11/17/23 P250</t>
        </is>
      </c>
      <c r="C1955" t="inlineStr">
        <is>
          <t>2023-11-17</t>
        </is>
      </c>
      <c r="D1955" t="n">
        <v>250</v>
      </c>
      <c r="E1955" t="inlineStr">
        <is>
          <t>BBG01FN9DY10</t>
        </is>
      </c>
    </row>
    <row r="1956">
      <c r="A1956" t="inlineStr">
        <is>
          <t>BBG01FN9DZ44 Equity</t>
        </is>
      </c>
      <c r="B1956" t="inlineStr">
        <is>
          <t>TSLA US 11/17/23 P255</t>
        </is>
      </c>
      <c r="C1956" t="inlineStr">
        <is>
          <t>2023-11-17</t>
        </is>
      </c>
      <c r="D1956" t="n">
        <v>255</v>
      </c>
      <c r="E1956" t="inlineStr">
        <is>
          <t>BBG01FN9DZ44</t>
        </is>
      </c>
    </row>
    <row r="1957">
      <c r="A1957" t="inlineStr">
        <is>
          <t>BBG01FN9F076 Equity</t>
        </is>
      </c>
      <c r="B1957" t="inlineStr">
        <is>
          <t>TSLA US 11/17/23 P260</t>
        </is>
      </c>
      <c r="C1957" t="inlineStr">
        <is>
          <t>2023-11-17</t>
        </is>
      </c>
      <c r="D1957" t="n">
        <v>260</v>
      </c>
      <c r="E1957" t="inlineStr">
        <is>
          <t>BBG01FN9F076</t>
        </is>
      </c>
    </row>
    <row r="1958">
      <c r="A1958" t="inlineStr">
        <is>
          <t>BBG01FN9F1C8 Equity</t>
        </is>
      </c>
      <c r="B1958" t="inlineStr">
        <is>
          <t>TSLA US 11/17/23 P265</t>
        </is>
      </c>
      <c r="C1958" t="inlineStr">
        <is>
          <t>2023-11-17</t>
        </is>
      </c>
      <c r="D1958" t="n">
        <v>265</v>
      </c>
      <c r="E1958" t="inlineStr">
        <is>
          <t>BBG01FN9F1C8</t>
        </is>
      </c>
    </row>
    <row r="1959">
      <c r="A1959" t="inlineStr">
        <is>
          <t>BBG01FN9F2G2 Equity</t>
        </is>
      </c>
      <c r="B1959" t="inlineStr">
        <is>
          <t>TSLA US 11/17/23 P270</t>
        </is>
      </c>
      <c r="C1959" t="inlineStr">
        <is>
          <t>2023-11-17</t>
        </is>
      </c>
      <c r="D1959" t="n">
        <v>270</v>
      </c>
      <c r="E1959" t="inlineStr">
        <is>
          <t>BBG01FN9F2G2</t>
        </is>
      </c>
    </row>
    <row r="1960">
      <c r="A1960" t="inlineStr">
        <is>
          <t>BBG01FN9F3L4 Equity</t>
        </is>
      </c>
      <c r="B1960" t="inlineStr">
        <is>
          <t>TSLA US 11/17/23 P275</t>
        </is>
      </c>
      <c r="C1960" t="inlineStr">
        <is>
          <t>2023-11-17</t>
        </is>
      </c>
      <c r="D1960" t="n">
        <v>275</v>
      </c>
      <c r="E1960" t="inlineStr">
        <is>
          <t>BBG01FN9F3L4</t>
        </is>
      </c>
    </row>
    <row r="1961">
      <c r="A1961" t="inlineStr">
        <is>
          <t>BBG01FN9F4P8 Equity</t>
        </is>
      </c>
      <c r="B1961" t="inlineStr">
        <is>
          <t>TSLA US 11/17/23 P280</t>
        </is>
      </c>
      <c r="C1961" t="inlineStr">
        <is>
          <t>2023-11-17</t>
        </is>
      </c>
      <c r="D1961" t="n">
        <v>280</v>
      </c>
      <c r="E1961" t="inlineStr">
        <is>
          <t>BBG01FN9F4P8</t>
        </is>
      </c>
    </row>
    <row r="1962">
      <c r="A1962" t="inlineStr">
        <is>
          <t>BBG01FN9F5S2 Equity</t>
        </is>
      </c>
      <c r="B1962" t="inlineStr">
        <is>
          <t>TSLA US 11/17/23 P285</t>
        </is>
      </c>
      <c r="C1962" t="inlineStr">
        <is>
          <t>2023-11-17</t>
        </is>
      </c>
      <c r="D1962" t="n">
        <v>285</v>
      </c>
      <c r="E1962" t="inlineStr">
        <is>
          <t>BBG01FN9F5S2</t>
        </is>
      </c>
    </row>
    <row r="1963">
      <c r="A1963" t="inlineStr">
        <is>
          <t>BBG01FN9F6X4 Equity</t>
        </is>
      </c>
      <c r="B1963" t="inlineStr">
        <is>
          <t>TSLA US 11/17/23 P290</t>
        </is>
      </c>
      <c r="C1963" t="inlineStr">
        <is>
          <t>2023-11-17</t>
        </is>
      </c>
      <c r="D1963" t="n">
        <v>290</v>
      </c>
      <c r="E1963" t="inlineStr">
        <is>
          <t>BBG01FN9F6X4</t>
        </is>
      </c>
    </row>
    <row r="1964">
      <c r="A1964" t="inlineStr">
        <is>
          <t>BBG01FN9F806 Equity</t>
        </is>
      </c>
      <c r="B1964" t="inlineStr">
        <is>
          <t>TSLA US 11/17/23 P295</t>
        </is>
      </c>
      <c r="C1964" t="inlineStr">
        <is>
          <t>2023-11-17</t>
        </is>
      </c>
      <c r="D1964" t="n">
        <v>295</v>
      </c>
      <c r="E1964" t="inlineStr">
        <is>
          <t>BBG01FN9F806</t>
        </is>
      </c>
    </row>
    <row r="1965">
      <c r="A1965" t="inlineStr">
        <is>
          <t>BBG01FN9F931 Equity</t>
        </is>
      </c>
      <c r="B1965" t="inlineStr">
        <is>
          <t>TSLA US 11/17/23 P300</t>
        </is>
      </c>
      <c r="C1965" t="inlineStr">
        <is>
          <t>2023-11-17</t>
        </is>
      </c>
      <c r="D1965" t="n">
        <v>300</v>
      </c>
      <c r="E1965" t="inlineStr">
        <is>
          <t>BBG01FN9F931</t>
        </is>
      </c>
    </row>
    <row r="1966">
      <c r="A1966" t="inlineStr">
        <is>
          <t>BBG01FN9FB72 Equity</t>
        </is>
      </c>
      <c r="B1966" t="inlineStr">
        <is>
          <t>TSLA US 11/17/23 P305</t>
        </is>
      </c>
      <c r="C1966" t="inlineStr">
        <is>
          <t>2023-11-17</t>
        </is>
      </c>
      <c r="D1966" t="n">
        <v>305</v>
      </c>
      <c r="E1966" t="inlineStr">
        <is>
          <t>BBG01FN9FB72</t>
        </is>
      </c>
    </row>
    <row r="1967">
      <c r="A1967" t="inlineStr">
        <is>
          <t>BBG01FN9FCB5 Equity</t>
        </is>
      </c>
      <c r="B1967" t="inlineStr">
        <is>
          <t>TSLA US 11/17/23 P310</t>
        </is>
      </c>
      <c r="C1967" t="inlineStr">
        <is>
          <t>2023-11-17</t>
        </is>
      </c>
      <c r="D1967" t="n">
        <v>310</v>
      </c>
      <c r="E1967" t="inlineStr">
        <is>
          <t>BBG01FN9FCB5</t>
        </is>
      </c>
    </row>
    <row r="1968">
      <c r="A1968" t="inlineStr">
        <is>
          <t>BBG01FN9FDF9 Equity</t>
        </is>
      </c>
      <c r="B1968" t="inlineStr">
        <is>
          <t>TSLA US 11/17/23 P315</t>
        </is>
      </c>
      <c r="C1968" t="inlineStr">
        <is>
          <t>2023-11-17</t>
        </is>
      </c>
      <c r="D1968" t="n">
        <v>315</v>
      </c>
      <c r="E1968" t="inlineStr">
        <is>
          <t>BBG01FN9FDF9</t>
        </is>
      </c>
    </row>
    <row r="1969">
      <c r="A1969" t="inlineStr">
        <is>
          <t>BBG01FN9FFK8 Equity</t>
        </is>
      </c>
      <c r="B1969" t="inlineStr">
        <is>
          <t>TSLA US 11/17/23 P320</t>
        </is>
      </c>
      <c r="C1969" t="inlineStr">
        <is>
          <t>2023-11-17</t>
        </is>
      </c>
      <c r="D1969" t="n">
        <v>320</v>
      </c>
      <c r="E1969" t="inlineStr">
        <is>
          <t>BBG01FN9FFK8</t>
        </is>
      </c>
    </row>
    <row r="1970">
      <c r="A1970" t="inlineStr">
        <is>
          <t>BBG01FN9FGN3 Equity</t>
        </is>
      </c>
      <c r="B1970" t="inlineStr">
        <is>
          <t>TSLA US 11/17/23 P325</t>
        </is>
      </c>
      <c r="C1970" t="inlineStr">
        <is>
          <t>2023-11-17</t>
        </is>
      </c>
      <c r="D1970" t="n">
        <v>325</v>
      </c>
      <c r="E1970" t="inlineStr">
        <is>
          <t>BBG01FN9FGN3</t>
        </is>
      </c>
    </row>
    <row r="1971">
      <c r="A1971" t="inlineStr">
        <is>
          <t>BBG01FN9FHR7 Equity</t>
        </is>
      </c>
      <c r="B1971" t="inlineStr">
        <is>
          <t>TSLA US 11/17/23 P330</t>
        </is>
      </c>
      <c r="C1971" t="inlineStr">
        <is>
          <t>2023-11-17</t>
        </is>
      </c>
      <c r="D1971" t="n">
        <v>330</v>
      </c>
      <c r="E1971" t="inlineStr">
        <is>
          <t>BBG01FN9FHR7</t>
        </is>
      </c>
    </row>
    <row r="1972">
      <c r="A1972" t="inlineStr">
        <is>
          <t>BBG01FN9FJW7 Equity</t>
        </is>
      </c>
      <c r="B1972" t="inlineStr">
        <is>
          <t>TSLA US 11/17/23 P335</t>
        </is>
      </c>
      <c r="C1972" t="inlineStr">
        <is>
          <t>2023-11-17</t>
        </is>
      </c>
      <c r="D1972" t="n">
        <v>335</v>
      </c>
      <c r="E1972" t="inlineStr">
        <is>
          <t>BBG01FN9FJW7</t>
        </is>
      </c>
    </row>
    <row r="1973">
      <c r="A1973" t="inlineStr">
        <is>
          <t>BBG01FN9FKZ1 Equity</t>
        </is>
      </c>
      <c r="B1973" t="inlineStr">
        <is>
          <t>TSLA US 11/17/23 P340</t>
        </is>
      </c>
      <c r="C1973" t="inlineStr">
        <is>
          <t>2023-11-17</t>
        </is>
      </c>
      <c r="D1973" t="n">
        <v>340</v>
      </c>
      <c r="E1973" t="inlineStr">
        <is>
          <t>BBG01FN9FKZ1</t>
        </is>
      </c>
    </row>
    <row r="1974">
      <c r="A1974" t="inlineStr">
        <is>
          <t>BBG01FN9FM23 Equity</t>
        </is>
      </c>
      <c r="B1974" t="inlineStr">
        <is>
          <t>TSLA US 11/17/23 P345</t>
        </is>
      </c>
      <c r="C1974" t="inlineStr">
        <is>
          <t>2023-11-17</t>
        </is>
      </c>
      <c r="D1974" t="n">
        <v>345</v>
      </c>
      <c r="E1974" t="inlineStr">
        <is>
          <t>BBG01FN9FM23</t>
        </is>
      </c>
    </row>
    <row r="1975">
      <c r="A1975" t="inlineStr">
        <is>
          <t>BBG01FN9FN67 Equity</t>
        </is>
      </c>
      <c r="B1975" t="inlineStr">
        <is>
          <t>TSLA US 11/17/23 P350</t>
        </is>
      </c>
      <c r="C1975" t="inlineStr">
        <is>
          <t>2023-11-17</t>
        </is>
      </c>
      <c r="D1975" t="n">
        <v>350</v>
      </c>
      <c r="E1975" t="inlineStr">
        <is>
          <t>BBG01FN9FN67</t>
        </is>
      </c>
    </row>
    <row r="1976">
      <c r="A1976" t="inlineStr">
        <is>
          <t>BBG01FN9FP99 Equity</t>
        </is>
      </c>
      <c r="B1976" t="inlineStr">
        <is>
          <t>TSLA US 11/17/23 P355</t>
        </is>
      </c>
      <c r="C1976" t="inlineStr">
        <is>
          <t>2023-11-17</t>
        </is>
      </c>
      <c r="D1976" t="n">
        <v>355</v>
      </c>
      <c r="E1976" t="inlineStr">
        <is>
          <t>BBG01FN9FP99</t>
        </is>
      </c>
    </row>
    <row r="1977">
      <c r="A1977" t="inlineStr">
        <is>
          <t>BBG01FN9FQD2 Equity</t>
        </is>
      </c>
      <c r="B1977" t="inlineStr">
        <is>
          <t>TSLA US 11/17/23 P360</t>
        </is>
      </c>
      <c r="C1977" t="inlineStr">
        <is>
          <t>2023-11-17</t>
        </is>
      </c>
      <c r="D1977" t="n">
        <v>360</v>
      </c>
      <c r="E1977" t="inlineStr">
        <is>
          <t>BBG01FN9FQD2</t>
        </is>
      </c>
    </row>
    <row r="1978">
      <c r="A1978" t="inlineStr">
        <is>
          <t>BBG01C3MZB98 Equity</t>
        </is>
      </c>
      <c r="B1978" t="inlineStr">
        <is>
          <t>TSLA US 12/15/23 P205</t>
        </is>
      </c>
      <c r="C1978" t="inlineStr">
        <is>
          <t>2023-12-15</t>
        </is>
      </c>
      <c r="D1978" t="n">
        <v>205</v>
      </c>
      <c r="E1978" t="inlineStr">
        <is>
          <t>BBG01C3MZB98</t>
        </is>
      </c>
    </row>
    <row r="1979">
      <c r="A1979" t="inlineStr">
        <is>
          <t>BBG01C3MZCD1 Equity</t>
        </is>
      </c>
      <c r="B1979" t="inlineStr">
        <is>
          <t>TSLA US 12/15/23 P210</t>
        </is>
      </c>
      <c r="C1979" t="inlineStr">
        <is>
          <t>2023-12-15</t>
        </is>
      </c>
      <c r="D1979" t="n">
        <v>210</v>
      </c>
      <c r="E1979" t="inlineStr">
        <is>
          <t>BBG01C3MZCD1</t>
        </is>
      </c>
    </row>
    <row r="1980">
      <c r="A1980" t="inlineStr">
        <is>
          <t>BBG01C3MZDH5 Equity</t>
        </is>
      </c>
      <c r="B1980" t="inlineStr">
        <is>
          <t>TSLA US 12/15/23 P215</t>
        </is>
      </c>
      <c r="C1980" t="inlineStr">
        <is>
          <t>2023-12-15</t>
        </is>
      </c>
      <c r="D1980" t="n">
        <v>215</v>
      </c>
      <c r="E1980" t="inlineStr">
        <is>
          <t>BBG01C3MZDH5</t>
        </is>
      </c>
    </row>
    <row r="1981">
      <c r="A1981" t="inlineStr">
        <is>
          <t>BBG01C3MZFM4 Equity</t>
        </is>
      </c>
      <c r="B1981" t="inlineStr">
        <is>
          <t>TSLA US 12/15/23 P220</t>
        </is>
      </c>
      <c r="C1981" t="inlineStr">
        <is>
          <t>2023-12-15</t>
        </is>
      </c>
      <c r="D1981" t="n">
        <v>220</v>
      </c>
      <c r="E1981" t="inlineStr">
        <is>
          <t>BBG01C3MZFM4</t>
        </is>
      </c>
    </row>
    <row r="1982">
      <c r="A1982" t="inlineStr">
        <is>
          <t>BBG01C3MZGQ8 Equity</t>
        </is>
      </c>
      <c r="B1982" t="inlineStr">
        <is>
          <t>TSLA US 12/15/23 P225</t>
        </is>
      </c>
      <c r="C1982" t="inlineStr">
        <is>
          <t>2023-12-15</t>
        </is>
      </c>
      <c r="D1982" t="n">
        <v>225</v>
      </c>
      <c r="E1982" t="inlineStr">
        <is>
          <t>BBG01C3MZGQ8</t>
        </is>
      </c>
    </row>
    <row r="1983">
      <c r="A1983" t="inlineStr">
        <is>
          <t>BBG01C3MZHT3 Equity</t>
        </is>
      </c>
      <c r="B1983" t="inlineStr">
        <is>
          <t>TSLA US 12/15/23 P230</t>
        </is>
      </c>
      <c r="C1983" t="inlineStr">
        <is>
          <t>2023-12-15</t>
        </is>
      </c>
      <c r="D1983" t="n">
        <v>230</v>
      </c>
      <c r="E1983" t="inlineStr">
        <is>
          <t>BBG01C3MZHT3</t>
        </is>
      </c>
    </row>
    <row r="1984">
      <c r="A1984" t="inlineStr">
        <is>
          <t>BBG01C3MZJY3 Equity</t>
        </is>
      </c>
      <c r="B1984" t="inlineStr">
        <is>
          <t>TSLA US 12/15/23 P235</t>
        </is>
      </c>
      <c r="C1984" t="inlineStr">
        <is>
          <t>2023-12-15</t>
        </is>
      </c>
      <c r="D1984" t="n">
        <v>235</v>
      </c>
      <c r="E1984" t="inlineStr">
        <is>
          <t>BBG01C3MZJY3</t>
        </is>
      </c>
    </row>
    <row r="1985">
      <c r="A1985" t="inlineStr">
        <is>
          <t>BBG01C3MZL14 Equity</t>
        </is>
      </c>
      <c r="B1985" t="inlineStr">
        <is>
          <t>TSLA US 12/15/23 P240</t>
        </is>
      </c>
      <c r="C1985" t="inlineStr">
        <is>
          <t>2023-12-15</t>
        </is>
      </c>
      <c r="D1985" t="n">
        <v>240</v>
      </c>
      <c r="E1985" t="inlineStr">
        <is>
          <t>BBG01C3MZL14</t>
        </is>
      </c>
    </row>
    <row r="1986">
      <c r="A1986" t="inlineStr">
        <is>
          <t>BBG01C3MZM49 Equity</t>
        </is>
      </c>
      <c r="B1986" t="inlineStr">
        <is>
          <t>TSLA US 12/15/23 P245</t>
        </is>
      </c>
      <c r="C1986" t="inlineStr">
        <is>
          <t>2023-12-15</t>
        </is>
      </c>
      <c r="D1986" t="n">
        <v>245</v>
      </c>
      <c r="E1986" t="inlineStr">
        <is>
          <t>BBG01C3MZM49</t>
        </is>
      </c>
    </row>
    <row r="1987">
      <c r="A1987" t="inlineStr">
        <is>
          <t>BBG01C3MZN83 Equity</t>
        </is>
      </c>
      <c r="B1987" t="inlineStr">
        <is>
          <t>TSLA US 12/15/23 P250</t>
        </is>
      </c>
      <c r="C1987" t="inlineStr">
        <is>
          <t>2023-12-15</t>
        </is>
      </c>
      <c r="D1987" t="n">
        <v>250</v>
      </c>
      <c r="E1987" t="inlineStr">
        <is>
          <t>BBG01C3MZN83</t>
        </is>
      </c>
    </row>
    <row r="1988">
      <c r="A1988" t="inlineStr">
        <is>
          <t>BBG01FN9G3L3 Equity</t>
        </is>
      </c>
      <c r="B1988" t="inlineStr">
        <is>
          <t>TSLA US 12/15/23 P255</t>
        </is>
      </c>
      <c r="C1988" t="inlineStr">
        <is>
          <t>2023-12-15</t>
        </is>
      </c>
      <c r="D1988" t="n">
        <v>255</v>
      </c>
      <c r="E1988" t="inlineStr">
        <is>
          <t>BBG01FN9G3L3</t>
        </is>
      </c>
    </row>
    <row r="1989">
      <c r="A1989" t="inlineStr">
        <is>
          <t>BBG01DJ4Q5B9 Equity</t>
        </is>
      </c>
      <c r="B1989" t="inlineStr">
        <is>
          <t>TSLA US 12/15/23 P260</t>
        </is>
      </c>
      <c r="C1989" t="inlineStr">
        <is>
          <t>2023-12-15</t>
        </is>
      </c>
      <c r="D1989" t="n">
        <v>260</v>
      </c>
      <c r="E1989" t="inlineStr">
        <is>
          <t>BBG01DJ4Q5B9</t>
        </is>
      </c>
    </row>
    <row r="1990">
      <c r="A1990" t="inlineStr">
        <is>
          <t>BBG01FN9G4P7 Equity</t>
        </is>
      </c>
      <c r="B1990" t="inlineStr">
        <is>
          <t>TSLA US 12/15/23 P265</t>
        </is>
      </c>
      <c r="C1990" t="inlineStr">
        <is>
          <t>2023-12-15</t>
        </is>
      </c>
      <c r="D1990" t="n">
        <v>265</v>
      </c>
      <c r="E1990" t="inlineStr">
        <is>
          <t>BBG01FN9G4P7</t>
        </is>
      </c>
    </row>
    <row r="1991">
      <c r="A1991" t="inlineStr">
        <is>
          <t>BBG01DJ4Q6F3 Equity</t>
        </is>
      </c>
      <c r="B1991" t="inlineStr">
        <is>
          <t>TSLA US 12/15/23 P270</t>
        </is>
      </c>
      <c r="C1991" t="inlineStr">
        <is>
          <t>2023-12-15</t>
        </is>
      </c>
      <c r="D1991" t="n">
        <v>270</v>
      </c>
      <c r="E1991" t="inlineStr">
        <is>
          <t>BBG01DJ4Q6F3</t>
        </is>
      </c>
    </row>
    <row r="1992">
      <c r="A1992" t="inlineStr">
        <is>
          <t>BBG01FN9G5T0 Equity</t>
        </is>
      </c>
      <c r="B1992" t="inlineStr">
        <is>
          <t>TSLA US 12/15/23 P275</t>
        </is>
      </c>
      <c r="C1992" t="inlineStr">
        <is>
          <t>2023-12-15</t>
        </is>
      </c>
      <c r="D1992" t="n">
        <v>275</v>
      </c>
      <c r="E1992" t="inlineStr">
        <is>
          <t>BBG01FN9G5T0</t>
        </is>
      </c>
    </row>
    <row r="1993">
      <c r="A1993" t="inlineStr">
        <is>
          <t>BBG01DJ4Q7K5 Equity</t>
        </is>
      </c>
      <c r="B1993" t="inlineStr">
        <is>
          <t>TSLA US 12/15/23 P280</t>
        </is>
      </c>
      <c r="C1993" t="inlineStr">
        <is>
          <t>2023-12-15</t>
        </is>
      </c>
      <c r="D1993" t="n">
        <v>280</v>
      </c>
      <c r="E1993" t="inlineStr">
        <is>
          <t>BBG01DJ4Q7K5</t>
        </is>
      </c>
    </row>
    <row r="1994">
      <c r="A1994" t="inlineStr">
        <is>
          <t>BBG01FN9G6X3 Equity</t>
        </is>
      </c>
      <c r="B1994" t="inlineStr">
        <is>
          <t>TSLA US 12/15/23 P285</t>
        </is>
      </c>
      <c r="C1994" t="inlineStr">
        <is>
          <t>2023-12-15</t>
        </is>
      </c>
      <c r="D1994" t="n">
        <v>285</v>
      </c>
      <c r="E1994" t="inlineStr">
        <is>
          <t>BBG01FN9G6X3</t>
        </is>
      </c>
    </row>
    <row r="1995">
      <c r="A1995" t="inlineStr">
        <is>
          <t>BBG01DJ4Q8N0 Equity</t>
        </is>
      </c>
      <c r="B1995" t="inlineStr">
        <is>
          <t>TSLA US 12/15/23 P290</t>
        </is>
      </c>
      <c r="C1995" t="inlineStr">
        <is>
          <t>2023-12-15</t>
        </is>
      </c>
      <c r="D1995" t="n">
        <v>290</v>
      </c>
      <c r="E1995" t="inlineStr">
        <is>
          <t>BBG01DJ4Q8N0</t>
        </is>
      </c>
    </row>
    <row r="1996">
      <c r="A1996" t="inlineStr">
        <is>
          <t>BBG01FN9G814 Equity</t>
        </is>
      </c>
      <c r="B1996" t="inlineStr">
        <is>
          <t>TSLA US 12/15/23 P295</t>
        </is>
      </c>
      <c r="C1996" t="inlineStr">
        <is>
          <t>2023-12-15</t>
        </is>
      </c>
      <c r="D1996" t="n">
        <v>295</v>
      </c>
      <c r="E1996" t="inlineStr">
        <is>
          <t>BBG01FN9G814</t>
        </is>
      </c>
    </row>
    <row r="1997">
      <c r="A1997" t="inlineStr">
        <is>
          <t>BBG01DJ4Q9R4 Equity</t>
        </is>
      </c>
      <c r="B1997" t="inlineStr">
        <is>
          <t>TSLA US 12/15/23 P300</t>
        </is>
      </c>
      <c r="C1997" t="inlineStr">
        <is>
          <t>2023-12-15</t>
        </is>
      </c>
      <c r="D1997" t="n">
        <v>300</v>
      </c>
      <c r="E1997" t="inlineStr">
        <is>
          <t>BBG01DJ4Q9R4</t>
        </is>
      </c>
    </row>
    <row r="1998">
      <c r="A1998" t="inlineStr">
        <is>
          <t>BBG01FN9G949 Equity</t>
        </is>
      </c>
      <c r="B1998" t="inlineStr">
        <is>
          <t>TSLA US 12/15/23 P305</t>
        </is>
      </c>
      <c r="C1998" t="inlineStr">
        <is>
          <t>2023-12-15</t>
        </is>
      </c>
      <c r="D1998" t="n">
        <v>305</v>
      </c>
      <c r="E1998" t="inlineStr">
        <is>
          <t>BBG01FN9G949</t>
        </is>
      </c>
    </row>
    <row r="1999">
      <c r="A1999" t="inlineStr">
        <is>
          <t>BBG01DJ4QBX2 Equity</t>
        </is>
      </c>
      <c r="B1999" t="inlineStr">
        <is>
          <t>TSLA US 12/15/23 P310</t>
        </is>
      </c>
      <c r="C1999" t="inlineStr">
        <is>
          <t>2023-12-15</t>
        </is>
      </c>
      <c r="D1999" t="n">
        <v>310</v>
      </c>
      <c r="E1999" t="inlineStr">
        <is>
          <t>BBG01DJ4QBX2</t>
        </is>
      </c>
    </row>
    <row r="2000">
      <c r="A2000" t="inlineStr">
        <is>
          <t>BBG01FN9GB71 Equity</t>
        </is>
      </c>
      <c r="B2000" t="inlineStr">
        <is>
          <t>TSLA US 12/15/23 P315</t>
        </is>
      </c>
      <c r="C2000" t="inlineStr">
        <is>
          <t>2023-12-15</t>
        </is>
      </c>
      <c r="D2000" t="n">
        <v>315</v>
      </c>
      <c r="E2000" t="inlineStr">
        <is>
          <t>BBG01FN9GB71</t>
        </is>
      </c>
    </row>
    <row r="2001">
      <c r="A2001" t="inlineStr">
        <is>
          <t>BBG01DJ4QD04 Equity</t>
        </is>
      </c>
      <c r="B2001" t="inlineStr">
        <is>
          <t>TSLA US 12/15/23 P320</t>
        </is>
      </c>
      <c r="C2001" t="inlineStr">
        <is>
          <t>2023-12-15</t>
        </is>
      </c>
      <c r="D2001" t="n">
        <v>320</v>
      </c>
      <c r="E2001" t="inlineStr">
        <is>
          <t>BBG01DJ4QD04</t>
        </is>
      </c>
    </row>
    <row r="2002">
      <c r="A2002" t="inlineStr">
        <is>
          <t>BBG01FN9GCC3 Equity</t>
        </is>
      </c>
      <c r="B2002" t="inlineStr">
        <is>
          <t>TSLA US 12/15/23 P325</t>
        </is>
      </c>
      <c r="C2002" t="inlineStr">
        <is>
          <t>2023-12-15</t>
        </is>
      </c>
      <c r="D2002" t="n">
        <v>325</v>
      </c>
      <c r="E2002" t="inlineStr">
        <is>
          <t>BBG01FN9GCC3</t>
        </is>
      </c>
    </row>
    <row r="2003">
      <c r="A2003" t="inlineStr">
        <is>
          <t>BBG01DMN5CR4 Equity</t>
        </is>
      </c>
      <c r="B2003" t="inlineStr">
        <is>
          <t>TSLA US 12/15/23 P330</t>
        </is>
      </c>
      <c r="C2003" t="inlineStr">
        <is>
          <t>2023-12-15</t>
        </is>
      </c>
      <c r="D2003" t="n">
        <v>330</v>
      </c>
      <c r="E2003" t="inlineStr">
        <is>
          <t>BBG01DMN5CR4</t>
        </is>
      </c>
    </row>
    <row r="2004">
      <c r="A2004" t="inlineStr">
        <is>
          <t>BBG01H73TD89 Equity</t>
        </is>
      </c>
      <c r="B2004" t="inlineStr">
        <is>
          <t>TSLA US 12/15/23 P335</t>
        </is>
      </c>
      <c r="C2004" t="inlineStr">
        <is>
          <t>2023-12-15</t>
        </is>
      </c>
      <c r="D2004" t="n">
        <v>335</v>
      </c>
      <c r="E2004" t="inlineStr">
        <is>
          <t>BBG01H73TD89</t>
        </is>
      </c>
    </row>
    <row r="2005">
      <c r="A2005" t="inlineStr">
        <is>
          <t>BBG01DMN5DV7 Equity</t>
        </is>
      </c>
      <c r="B2005" t="inlineStr">
        <is>
          <t>TSLA US 12/15/23 P340</t>
        </is>
      </c>
      <c r="C2005" t="inlineStr">
        <is>
          <t>2023-12-15</t>
        </is>
      </c>
      <c r="D2005" t="n">
        <v>340</v>
      </c>
      <c r="E2005" t="inlineStr">
        <is>
          <t>BBG01DMN5DV7</t>
        </is>
      </c>
    </row>
    <row r="2006">
      <c r="A2006" t="inlineStr">
        <is>
          <t>BBG01H73TFG5 Equity</t>
        </is>
      </c>
      <c r="B2006" t="inlineStr">
        <is>
          <t>TSLA US 12/15/23 P345</t>
        </is>
      </c>
      <c r="C2006" t="inlineStr">
        <is>
          <t>2023-12-15</t>
        </is>
      </c>
      <c r="D2006" t="n">
        <v>345</v>
      </c>
      <c r="E2006" t="inlineStr">
        <is>
          <t>BBG01H73TFG5</t>
        </is>
      </c>
    </row>
    <row r="2007">
      <c r="A2007" t="inlineStr">
        <is>
          <t>BBG01DMN5FZ8 Equity</t>
        </is>
      </c>
      <c r="B2007" t="inlineStr">
        <is>
          <t>TSLA US 12/15/23 P350</t>
        </is>
      </c>
      <c r="C2007" t="inlineStr">
        <is>
          <t>2023-12-15</t>
        </is>
      </c>
      <c r="D2007" t="n">
        <v>350</v>
      </c>
      <c r="E2007" t="inlineStr">
        <is>
          <t>BBG01DMN5FZ8</t>
        </is>
      </c>
    </row>
    <row r="2008">
      <c r="A2008" t="inlineStr">
        <is>
          <t>BBG01H73TGK8 Equity</t>
        </is>
      </c>
      <c r="B2008" t="inlineStr">
        <is>
          <t>TSLA US 12/15/23 P355</t>
        </is>
      </c>
      <c r="C2008" t="inlineStr">
        <is>
          <t>2023-12-15</t>
        </is>
      </c>
      <c r="D2008" t="n">
        <v>355</v>
      </c>
      <c r="E2008" t="inlineStr">
        <is>
          <t>BBG01H73TGK8</t>
        </is>
      </c>
    </row>
    <row r="2009">
      <c r="A2009" t="inlineStr">
        <is>
          <t>BBG01DMN5H20 Equity</t>
        </is>
      </c>
      <c r="B2009" t="inlineStr">
        <is>
          <t>TSLA US 12/15/23 P360</t>
        </is>
      </c>
      <c r="C2009" t="inlineStr">
        <is>
          <t>2023-12-15</t>
        </is>
      </c>
      <c r="D2009" t="n">
        <v>360</v>
      </c>
      <c r="E2009" t="inlineStr">
        <is>
          <t>BBG01DMN5H20</t>
        </is>
      </c>
    </row>
    <row r="2010">
      <c r="A2010" t="inlineStr">
        <is>
          <t>BBG012J61FH7 Equity</t>
        </is>
      </c>
      <c r="B2010" t="inlineStr">
        <is>
          <t>TSLA US 01/19/24 P200</t>
        </is>
      </c>
      <c r="C2010" t="inlineStr">
        <is>
          <t>2024-01-19</t>
        </is>
      </c>
      <c r="D2010" t="n">
        <v>200</v>
      </c>
      <c r="E2010" t="inlineStr">
        <is>
          <t>BBG012J61FH7</t>
        </is>
      </c>
    </row>
    <row r="2011">
      <c r="A2011" t="inlineStr">
        <is>
          <t>BBG012NFX106 Equity</t>
        </is>
      </c>
      <c r="B2011" t="inlineStr">
        <is>
          <t>TSLA US 01/19/24 P203.33</t>
        </is>
      </c>
      <c r="C2011" t="inlineStr">
        <is>
          <t>2024-01-19</t>
        </is>
      </c>
      <c r="D2011" t="n">
        <v>203.33</v>
      </c>
      <c r="E2011" t="inlineStr">
        <is>
          <t>BBG012NFX106</t>
        </is>
      </c>
    </row>
    <row r="2012">
      <c r="A2012" t="inlineStr">
        <is>
          <t>BBG01JX1VNV9 Equity</t>
        </is>
      </c>
      <c r="B2012" t="inlineStr">
        <is>
          <t>TSLA US 01/19/24 P205</t>
        </is>
      </c>
      <c r="C2012" t="inlineStr">
        <is>
          <t>2024-01-19</t>
        </is>
      </c>
      <c r="D2012" t="n">
        <v>205</v>
      </c>
      <c r="E2012" t="inlineStr">
        <is>
          <t>BBG01JX1VNV9</t>
        </is>
      </c>
    </row>
    <row r="2013">
      <c r="A2013" t="inlineStr">
        <is>
          <t>BBG012J61GL0 Equity</t>
        </is>
      </c>
      <c r="B2013" t="inlineStr">
        <is>
          <t>TSLA US 01/19/24 P206.67</t>
        </is>
      </c>
      <c r="C2013" t="inlineStr">
        <is>
          <t>2024-01-19</t>
        </is>
      </c>
      <c r="D2013" t="n">
        <v>206.67</v>
      </c>
      <c r="E2013" t="inlineStr">
        <is>
          <t>BBG012J61GL0</t>
        </is>
      </c>
    </row>
    <row r="2014">
      <c r="A2014" t="inlineStr">
        <is>
          <t>BBG012HFH2X3 Equity</t>
        </is>
      </c>
      <c r="B2014" t="inlineStr">
        <is>
          <t>TSLA US 01/19/24 P210</t>
        </is>
      </c>
      <c r="C2014" t="inlineStr">
        <is>
          <t>2024-01-19</t>
        </is>
      </c>
      <c r="D2014" t="n">
        <v>210</v>
      </c>
      <c r="E2014" t="inlineStr">
        <is>
          <t>BBG012HFH2X3</t>
        </is>
      </c>
    </row>
    <row r="2015">
      <c r="A2015" t="inlineStr">
        <is>
          <t>BBG012HFH405 Equity</t>
        </is>
      </c>
      <c r="B2015" t="inlineStr">
        <is>
          <t>TSLA US 01/19/24 P213.33</t>
        </is>
      </c>
      <c r="C2015" t="inlineStr">
        <is>
          <t>2024-01-19</t>
        </is>
      </c>
      <c r="D2015" t="n">
        <v>213.33</v>
      </c>
      <c r="E2015" t="inlineStr">
        <is>
          <t>BBG012HFH405</t>
        </is>
      </c>
    </row>
    <row r="2016">
      <c r="A2016" t="inlineStr">
        <is>
          <t>BBG01JX1VPY1 Equity</t>
        </is>
      </c>
      <c r="B2016" t="inlineStr">
        <is>
          <t>TSLA US 01/19/24 P215</t>
        </is>
      </c>
      <c r="C2016" t="inlineStr">
        <is>
          <t>2024-01-19</t>
        </is>
      </c>
      <c r="D2016" t="n">
        <v>215</v>
      </c>
      <c r="E2016" t="inlineStr">
        <is>
          <t>BBG01JX1VPY1</t>
        </is>
      </c>
    </row>
    <row r="2017">
      <c r="A2017" t="inlineStr">
        <is>
          <t>BBG012HFH539 Equity</t>
        </is>
      </c>
      <c r="B2017" t="inlineStr">
        <is>
          <t>TSLA US 01/19/24 P216.67</t>
        </is>
      </c>
      <c r="C2017" t="inlineStr">
        <is>
          <t>2024-01-19</t>
        </is>
      </c>
      <c r="D2017" t="n">
        <v>216.67</v>
      </c>
      <c r="E2017" t="inlineStr">
        <is>
          <t>BBG012HFH539</t>
        </is>
      </c>
    </row>
    <row r="2018">
      <c r="A2018" t="inlineStr">
        <is>
          <t>BBG012HFH673 Equity</t>
        </is>
      </c>
      <c r="B2018" t="inlineStr">
        <is>
          <t>TSLA US 01/19/24 P220</t>
        </is>
      </c>
      <c r="C2018" t="inlineStr">
        <is>
          <t>2024-01-19</t>
        </is>
      </c>
      <c r="D2018" t="n">
        <v>220</v>
      </c>
      <c r="E2018" t="inlineStr">
        <is>
          <t>BBG012HFH673</t>
        </is>
      </c>
    </row>
    <row r="2019">
      <c r="A2019" t="inlineStr">
        <is>
          <t>BBG01KNTMQF7 Equity</t>
        </is>
      </c>
      <c r="B2019" t="inlineStr">
        <is>
          <t>TSLA US 01/19/24 P222.5</t>
        </is>
      </c>
      <c r="C2019" t="inlineStr">
        <is>
          <t>2024-01-19</t>
        </is>
      </c>
      <c r="D2019" t="n">
        <v>222.5</v>
      </c>
      <c r="E2019" t="inlineStr">
        <is>
          <t>BBG01KNTMQF7</t>
        </is>
      </c>
    </row>
    <row r="2020">
      <c r="A2020" t="inlineStr">
        <is>
          <t>BBG012HFH7B6 Equity</t>
        </is>
      </c>
      <c r="B2020" t="inlineStr">
        <is>
          <t>TSLA US 01/19/24 P223.33</t>
        </is>
      </c>
      <c r="C2020" t="inlineStr">
        <is>
          <t>2024-01-19</t>
        </is>
      </c>
      <c r="D2020" t="n">
        <v>223.33</v>
      </c>
      <c r="E2020" t="inlineStr">
        <is>
          <t>BBG012HFH7B6</t>
        </is>
      </c>
    </row>
    <row r="2021">
      <c r="A2021" t="inlineStr">
        <is>
          <t>BBG01JX1VR31 Equity</t>
        </is>
      </c>
      <c r="B2021" t="inlineStr">
        <is>
          <t>TSLA US 01/19/24 P225</t>
        </is>
      </c>
      <c r="C2021" t="inlineStr">
        <is>
          <t>2024-01-19</t>
        </is>
      </c>
      <c r="D2021" t="n">
        <v>225</v>
      </c>
      <c r="E2021" t="inlineStr">
        <is>
          <t>BBG01JX1VR31</t>
        </is>
      </c>
    </row>
    <row r="2022">
      <c r="A2022" t="inlineStr">
        <is>
          <t>BBG012HFH8G9 Equity</t>
        </is>
      </c>
      <c r="B2022" t="inlineStr">
        <is>
          <t>TSLA US 01/19/24 P226.67</t>
        </is>
      </c>
      <c r="C2022" t="inlineStr">
        <is>
          <t>2024-01-19</t>
        </is>
      </c>
      <c r="D2022" t="n">
        <v>226.67</v>
      </c>
      <c r="E2022" t="inlineStr">
        <is>
          <t>BBG012HFH8G9</t>
        </is>
      </c>
    </row>
    <row r="2023">
      <c r="A2023" t="inlineStr">
        <is>
          <t>BBG01KNTMRJ1 Equity</t>
        </is>
      </c>
      <c r="B2023" t="inlineStr">
        <is>
          <t>TSLA US 01/19/24 P227.5</t>
        </is>
      </c>
      <c r="C2023" t="inlineStr">
        <is>
          <t>2024-01-19</t>
        </is>
      </c>
      <c r="D2023" t="n">
        <v>227.5</v>
      </c>
      <c r="E2023" t="inlineStr">
        <is>
          <t>BBG01KNTMRJ1</t>
        </is>
      </c>
    </row>
    <row r="2024">
      <c r="A2024" t="inlineStr">
        <is>
          <t>BBG012HFH9K2 Equity</t>
        </is>
      </c>
      <c r="B2024" t="inlineStr">
        <is>
          <t>TSLA US 01/19/24 P230</t>
        </is>
      </c>
      <c r="C2024" t="inlineStr">
        <is>
          <t>2024-01-19</t>
        </is>
      </c>
      <c r="D2024" t="n">
        <v>230</v>
      </c>
      <c r="E2024" t="inlineStr">
        <is>
          <t>BBG012HFH9K2</t>
        </is>
      </c>
    </row>
    <row r="2025">
      <c r="A2025" t="inlineStr">
        <is>
          <t>BBG01KNTMSN4 Equity</t>
        </is>
      </c>
      <c r="B2025" t="inlineStr">
        <is>
          <t>TSLA US 01/19/24 P232.5</t>
        </is>
      </c>
      <c r="C2025" t="inlineStr">
        <is>
          <t>2024-01-19</t>
        </is>
      </c>
      <c r="D2025" t="n">
        <v>232.5</v>
      </c>
      <c r="E2025" t="inlineStr">
        <is>
          <t>BBG01KNTMSN4</t>
        </is>
      </c>
    </row>
    <row r="2026">
      <c r="A2026" t="inlineStr">
        <is>
          <t>BBG012HFHBN4 Equity</t>
        </is>
      </c>
      <c r="B2026" t="inlineStr">
        <is>
          <t>TSLA US 01/19/24 P233.33</t>
        </is>
      </c>
      <c r="C2026" t="inlineStr">
        <is>
          <t>2024-01-19</t>
        </is>
      </c>
      <c r="D2026" t="n">
        <v>233.33</v>
      </c>
      <c r="E2026" t="inlineStr">
        <is>
          <t>BBG012HFHBN4</t>
        </is>
      </c>
    </row>
    <row r="2027">
      <c r="A2027" t="inlineStr">
        <is>
          <t>BBG01JX1VS66 Equity</t>
        </is>
      </c>
      <c r="B2027" t="inlineStr">
        <is>
          <t>TSLA US 01/19/24 P235</t>
        </is>
      </c>
      <c r="C2027" t="inlineStr">
        <is>
          <t>2024-01-19</t>
        </is>
      </c>
      <c r="D2027" t="n">
        <v>235</v>
      </c>
      <c r="E2027" t="inlineStr">
        <is>
          <t>BBG01JX1VS66</t>
        </is>
      </c>
    </row>
    <row r="2028">
      <c r="A2028" t="inlineStr">
        <is>
          <t>BBG012HFHCS7 Equity</t>
        </is>
      </c>
      <c r="B2028" t="inlineStr">
        <is>
          <t>TSLA US 01/19/24 P236.67</t>
        </is>
      </c>
      <c r="C2028" t="inlineStr">
        <is>
          <t>2024-01-19</t>
        </is>
      </c>
      <c r="D2028" t="n">
        <v>236.67</v>
      </c>
      <c r="E2028" t="inlineStr">
        <is>
          <t>BBG012HFHCS7</t>
        </is>
      </c>
    </row>
    <row r="2029">
      <c r="A2029" t="inlineStr">
        <is>
          <t>BBG01KNTMTR8 Equity</t>
        </is>
      </c>
      <c r="B2029" t="inlineStr">
        <is>
          <t>TSLA US 01/19/24 P237.5</t>
        </is>
      </c>
      <c r="C2029" t="inlineStr">
        <is>
          <t>2024-01-19</t>
        </is>
      </c>
      <c r="D2029" t="n">
        <v>237.5</v>
      </c>
      <c r="E2029" t="inlineStr">
        <is>
          <t>BBG01KNTMTR8</t>
        </is>
      </c>
    </row>
    <row r="2030">
      <c r="A2030" t="inlineStr">
        <is>
          <t>BBG012HFHDW0 Equity</t>
        </is>
      </c>
      <c r="B2030" t="inlineStr">
        <is>
          <t>TSLA US 01/19/24 P240</t>
        </is>
      </c>
      <c r="C2030" t="inlineStr">
        <is>
          <t>2024-01-19</t>
        </is>
      </c>
      <c r="D2030" t="n">
        <v>240</v>
      </c>
      <c r="E2030" t="inlineStr">
        <is>
          <t>BBG012HFHDW0</t>
        </is>
      </c>
    </row>
    <row r="2031">
      <c r="A2031" t="inlineStr">
        <is>
          <t>BBG01KNTMVV8 Equity</t>
        </is>
      </c>
      <c r="B2031" t="inlineStr">
        <is>
          <t>TSLA US 01/19/24 P242.5</t>
        </is>
      </c>
      <c r="C2031" t="inlineStr">
        <is>
          <t>2024-01-19</t>
        </is>
      </c>
      <c r="D2031" t="n">
        <v>242.5</v>
      </c>
      <c r="E2031" t="inlineStr">
        <is>
          <t>BBG01KNTMVV8</t>
        </is>
      </c>
    </row>
    <row r="2032">
      <c r="A2032" t="inlineStr">
        <is>
          <t>BBG012HFHFZ2 Equity</t>
        </is>
      </c>
      <c r="B2032" t="inlineStr">
        <is>
          <t>TSLA US 01/19/24 P243.33</t>
        </is>
      </c>
      <c r="C2032" t="inlineStr">
        <is>
          <t>2024-01-19</t>
        </is>
      </c>
      <c r="D2032" t="n">
        <v>243.33</v>
      </c>
      <c r="E2032" t="inlineStr">
        <is>
          <t>BBG012HFHFZ2</t>
        </is>
      </c>
    </row>
    <row r="2033">
      <c r="A2033" t="inlineStr">
        <is>
          <t>BBG01JX1VT91 Equity</t>
        </is>
      </c>
      <c r="B2033" t="inlineStr">
        <is>
          <t>TSLA US 01/19/24 P245</t>
        </is>
      </c>
      <c r="C2033" t="inlineStr">
        <is>
          <t>2024-01-19</t>
        </is>
      </c>
      <c r="D2033" t="n">
        <v>245</v>
      </c>
      <c r="E2033" t="inlineStr">
        <is>
          <t>BBG01JX1VT91</t>
        </is>
      </c>
    </row>
    <row r="2034">
      <c r="A2034" t="inlineStr">
        <is>
          <t>BBG012HFHH33 Equity</t>
        </is>
      </c>
      <c r="B2034" t="inlineStr">
        <is>
          <t>TSLA US 01/19/24 P246.67</t>
        </is>
      </c>
      <c r="C2034" t="inlineStr">
        <is>
          <t>2024-01-19</t>
        </is>
      </c>
      <c r="D2034" t="n">
        <v>246.67</v>
      </c>
      <c r="E2034" t="inlineStr">
        <is>
          <t>BBG012HFHH33</t>
        </is>
      </c>
    </row>
    <row r="2035">
      <c r="A2035" t="inlineStr">
        <is>
          <t>BBG01KNTMWZ2 Equity</t>
        </is>
      </c>
      <c r="B2035" t="inlineStr">
        <is>
          <t>TSLA US 01/19/24 P247.5</t>
        </is>
      </c>
      <c r="C2035" t="inlineStr">
        <is>
          <t>2024-01-19</t>
        </is>
      </c>
      <c r="D2035" t="n">
        <v>247.5</v>
      </c>
      <c r="E2035" t="inlineStr">
        <is>
          <t>BBG01KNTMWZ2</t>
        </is>
      </c>
    </row>
    <row r="2036">
      <c r="A2036" t="inlineStr">
        <is>
          <t>BBG012HFHJ66 Equity</t>
        </is>
      </c>
      <c r="B2036" t="inlineStr">
        <is>
          <t>TSLA US 01/19/24 P250</t>
        </is>
      </c>
      <c r="C2036" t="inlineStr">
        <is>
          <t>2024-01-19</t>
        </is>
      </c>
      <c r="D2036" t="n">
        <v>250</v>
      </c>
      <c r="E2036" t="inlineStr">
        <is>
          <t>BBG012HFHJ66</t>
        </is>
      </c>
    </row>
    <row r="2037">
      <c r="A2037" t="inlineStr">
        <is>
          <t>BBG01KNTMY24 Equity</t>
        </is>
      </c>
      <c r="B2037" t="inlineStr">
        <is>
          <t>TSLA US 01/19/24 P252.5</t>
        </is>
      </c>
      <c r="C2037" t="inlineStr">
        <is>
          <t>2024-01-19</t>
        </is>
      </c>
      <c r="D2037" t="n">
        <v>252.5</v>
      </c>
      <c r="E2037" t="inlineStr">
        <is>
          <t>BBG01KNTMY24</t>
        </is>
      </c>
    </row>
    <row r="2038">
      <c r="A2038" t="inlineStr">
        <is>
          <t>BBG012HFHK90 Equity</t>
        </is>
      </c>
      <c r="B2038" t="inlineStr">
        <is>
          <t>TSLA US 01/19/24 P253.33</t>
        </is>
      </c>
      <c r="C2038" t="inlineStr">
        <is>
          <t>2024-01-19</t>
        </is>
      </c>
      <c r="D2038" t="n">
        <v>253.33</v>
      </c>
      <c r="E2038" t="inlineStr">
        <is>
          <t>BBG012HFHK90</t>
        </is>
      </c>
    </row>
    <row r="2039">
      <c r="A2039" t="inlineStr">
        <is>
          <t>BBG01JX1VVG8 Equity</t>
        </is>
      </c>
      <c r="B2039" t="inlineStr">
        <is>
          <t>TSLA US 01/19/24 P255</t>
        </is>
      </c>
      <c r="C2039" t="inlineStr">
        <is>
          <t>2024-01-19</t>
        </is>
      </c>
      <c r="D2039" t="n">
        <v>255</v>
      </c>
      <c r="E2039" t="inlineStr">
        <is>
          <t>BBG01JX1VVG8</t>
        </is>
      </c>
    </row>
    <row r="2040">
      <c r="A2040" t="inlineStr">
        <is>
          <t>BBG012HFHLF1 Equity</t>
        </is>
      </c>
      <c r="B2040" t="inlineStr">
        <is>
          <t>TSLA US 01/19/24 P256.67</t>
        </is>
      </c>
      <c r="C2040" t="inlineStr">
        <is>
          <t>2024-01-19</t>
        </is>
      </c>
      <c r="D2040" t="n">
        <v>256.67</v>
      </c>
      <c r="E2040" t="inlineStr">
        <is>
          <t>BBG012HFHLF1</t>
        </is>
      </c>
    </row>
    <row r="2041">
      <c r="A2041" t="inlineStr">
        <is>
          <t>BBG01KNTMZ58 Equity</t>
        </is>
      </c>
      <c r="B2041" t="inlineStr">
        <is>
          <t>TSLA US 01/19/24 P257.5</t>
        </is>
      </c>
      <c r="C2041" t="inlineStr">
        <is>
          <t>2024-01-19</t>
        </is>
      </c>
      <c r="D2041" t="n">
        <v>257.5</v>
      </c>
      <c r="E2041" t="inlineStr">
        <is>
          <t>BBG01KNTMZ58</t>
        </is>
      </c>
    </row>
    <row r="2042">
      <c r="A2042" t="inlineStr">
        <is>
          <t>BBG012HFHMJ5 Equity</t>
        </is>
      </c>
      <c r="B2042" t="inlineStr">
        <is>
          <t>TSLA US 01/19/24 P260</t>
        </is>
      </c>
      <c r="C2042" t="inlineStr">
        <is>
          <t>2024-01-19</t>
        </is>
      </c>
      <c r="D2042" t="n">
        <v>260</v>
      </c>
      <c r="E2042" t="inlineStr">
        <is>
          <t>BBG012HFHMJ5</t>
        </is>
      </c>
    </row>
    <row r="2043">
      <c r="A2043" t="inlineStr">
        <is>
          <t>BBG01KNTN090 Equity</t>
        </is>
      </c>
      <c r="B2043" t="inlineStr">
        <is>
          <t>TSLA US 01/19/24 P262.5</t>
        </is>
      </c>
      <c r="C2043" t="inlineStr">
        <is>
          <t>2024-01-19</t>
        </is>
      </c>
      <c r="D2043" t="n">
        <v>262.5</v>
      </c>
      <c r="E2043" t="inlineStr">
        <is>
          <t>BBG01KNTN090</t>
        </is>
      </c>
    </row>
    <row r="2044">
      <c r="A2044" t="inlineStr">
        <is>
          <t>BBG012HFHNM9 Equity</t>
        </is>
      </c>
      <c r="B2044" t="inlineStr">
        <is>
          <t>TSLA US 01/19/24 P263.33</t>
        </is>
      </c>
      <c r="C2044" t="inlineStr">
        <is>
          <t>2024-01-19</t>
        </is>
      </c>
      <c r="D2044" t="n">
        <v>263.33</v>
      </c>
      <c r="E2044" t="inlineStr">
        <is>
          <t>BBG012HFHNM9</t>
        </is>
      </c>
    </row>
    <row r="2045">
      <c r="A2045" t="inlineStr">
        <is>
          <t>BBG01JX1VWK1 Equity</t>
        </is>
      </c>
      <c r="B2045" t="inlineStr">
        <is>
          <t>TSLA US 01/19/24 P265</t>
        </is>
      </c>
      <c r="C2045" t="inlineStr">
        <is>
          <t>2024-01-19</t>
        </is>
      </c>
      <c r="D2045" t="n">
        <v>265</v>
      </c>
      <c r="E2045" t="inlineStr">
        <is>
          <t>BBG01JX1VWK1</t>
        </is>
      </c>
    </row>
    <row r="2046">
      <c r="A2046" t="inlineStr">
        <is>
          <t>BBG012HFHPR9 Equity</t>
        </is>
      </c>
      <c r="B2046" t="inlineStr">
        <is>
          <t>TSLA US 01/19/24 P266.67</t>
        </is>
      </c>
      <c r="C2046" t="inlineStr">
        <is>
          <t>2024-01-19</t>
        </is>
      </c>
      <c r="D2046" t="n">
        <v>266.67</v>
      </c>
      <c r="E2046" t="inlineStr">
        <is>
          <t>BBG012HFHPR9</t>
        </is>
      </c>
    </row>
    <row r="2047">
      <c r="A2047" t="inlineStr">
        <is>
          <t>BBG01KNTN1D3 Equity</t>
        </is>
      </c>
      <c r="B2047" t="inlineStr">
        <is>
          <t>TSLA US 01/19/24 P267.5</t>
        </is>
      </c>
      <c r="C2047" t="inlineStr">
        <is>
          <t>2024-01-19</t>
        </is>
      </c>
      <c r="D2047" t="n">
        <v>267.5</v>
      </c>
      <c r="E2047" t="inlineStr">
        <is>
          <t>BBG01KNTN1D3</t>
        </is>
      </c>
    </row>
    <row r="2048">
      <c r="A2048" t="inlineStr">
        <is>
          <t>BBG012HFHQV2 Equity</t>
        </is>
      </c>
      <c r="B2048" t="inlineStr">
        <is>
          <t>TSLA US 01/19/24 P270</t>
        </is>
      </c>
      <c r="C2048" t="inlineStr">
        <is>
          <t>2024-01-19</t>
        </is>
      </c>
      <c r="D2048" t="n">
        <v>270</v>
      </c>
      <c r="E2048" t="inlineStr">
        <is>
          <t>BBG012HFHQV2</t>
        </is>
      </c>
    </row>
    <row r="2049">
      <c r="A2049" t="inlineStr">
        <is>
          <t>BBG01KNTN2H7 Equity</t>
        </is>
      </c>
      <c r="B2049" t="inlineStr">
        <is>
          <t>TSLA US 01/19/24 P272.5</t>
        </is>
      </c>
      <c r="C2049" t="inlineStr">
        <is>
          <t>2024-01-19</t>
        </is>
      </c>
      <c r="D2049" t="n">
        <v>272.5</v>
      </c>
      <c r="E2049" t="inlineStr">
        <is>
          <t>BBG01KNTN2H7</t>
        </is>
      </c>
    </row>
    <row r="2050">
      <c r="A2050" t="inlineStr">
        <is>
          <t>BBG012HFHRY7 Equity</t>
        </is>
      </c>
      <c r="B2050" t="inlineStr">
        <is>
          <t>TSLA US 01/19/24 P273.33</t>
        </is>
      </c>
      <c r="C2050" t="inlineStr">
        <is>
          <t>2024-01-19</t>
        </is>
      </c>
      <c r="D2050" t="n">
        <v>273.33</v>
      </c>
      <c r="E2050" t="inlineStr">
        <is>
          <t>BBG012HFHRY7</t>
        </is>
      </c>
    </row>
    <row r="2051">
      <c r="A2051" t="inlineStr">
        <is>
          <t>BBG01JX1VXN6 Equity</t>
        </is>
      </c>
      <c r="B2051" t="inlineStr">
        <is>
          <t>TSLA US 01/19/24 P275</t>
        </is>
      </c>
      <c r="C2051" t="inlineStr">
        <is>
          <t>2024-01-19</t>
        </is>
      </c>
      <c r="D2051" t="n">
        <v>275</v>
      </c>
      <c r="E2051" t="inlineStr">
        <is>
          <t>BBG01JX1VXN6</t>
        </is>
      </c>
    </row>
    <row r="2052">
      <c r="A2052" t="inlineStr">
        <is>
          <t>BBG012HFHT28 Equity</t>
        </is>
      </c>
      <c r="B2052" t="inlineStr">
        <is>
          <t>TSLA US 01/19/24 P276.67</t>
        </is>
      </c>
      <c r="C2052" t="inlineStr">
        <is>
          <t>2024-01-19</t>
        </is>
      </c>
      <c r="D2052" t="n">
        <v>276.67</v>
      </c>
      <c r="E2052" t="inlineStr">
        <is>
          <t>BBG012HFHT28</t>
        </is>
      </c>
    </row>
    <row r="2053">
      <c r="A2053" t="inlineStr">
        <is>
          <t>BBG01KNTN3M9 Equity</t>
        </is>
      </c>
      <c r="B2053" t="inlineStr">
        <is>
          <t>TSLA US 01/19/24 P277.5</t>
        </is>
      </c>
      <c r="C2053" t="inlineStr">
        <is>
          <t>2024-01-19</t>
        </is>
      </c>
      <c r="D2053" t="n">
        <v>277.5</v>
      </c>
      <c r="E2053" t="inlineStr">
        <is>
          <t>BBG01KNTN3M9</t>
        </is>
      </c>
    </row>
    <row r="2054">
      <c r="A2054" t="inlineStr">
        <is>
          <t>BBG012HFHV50 Equity</t>
        </is>
      </c>
      <c r="B2054" t="inlineStr">
        <is>
          <t>TSLA US 01/19/24 P280</t>
        </is>
      </c>
      <c r="C2054" t="inlineStr">
        <is>
          <t>2024-01-19</t>
        </is>
      </c>
      <c r="D2054" t="n">
        <v>280</v>
      </c>
      <c r="E2054" t="inlineStr">
        <is>
          <t>BBG012HFHV50</t>
        </is>
      </c>
    </row>
    <row r="2055">
      <c r="A2055" t="inlineStr">
        <is>
          <t>BBG01KQXVJ70 Equity</t>
        </is>
      </c>
      <c r="B2055" t="inlineStr">
        <is>
          <t>TSLA US 01/19/24 P282.5</t>
        </is>
      </c>
      <c r="C2055" t="inlineStr">
        <is>
          <t>2024-01-19</t>
        </is>
      </c>
      <c r="D2055" t="n">
        <v>282.5</v>
      </c>
      <c r="E2055" t="inlineStr">
        <is>
          <t>BBG01KQXVJ70</t>
        </is>
      </c>
    </row>
    <row r="2056">
      <c r="A2056" t="inlineStr">
        <is>
          <t>BBG012HFHW85 Equity</t>
        </is>
      </c>
      <c r="B2056" t="inlineStr">
        <is>
          <t>TSLA US 01/19/24 P283.33</t>
        </is>
      </c>
      <c r="C2056" t="inlineStr">
        <is>
          <t>2024-01-19</t>
        </is>
      </c>
      <c r="D2056" t="n">
        <v>283.33</v>
      </c>
      <c r="E2056" t="inlineStr">
        <is>
          <t>BBG012HFHW85</t>
        </is>
      </c>
    </row>
    <row r="2057">
      <c r="A2057" t="inlineStr">
        <is>
          <t>BBG01JX1VYS9 Equity</t>
        </is>
      </c>
      <c r="B2057" t="inlineStr">
        <is>
          <t>TSLA US 01/19/24 P285</t>
        </is>
      </c>
      <c r="C2057" t="inlineStr">
        <is>
          <t>2024-01-19</t>
        </is>
      </c>
      <c r="D2057" t="n">
        <v>285</v>
      </c>
      <c r="E2057" t="inlineStr">
        <is>
          <t>BBG01JX1VYS9</t>
        </is>
      </c>
    </row>
    <row r="2058">
      <c r="A2058" t="inlineStr">
        <is>
          <t>BBG012HFHXD7 Equity</t>
        </is>
      </c>
      <c r="B2058" t="inlineStr">
        <is>
          <t>TSLA US 01/19/24 P286.67</t>
        </is>
      </c>
      <c r="C2058" t="inlineStr">
        <is>
          <t>2024-01-19</t>
        </is>
      </c>
      <c r="D2058" t="n">
        <v>286.67</v>
      </c>
      <c r="E2058" t="inlineStr">
        <is>
          <t>BBG012HFHXD7</t>
        </is>
      </c>
    </row>
    <row r="2059">
      <c r="A2059" t="inlineStr">
        <is>
          <t>BBG01KSYCVH9 Equity</t>
        </is>
      </c>
      <c r="B2059" t="inlineStr">
        <is>
          <t>TSLA US 01/19/24 P287.5</t>
        </is>
      </c>
      <c r="C2059" t="inlineStr">
        <is>
          <t>2024-01-19</t>
        </is>
      </c>
      <c r="D2059" t="n">
        <v>287.5</v>
      </c>
      <c r="E2059" t="inlineStr">
        <is>
          <t>BBG01KSYCVH9</t>
        </is>
      </c>
    </row>
    <row r="2060">
      <c r="A2060" t="inlineStr">
        <is>
          <t>BBG012HFHYH1 Equity</t>
        </is>
      </c>
      <c r="B2060" t="inlineStr">
        <is>
          <t>TSLA US 01/19/24 P290</t>
        </is>
      </c>
      <c r="C2060" t="inlineStr">
        <is>
          <t>2024-01-19</t>
        </is>
      </c>
      <c r="D2060" t="n">
        <v>290</v>
      </c>
      <c r="E2060" t="inlineStr">
        <is>
          <t>BBG012HFHYH1</t>
        </is>
      </c>
    </row>
    <row r="2061">
      <c r="A2061" t="inlineStr">
        <is>
          <t>BBG012HFHZL3 Equity</t>
        </is>
      </c>
      <c r="B2061" t="inlineStr">
        <is>
          <t>TSLA US 01/19/24 P293.33</t>
        </is>
      </c>
      <c r="C2061" t="inlineStr">
        <is>
          <t>2024-01-19</t>
        </is>
      </c>
      <c r="D2061" t="n">
        <v>293.33</v>
      </c>
      <c r="E2061" t="inlineStr">
        <is>
          <t>BBG012HFHZL3</t>
        </is>
      </c>
    </row>
    <row r="2062">
      <c r="A2062" t="inlineStr">
        <is>
          <t>BBG01JX1VZW1 Equity</t>
        </is>
      </c>
      <c r="B2062" t="inlineStr">
        <is>
          <t>TSLA US 01/19/24 P295</t>
        </is>
      </c>
      <c r="C2062" t="inlineStr">
        <is>
          <t>2024-01-19</t>
        </is>
      </c>
      <c r="D2062" t="n">
        <v>295</v>
      </c>
      <c r="E2062" t="inlineStr">
        <is>
          <t>BBG01JX1VZW1</t>
        </is>
      </c>
    </row>
    <row r="2063">
      <c r="A2063" t="inlineStr">
        <is>
          <t>BBG012HFJ0Q3 Equity</t>
        </is>
      </c>
      <c r="B2063" t="inlineStr">
        <is>
          <t>TSLA US 01/19/24 P296.67</t>
        </is>
      </c>
      <c r="C2063" t="inlineStr">
        <is>
          <t>2024-01-19</t>
        </is>
      </c>
      <c r="D2063" t="n">
        <v>296.67</v>
      </c>
      <c r="E2063" t="inlineStr">
        <is>
          <t>BBG012HFJ0Q3</t>
        </is>
      </c>
    </row>
    <row r="2064">
      <c r="A2064" t="inlineStr">
        <is>
          <t>BBG012J61HP4 Equity</t>
        </is>
      </c>
      <c r="B2064" t="inlineStr">
        <is>
          <t>TSLA US 01/19/24 P300</t>
        </is>
      </c>
      <c r="C2064" t="inlineStr">
        <is>
          <t>2024-01-19</t>
        </is>
      </c>
      <c r="D2064" t="n">
        <v>300</v>
      </c>
      <c r="E2064" t="inlineStr">
        <is>
          <t>BBG012J61HP4</t>
        </is>
      </c>
    </row>
    <row r="2065">
      <c r="A2065" t="inlineStr">
        <is>
          <t>BBG014TNYQV9 Equity</t>
        </is>
      </c>
      <c r="B2065" t="inlineStr">
        <is>
          <t>TSLA US 01/19/24 P303.33</t>
        </is>
      </c>
      <c r="C2065" t="inlineStr">
        <is>
          <t>2024-01-19</t>
        </is>
      </c>
      <c r="D2065" t="n">
        <v>303.33</v>
      </c>
      <c r="E2065" t="inlineStr">
        <is>
          <t>BBG014TNYQV9</t>
        </is>
      </c>
    </row>
    <row r="2066">
      <c r="A2066" t="inlineStr">
        <is>
          <t>BBG01JX1W0Z4 Equity</t>
        </is>
      </c>
      <c r="B2066" t="inlineStr">
        <is>
          <t>TSLA US 01/19/24 P305</t>
        </is>
      </c>
      <c r="C2066" t="inlineStr">
        <is>
          <t>2024-01-19</t>
        </is>
      </c>
      <c r="D2066" t="n">
        <v>305</v>
      </c>
      <c r="E2066" t="inlineStr">
        <is>
          <t>BBG01JX1W0Z4</t>
        </is>
      </c>
    </row>
    <row r="2067">
      <c r="A2067" t="inlineStr">
        <is>
          <t>BBG012J61JV3 Equity</t>
        </is>
      </c>
      <c r="B2067" t="inlineStr">
        <is>
          <t>TSLA US 01/19/24 P306.67</t>
        </is>
      </c>
      <c r="C2067" t="inlineStr">
        <is>
          <t>2024-01-19</t>
        </is>
      </c>
      <c r="D2067" t="n">
        <v>306.67</v>
      </c>
      <c r="E2067" t="inlineStr">
        <is>
          <t>BBG012J61JV3</t>
        </is>
      </c>
    </row>
    <row r="2068">
      <c r="A2068" t="inlineStr">
        <is>
          <t>BBG014TNYRY4 Equity</t>
        </is>
      </c>
      <c r="B2068" t="inlineStr">
        <is>
          <t>TSLA US 01/19/24 P310</t>
        </is>
      </c>
      <c r="C2068" t="inlineStr">
        <is>
          <t>2024-01-19</t>
        </is>
      </c>
      <c r="D2068" t="n">
        <v>310</v>
      </c>
      <c r="E2068" t="inlineStr">
        <is>
          <t>BBG014TNYRY4</t>
        </is>
      </c>
    </row>
    <row r="2069">
      <c r="A2069" t="inlineStr">
        <is>
          <t>BBG012J61KY7 Equity</t>
        </is>
      </c>
      <c r="B2069" t="inlineStr">
        <is>
          <t>TSLA US 01/19/24 P313.33</t>
        </is>
      </c>
      <c r="C2069" t="inlineStr">
        <is>
          <t>2024-01-19</t>
        </is>
      </c>
      <c r="D2069" t="n">
        <v>313.33</v>
      </c>
      <c r="E2069" t="inlineStr">
        <is>
          <t>BBG012J61KY7</t>
        </is>
      </c>
    </row>
    <row r="2070">
      <c r="A2070" t="inlineStr">
        <is>
          <t>BBG01K17QCY5 Equity</t>
        </is>
      </c>
      <c r="B2070" t="inlineStr">
        <is>
          <t>TSLA US 01/19/24 P315</t>
        </is>
      </c>
      <c r="C2070" t="inlineStr">
        <is>
          <t>2024-01-19</t>
        </is>
      </c>
      <c r="D2070" t="n">
        <v>315</v>
      </c>
      <c r="E2070" t="inlineStr">
        <is>
          <t>BBG01K17QCY5</t>
        </is>
      </c>
    </row>
    <row r="2071">
      <c r="A2071" t="inlineStr">
        <is>
          <t>BBG012J61M28 Equity</t>
        </is>
      </c>
      <c r="B2071" t="inlineStr">
        <is>
          <t>TSLA US 01/19/24 P316.67</t>
        </is>
      </c>
      <c r="C2071" t="inlineStr">
        <is>
          <t>2024-01-19</t>
        </is>
      </c>
      <c r="D2071" t="n">
        <v>316.67</v>
      </c>
      <c r="E2071" t="inlineStr">
        <is>
          <t>BBG012J61M28</t>
        </is>
      </c>
    </row>
    <row r="2072">
      <c r="A2072" t="inlineStr">
        <is>
          <t>BBG012J61N53 Equity</t>
        </is>
      </c>
      <c r="B2072" t="inlineStr">
        <is>
          <t>TSLA US 01/19/24 P320</t>
        </is>
      </c>
      <c r="C2072" t="inlineStr">
        <is>
          <t>2024-01-19</t>
        </is>
      </c>
      <c r="D2072" t="n">
        <v>320</v>
      </c>
      <c r="E2072" t="inlineStr">
        <is>
          <t>BBG012J61N53</t>
        </is>
      </c>
    </row>
    <row r="2073">
      <c r="A2073" t="inlineStr">
        <is>
          <t>BBG014TNYT25 Equity</t>
        </is>
      </c>
      <c r="B2073" t="inlineStr">
        <is>
          <t>TSLA US 01/19/24 P323.33</t>
        </is>
      </c>
      <c r="C2073" t="inlineStr">
        <is>
          <t>2024-01-19</t>
        </is>
      </c>
      <c r="D2073" t="n">
        <v>323.33</v>
      </c>
      <c r="E2073" t="inlineStr">
        <is>
          <t>BBG014TNYT25</t>
        </is>
      </c>
    </row>
    <row r="2074">
      <c r="A2074" t="inlineStr">
        <is>
          <t>BBG012NFX231 Equity</t>
        </is>
      </c>
      <c r="B2074" t="inlineStr">
        <is>
          <t>TSLA US 01/19/24 P325</t>
        </is>
      </c>
      <c r="C2074" t="inlineStr">
        <is>
          <t>2024-01-19</t>
        </is>
      </c>
      <c r="D2074" t="n">
        <v>325</v>
      </c>
      <c r="E2074" t="inlineStr">
        <is>
          <t>BBG012NFX231</t>
        </is>
      </c>
    </row>
    <row r="2075">
      <c r="A2075" t="inlineStr">
        <is>
          <t>BBG012J61P85 Equity</t>
        </is>
      </c>
      <c r="B2075" t="inlineStr">
        <is>
          <t>TSLA US 01/19/24 P326.67</t>
        </is>
      </c>
      <c r="C2075" t="inlineStr">
        <is>
          <t>2024-01-19</t>
        </is>
      </c>
      <c r="D2075" t="n">
        <v>326.67</v>
      </c>
      <c r="E2075" t="inlineStr">
        <is>
          <t>BBG012J61P85</t>
        </is>
      </c>
    </row>
    <row r="2076">
      <c r="A2076" t="inlineStr">
        <is>
          <t>BBG01HX6DYF6 Equity</t>
        </is>
      </c>
      <c r="B2076" t="inlineStr">
        <is>
          <t>TSLA US 02/16/24 P200</t>
        </is>
      </c>
      <c r="C2076" t="inlineStr">
        <is>
          <t>2024-02-16</t>
        </is>
      </c>
      <c r="D2076" t="n">
        <v>200</v>
      </c>
      <c r="E2076" t="inlineStr">
        <is>
          <t>BBG01HX6DYF6</t>
        </is>
      </c>
    </row>
    <row r="2077">
      <c r="A2077" t="inlineStr">
        <is>
          <t>BBG01HX6DZJ9 Equity</t>
        </is>
      </c>
      <c r="B2077" t="inlineStr">
        <is>
          <t>TSLA US 02/16/24 P205</t>
        </is>
      </c>
      <c r="C2077" t="inlineStr">
        <is>
          <t>2024-02-16</t>
        </is>
      </c>
      <c r="D2077" t="n">
        <v>205</v>
      </c>
      <c r="E2077" t="inlineStr">
        <is>
          <t>BBG01HX6DZJ9</t>
        </is>
      </c>
    </row>
    <row r="2078">
      <c r="A2078" t="inlineStr">
        <is>
          <t>BBG01HX6F0M0 Equity</t>
        </is>
      </c>
      <c r="B2078" t="inlineStr">
        <is>
          <t>TSLA US 02/16/24 P210</t>
        </is>
      </c>
      <c r="C2078" t="inlineStr">
        <is>
          <t>2024-02-16</t>
        </is>
      </c>
      <c r="D2078" t="n">
        <v>210</v>
      </c>
      <c r="E2078" t="inlineStr">
        <is>
          <t>BBG01HX6F0M0</t>
        </is>
      </c>
    </row>
    <row r="2079">
      <c r="A2079" t="inlineStr">
        <is>
          <t>BBG01HX6F1S2 Equity</t>
        </is>
      </c>
      <c r="B2079" t="inlineStr">
        <is>
          <t>TSLA US 02/16/24 P215</t>
        </is>
      </c>
      <c r="C2079" t="inlineStr">
        <is>
          <t>2024-02-16</t>
        </is>
      </c>
      <c r="D2079" t="n">
        <v>215</v>
      </c>
      <c r="E2079" t="inlineStr">
        <is>
          <t>BBG01HX6F1S2</t>
        </is>
      </c>
    </row>
    <row r="2080">
      <c r="A2080" t="inlineStr">
        <is>
          <t>BBG01HX6F2W5 Equity</t>
        </is>
      </c>
      <c r="B2080" t="inlineStr">
        <is>
          <t>TSLA US 02/16/24 P220</t>
        </is>
      </c>
      <c r="C2080" t="inlineStr">
        <is>
          <t>2024-02-16</t>
        </is>
      </c>
      <c r="D2080" t="n">
        <v>220</v>
      </c>
      <c r="E2080" t="inlineStr">
        <is>
          <t>BBG01HX6F2W5</t>
        </is>
      </c>
    </row>
    <row r="2081">
      <c r="A2081" t="inlineStr">
        <is>
          <t>BBG01HX6F3Z0 Equity</t>
        </is>
      </c>
      <c r="B2081" t="inlineStr">
        <is>
          <t>TSLA US 02/16/24 P225</t>
        </is>
      </c>
      <c r="C2081" t="inlineStr">
        <is>
          <t>2024-02-16</t>
        </is>
      </c>
      <c r="D2081" t="n">
        <v>225</v>
      </c>
      <c r="E2081" t="inlineStr">
        <is>
          <t>BBG01HX6F3Z0</t>
        </is>
      </c>
    </row>
    <row r="2082">
      <c r="A2082" t="inlineStr">
        <is>
          <t>BBG01HX6F530 Equity</t>
        </is>
      </c>
      <c r="B2082" t="inlineStr">
        <is>
          <t>TSLA US 02/16/24 P230</t>
        </is>
      </c>
      <c r="C2082" t="inlineStr">
        <is>
          <t>2024-02-16</t>
        </is>
      </c>
      <c r="D2082" t="n">
        <v>230</v>
      </c>
      <c r="E2082" t="inlineStr">
        <is>
          <t>BBG01HX6F530</t>
        </is>
      </c>
    </row>
    <row r="2083">
      <c r="A2083" t="inlineStr">
        <is>
          <t>BBG01HX6F665 Equity</t>
        </is>
      </c>
      <c r="B2083" t="inlineStr">
        <is>
          <t>TSLA US 02/16/24 P235</t>
        </is>
      </c>
      <c r="C2083" t="inlineStr">
        <is>
          <t>2024-02-16</t>
        </is>
      </c>
      <c r="D2083" t="n">
        <v>235</v>
      </c>
      <c r="E2083" t="inlineStr">
        <is>
          <t>BBG01HX6F665</t>
        </is>
      </c>
    </row>
    <row r="2084">
      <c r="A2084" t="inlineStr">
        <is>
          <t>BBG01HX6F790 Equity</t>
        </is>
      </c>
      <c r="B2084" t="inlineStr">
        <is>
          <t>TSLA US 02/16/24 P240</t>
        </is>
      </c>
      <c r="C2084" t="inlineStr">
        <is>
          <t>2024-02-16</t>
        </is>
      </c>
      <c r="D2084" t="n">
        <v>240</v>
      </c>
      <c r="E2084" t="inlineStr">
        <is>
          <t>BBG01HX6F790</t>
        </is>
      </c>
    </row>
    <row r="2085">
      <c r="A2085" t="inlineStr">
        <is>
          <t>BBG01HX6F8F1 Equity</t>
        </is>
      </c>
      <c r="B2085" t="inlineStr">
        <is>
          <t>TSLA US 02/16/24 P245</t>
        </is>
      </c>
      <c r="C2085" t="inlineStr">
        <is>
          <t>2024-02-16</t>
        </is>
      </c>
      <c r="D2085" t="n">
        <v>245</v>
      </c>
      <c r="E2085" t="inlineStr">
        <is>
          <t>BBG01HX6F8F1</t>
        </is>
      </c>
    </row>
    <row r="2086">
      <c r="A2086" t="inlineStr">
        <is>
          <t>BBG01HX6F9J5 Equity</t>
        </is>
      </c>
      <c r="B2086" t="inlineStr">
        <is>
          <t>TSLA US 02/16/24 P250</t>
        </is>
      </c>
      <c r="C2086" t="inlineStr">
        <is>
          <t>2024-02-16</t>
        </is>
      </c>
      <c r="D2086" t="n">
        <v>250</v>
      </c>
      <c r="E2086" t="inlineStr">
        <is>
          <t>BBG01HX6F9J5</t>
        </is>
      </c>
    </row>
    <row r="2087">
      <c r="A2087" t="inlineStr">
        <is>
          <t>BBG01HX6FBM6 Equity</t>
        </is>
      </c>
      <c r="B2087" t="inlineStr">
        <is>
          <t>TSLA US 02/16/24 P255</t>
        </is>
      </c>
      <c r="C2087" t="inlineStr">
        <is>
          <t>2024-02-16</t>
        </is>
      </c>
      <c r="D2087" t="n">
        <v>255</v>
      </c>
      <c r="E2087" t="inlineStr">
        <is>
          <t>BBG01HX6FBM6</t>
        </is>
      </c>
    </row>
    <row r="2088">
      <c r="A2088" t="inlineStr">
        <is>
          <t>BBG01HX6FCR9 Equity</t>
        </is>
      </c>
      <c r="B2088" t="inlineStr">
        <is>
          <t>TSLA US 02/16/24 P260</t>
        </is>
      </c>
      <c r="C2088" t="inlineStr">
        <is>
          <t>2024-02-16</t>
        </is>
      </c>
      <c r="D2088" t="n">
        <v>260</v>
      </c>
      <c r="E2088" t="inlineStr">
        <is>
          <t>BBG01HX6FCR9</t>
        </is>
      </c>
    </row>
    <row r="2089">
      <c r="A2089" t="inlineStr">
        <is>
          <t>BBG01HX6FDV2 Equity</t>
        </is>
      </c>
      <c r="B2089" t="inlineStr">
        <is>
          <t>TSLA US 02/16/24 P265</t>
        </is>
      </c>
      <c r="C2089" t="inlineStr">
        <is>
          <t>2024-02-16</t>
        </is>
      </c>
      <c r="D2089" t="n">
        <v>265</v>
      </c>
      <c r="E2089" t="inlineStr">
        <is>
          <t>BBG01HX6FDV2</t>
        </is>
      </c>
    </row>
    <row r="2090">
      <c r="A2090" t="inlineStr">
        <is>
          <t>BBG01HX6FFY4 Equity</t>
        </is>
      </c>
      <c r="B2090" t="inlineStr">
        <is>
          <t>TSLA US 02/16/24 P270</t>
        </is>
      </c>
      <c r="C2090" t="inlineStr">
        <is>
          <t>2024-02-16</t>
        </is>
      </c>
      <c r="D2090" t="n">
        <v>270</v>
      </c>
      <c r="E2090" t="inlineStr">
        <is>
          <t>BBG01HX6FFY4</t>
        </is>
      </c>
    </row>
    <row r="2091">
      <c r="A2091" t="inlineStr">
        <is>
          <t>BBG01HX6FH34 Equity</t>
        </is>
      </c>
      <c r="B2091" t="inlineStr">
        <is>
          <t>TSLA US 02/16/24 P275</t>
        </is>
      </c>
      <c r="C2091" t="inlineStr">
        <is>
          <t>2024-02-16</t>
        </is>
      </c>
      <c r="D2091" t="n">
        <v>275</v>
      </c>
      <c r="E2091" t="inlineStr">
        <is>
          <t>BBG01HX6FH34</t>
        </is>
      </c>
    </row>
    <row r="2092">
      <c r="A2092" t="inlineStr">
        <is>
          <t>BBG01HX6FJ67 Equity</t>
        </is>
      </c>
      <c r="B2092" t="inlineStr">
        <is>
          <t>TSLA US 02/16/24 P280</t>
        </is>
      </c>
      <c r="C2092" t="inlineStr">
        <is>
          <t>2024-02-16</t>
        </is>
      </c>
      <c r="D2092" t="n">
        <v>280</v>
      </c>
      <c r="E2092" t="inlineStr">
        <is>
          <t>BBG01HX6FJ67</t>
        </is>
      </c>
    </row>
    <row r="2093">
      <c r="A2093" t="inlineStr">
        <is>
          <t>BBG01HX6FK91 Equity</t>
        </is>
      </c>
      <c r="B2093" t="inlineStr">
        <is>
          <t>TSLA US 02/16/24 P285</t>
        </is>
      </c>
      <c r="C2093" t="inlineStr">
        <is>
          <t>2024-02-16</t>
        </is>
      </c>
      <c r="D2093" t="n">
        <v>285</v>
      </c>
      <c r="E2093" t="inlineStr">
        <is>
          <t>BBG01HX6FK91</t>
        </is>
      </c>
    </row>
    <row r="2094">
      <c r="A2094" t="inlineStr">
        <is>
          <t>BBG01HX6FLF2 Equity</t>
        </is>
      </c>
      <c r="B2094" t="inlineStr">
        <is>
          <t>TSLA US 02/16/24 P290</t>
        </is>
      </c>
      <c r="C2094" t="inlineStr">
        <is>
          <t>2024-02-16</t>
        </is>
      </c>
      <c r="D2094" t="n">
        <v>290</v>
      </c>
      <c r="E2094" t="inlineStr">
        <is>
          <t>BBG01HX6FLF2</t>
        </is>
      </c>
    </row>
    <row r="2095">
      <c r="A2095" t="inlineStr">
        <is>
          <t>BBG01HX6FMJ6 Equity</t>
        </is>
      </c>
      <c r="B2095" t="inlineStr">
        <is>
          <t>TSLA US 02/16/24 P295</t>
        </is>
      </c>
      <c r="C2095" t="inlineStr">
        <is>
          <t>2024-02-16</t>
        </is>
      </c>
      <c r="D2095" t="n">
        <v>295</v>
      </c>
      <c r="E2095" t="inlineStr">
        <is>
          <t>BBG01HX6FMJ6</t>
        </is>
      </c>
    </row>
    <row r="2096">
      <c r="A2096" t="inlineStr">
        <is>
          <t>BBG01HX6FNN9 Equity</t>
        </is>
      </c>
      <c r="B2096" t="inlineStr">
        <is>
          <t>TSLA US 02/16/24 P300</t>
        </is>
      </c>
      <c r="C2096" t="inlineStr">
        <is>
          <t>2024-02-16</t>
        </is>
      </c>
      <c r="D2096" t="n">
        <v>300</v>
      </c>
      <c r="E2096" t="inlineStr">
        <is>
          <t>BBG01HX6FNN9</t>
        </is>
      </c>
    </row>
    <row r="2097">
      <c r="A2097" t="inlineStr">
        <is>
          <t>BBG01HX6FPR0 Equity</t>
        </is>
      </c>
      <c r="B2097" t="inlineStr">
        <is>
          <t>TSLA US 02/16/24 P305</t>
        </is>
      </c>
      <c r="C2097" t="inlineStr">
        <is>
          <t>2024-02-16</t>
        </is>
      </c>
      <c r="D2097" t="n">
        <v>305</v>
      </c>
      <c r="E2097" t="inlineStr">
        <is>
          <t>BBG01HX6FPR0</t>
        </is>
      </c>
    </row>
    <row r="2098">
      <c r="A2098" t="inlineStr">
        <is>
          <t>BBG01HX6FQV3 Equity</t>
        </is>
      </c>
      <c r="B2098" t="inlineStr">
        <is>
          <t>TSLA US 02/16/24 P310</t>
        </is>
      </c>
      <c r="C2098" t="inlineStr">
        <is>
          <t>2024-02-16</t>
        </is>
      </c>
      <c r="D2098" t="n">
        <v>310</v>
      </c>
      <c r="E2098" t="inlineStr">
        <is>
          <t>BBG01HX6FQV3</t>
        </is>
      </c>
    </row>
    <row r="2099">
      <c r="A2099" t="inlineStr">
        <is>
          <t>BBG01HX6FRZ7 Equity</t>
        </is>
      </c>
      <c r="B2099" t="inlineStr">
        <is>
          <t>TSLA US 02/16/24 P315</t>
        </is>
      </c>
      <c r="C2099" t="inlineStr">
        <is>
          <t>2024-02-16</t>
        </is>
      </c>
      <c r="D2099" t="n">
        <v>315</v>
      </c>
      <c r="E2099" t="inlineStr">
        <is>
          <t>BBG01HX6FRZ7</t>
        </is>
      </c>
    </row>
    <row r="2100">
      <c r="A2100" t="inlineStr">
        <is>
          <t>BBG01HX6FT29 Equity</t>
        </is>
      </c>
      <c r="B2100" t="inlineStr">
        <is>
          <t>TSLA US 02/16/24 P320</t>
        </is>
      </c>
      <c r="C2100" t="inlineStr">
        <is>
          <t>2024-02-16</t>
        </is>
      </c>
      <c r="D2100" t="n">
        <v>320</v>
      </c>
      <c r="E2100" t="inlineStr">
        <is>
          <t>BBG01HX6FT29</t>
        </is>
      </c>
    </row>
    <row r="2101">
      <c r="A2101" t="inlineStr">
        <is>
          <t>BBG01HX6FV51 Equity</t>
        </is>
      </c>
      <c r="B2101" t="inlineStr">
        <is>
          <t>TSLA US 02/16/24 P325</t>
        </is>
      </c>
      <c r="C2101" t="inlineStr">
        <is>
          <t>2024-02-16</t>
        </is>
      </c>
      <c r="D2101" t="n">
        <v>325</v>
      </c>
      <c r="E2101" t="inlineStr">
        <is>
          <t>BBG01HX6FV51</t>
        </is>
      </c>
    </row>
    <row r="2102">
      <c r="A2102" t="inlineStr">
        <is>
          <t>BBG018H63CC6 Equity</t>
        </is>
      </c>
      <c r="B2102" t="inlineStr">
        <is>
          <t>TSLA US 03/15/24 P200</t>
        </is>
      </c>
      <c r="C2102" t="inlineStr">
        <is>
          <t>2024-03-15</t>
        </is>
      </c>
      <c r="D2102" t="n">
        <v>200</v>
      </c>
      <c r="E2102" t="inlineStr">
        <is>
          <t>BBG018H63CC6</t>
        </is>
      </c>
    </row>
    <row r="2103">
      <c r="A2103" t="inlineStr">
        <is>
          <t>BBG01HKKQ0F9 Equity</t>
        </is>
      </c>
      <c r="B2103" t="inlineStr">
        <is>
          <t>TSLA US 03/15/24 P205</t>
        </is>
      </c>
      <c r="C2103" t="inlineStr">
        <is>
          <t>2024-03-15</t>
        </is>
      </c>
      <c r="D2103" t="n">
        <v>205</v>
      </c>
      <c r="E2103" t="inlineStr">
        <is>
          <t>BBG01HKKQ0F9</t>
        </is>
      </c>
    </row>
    <row r="2104">
      <c r="A2104" t="inlineStr">
        <is>
          <t>BBG018H63DG0 Equity</t>
        </is>
      </c>
      <c r="B2104" t="inlineStr">
        <is>
          <t>TSLA US 03/15/24 P208.33</t>
        </is>
      </c>
      <c r="C2104" t="inlineStr">
        <is>
          <t>2024-03-15</t>
        </is>
      </c>
      <c r="D2104" t="n">
        <v>208.33</v>
      </c>
      <c r="E2104" t="inlineStr">
        <is>
          <t>BBG018H63DG0</t>
        </is>
      </c>
    </row>
    <row r="2105">
      <c r="A2105" t="inlineStr">
        <is>
          <t>BBG01DC5S709 Equity</t>
        </is>
      </c>
      <c r="B2105" t="inlineStr">
        <is>
          <t>TSLA US 03/15/24 P210</t>
        </is>
      </c>
      <c r="C2105" t="inlineStr">
        <is>
          <t>2024-03-15</t>
        </is>
      </c>
      <c r="D2105" t="n">
        <v>210</v>
      </c>
      <c r="E2105" t="inlineStr">
        <is>
          <t>BBG01DC5S709</t>
        </is>
      </c>
    </row>
    <row r="2106">
      <c r="A2106" t="inlineStr">
        <is>
          <t>BBG01HKKQ1J3 Equity</t>
        </is>
      </c>
      <c r="B2106" t="inlineStr">
        <is>
          <t>TSLA US 03/15/24 P215</t>
        </is>
      </c>
      <c r="C2106" t="inlineStr">
        <is>
          <t>2024-03-15</t>
        </is>
      </c>
      <c r="D2106" t="n">
        <v>215</v>
      </c>
      <c r="E2106" t="inlineStr">
        <is>
          <t>BBG01HKKQ1J3</t>
        </is>
      </c>
    </row>
    <row r="2107">
      <c r="A2107" t="inlineStr">
        <is>
          <t>BBG018H63FK0 Equity</t>
        </is>
      </c>
      <c r="B2107" t="inlineStr">
        <is>
          <t>TSLA US 03/15/24 P216.67</t>
        </is>
      </c>
      <c r="C2107" t="inlineStr">
        <is>
          <t>2024-03-15</t>
        </is>
      </c>
      <c r="D2107" t="n">
        <v>216.67</v>
      </c>
      <c r="E2107" t="inlineStr">
        <is>
          <t>BBG018H63FK0</t>
        </is>
      </c>
    </row>
    <row r="2108">
      <c r="A2108" t="inlineStr">
        <is>
          <t>BBG01DJ4QF36 Equity</t>
        </is>
      </c>
      <c r="B2108" t="inlineStr">
        <is>
          <t>TSLA US 03/15/24 P220</t>
        </is>
      </c>
      <c r="C2108" t="inlineStr">
        <is>
          <t>2024-03-15</t>
        </is>
      </c>
      <c r="D2108" t="n">
        <v>220</v>
      </c>
      <c r="E2108" t="inlineStr">
        <is>
          <t>BBG01DJ4QF36</t>
        </is>
      </c>
    </row>
    <row r="2109">
      <c r="A2109" t="inlineStr">
        <is>
          <t>BBG018H63GP3 Equity</t>
        </is>
      </c>
      <c r="B2109" t="inlineStr">
        <is>
          <t>TSLA US 03/15/24 P225</t>
        </is>
      </c>
      <c r="C2109" t="inlineStr">
        <is>
          <t>2024-03-15</t>
        </is>
      </c>
      <c r="D2109" t="n">
        <v>225</v>
      </c>
      <c r="E2109" t="inlineStr">
        <is>
          <t>BBG018H63GP3</t>
        </is>
      </c>
    </row>
    <row r="2110">
      <c r="A2110" t="inlineStr">
        <is>
          <t>BBG01DJ4QG89 Equity</t>
        </is>
      </c>
      <c r="B2110" t="inlineStr">
        <is>
          <t>TSLA US 03/15/24 P230</t>
        </is>
      </c>
      <c r="C2110" t="inlineStr">
        <is>
          <t>2024-03-15</t>
        </is>
      </c>
      <c r="D2110" t="n">
        <v>230</v>
      </c>
      <c r="E2110" t="inlineStr">
        <is>
          <t>BBG01DJ4QG89</t>
        </is>
      </c>
    </row>
    <row r="2111">
      <c r="A2111" t="inlineStr">
        <is>
          <t>BBG018H63HS8 Equity</t>
        </is>
      </c>
      <c r="B2111" t="inlineStr">
        <is>
          <t>TSLA US 03/15/24 P233.33</t>
        </is>
      </c>
      <c r="C2111" t="inlineStr">
        <is>
          <t>2024-03-15</t>
        </is>
      </c>
      <c r="D2111" t="n">
        <v>233.33</v>
      </c>
      <c r="E2111" t="inlineStr">
        <is>
          <t>BBG018H63HS8</t>
        </is>
      </c>
    </row>
    <row r="2112">
      <c r="A2112" t="inlineStr">
        <is>
          <t>BBG01HKKQ2M7 Equity</t>
        </is>
      </c>
      <c r="B2112" t="inlineStr">
        <is>
          <t>TSLA US 03/15/24 P235</t>
        </is>
      </c>
      <c r="C2112" t="inlineStr">
        <is>
          <t>2024-03-15</t>
        </is>
      </c>
      <c r="D2112" t="n">
        <v>235</v>
      </c>
      <c r="E2112" t="inlineStr">
        <is>
          <t>BBG01HKKQ2M7</t>
        </is>
      </c>
    </row>
    <row r="2113">
      <c r="A2113" t="inlineStr">
        <is>
          <t>BBG01DMTJ0M7 Equity</t>
        </is>
      </c>
      <c r="B2113" t="inlineStr">
        <is>
          <t>TSLA US 03/15/24 P240</t>
        </is>
      </c>
      <c r="C2113" t="inlineStr">
        <is>
          <t>2024-03-15</t>
        </is>
      </c>
      <c r="D2113" t="n">
        <v>240</v>
      </c>
      <c r="E2113" t="inlineStr">
        <is>
          <t>BBG01DMTJ0M7</t>
        </is>
      </c>
    </row>
    <row r="2114">
      <c r="A2114" t="inlineStr">
        <is>
          <t>BBG018H63JW9 Equity</t>
        </is>
      </c>
      <c r="B2114" t="inlineStr">
        <is>
          <t>TSLA US 03/15/24 P241.67</t>
        </is>
      </c>
      <c r="C2114" t="inlineStr">
        <is>
          <t>2024-03-15</t>
        </is>
      </c>
      <c r="D2114" t="n">
        <v>241.67</v>
      </c>
      <c r="E2114" t="inlineStr">
        <is>
          <t>BBG018H63JW9</t>
        </is>
      </c>
    </row>
    <row r="2115">
      <c r="A2115" t="inlineStr">
        <is>
          <t>BBG01HKKQ3R0 Equity</t>
        </is>
      </c>
      <c r="B2115" t="inlineStr">
        <is>
          <t>TSLA US 03/15/24 P245</t>
        </is>
      </c>
      <c r="C2115" t="inlineStr">
        <is>
          <t>2024-03-15</t>
        </is>
      </c>
      <c r="D2115" t="n">
        <v>245</v>
      </c>
      <c r="E2115" t="inlineStr">
        <is>
          <t>BBG01HKKQ3R0</t>
        </is>
      </c>
    </row>
    <row r="2116">
      <c r="A2116" t="inlineStr">
        <is>
          <t>BBG018H63L09 Equity</t>
        </is>
      </c>
      <c r="B2116" t="inlineStr">
        <is>
          <t>TSLA US 03/15/24 P250</t>
        </is>
      </c>
      <c r="C2116" t="inlineStr">
        <is>
          <t>2024-03-15</t>
        </is>
      </c>
      <c r="D2116" t="n">
        <v>250</v>
      </c>
      <c r="E2116" t="inlineStr">
        <is>
          <t>BBG018H63L09</t>
        </is>
      </c>
    </row>
    <row r="2117">
      <c r="A2117" t="inlineStr">
        <is>
          <t>BBG01HKKQ4V3 Equity</t>
        </is>
      </c>
      <c r="B2117" t="inlineStr">
        <is>
          <t>TSLA US 03/15/24 P255</t>
        </is>
      </c>
      <c r="C2117" t="inlineStr">
        <is>
          <t>2024-03-15</t>
        </is>
      </c>
      <c r="D2117" t="n">
        <v>255</v>
      </c>
      <c r="E2117" t="inlineStr">
        <is>
          <t>BBG01HKKQ4V3</t>
        </is>
      </c>
    </row>
    <row r="2118">
      <c r="A2118" t="inlineStr">
        <is>
          <t>BBG018H63M34 Equity</t>
        </is>
      </c>
      <c r="B2118" t="inlineStr">
        <is>
          <t>TSLA US 03/15/24 P258.33</t>
        </is>
      </c>
      <c r="C2118" t="inlineStr">
        <is>
          <t>2024-03-15</t>
        </is>
      </c>
      <c r="D2118" t="n">
        <v>258.33</v>
      </c>
      <c r="E2118" t="inlineStr">
        <is>
          <t>BBG018H63M34</t>
        </is>
      </c>
    </row>
    <row r="2119">
      <c r="A2119" t="inlineStr">
        <is>
          <t>BBG01DMTJ1S9 Equity</t>
        </is>
      </c>
      <c r="B2119" t="inlineStr">
        <is>
          <t>TSLA US 03/15/24 P260</t>
        </is>
      </c>
      <c r="C2119" t="inlineStr">
        <is>
          <t>2024-03-15</t>
        </is>
      </c>
      <c r="D2119" t="n">
        <v>260</v>
      </c>
      <c r="E2119" t="inlineStr">
        <is>
          <t>BBG01DMTJ1S9</t>
        </is>
      </c>
    </row>
    <row r="2120">
      <c r="A2120" t="inlineStr">
        <is>
          <t>BBG01HKKQ5Y7 Equity</t>
        </is>
      </c>
      <c r="B2120" t="inlineStr">
        <is>
          <t>TSLA US 03/15/24 P265</t>
        </is>
      </c>
      <c r="C2120" t="inlineStr">
        <is>
          <t>2024-03-15</t>
        </is>
      </c>
      <c r="D2120" t="n">
        <v>265</v>
      </c>
      <c r="E2120" t="inlineStr">
        <is>
          <t>BBG01HKKQ5Y7</t>
        </is>
      </c>
    </row>
    <row r="2121">
      <c r="A2121" t="inlineStr">
        <is>
          <t>BBG018H63N69 Equity</t>
        </is>
      </c>
      <c r="B2121" t="inlineStr">
        <is>
          <t>TSLA US 03/15/24 P266.67</t>
        </is>
      </c>
      <c r="C2121" t="inlineStr">
        <is>
          <t>2024-03-15</t>
        </is>
      </c>
      <c r="D2121" t="n">
        <v>266.67</v>
      </c>
      <c r="E2121" t="inlineStr">
        <is>
          <t>BBG018H63N69</t>
        </is>
      </c>
    </row>
    <row r="2122">
      <c r="A2122" t="inlineStr">
        <is>
          <t>BBG01F2T75B8 Equity</t>
        </is>
      </c>
      <c r="B2122" t="inlineStr">
        <is>
          <t>TSLA US 03/15/24 P270</t>
        </is>
      </c>
      <c r="C2122" t="inlineStr">
        <is>
          <t>2024-03-15</t>
        </is>
      </c>
      <c r="D2122" t="n">
        <v>270</v>
      </c>
      <c r="E2122" t="inlineStr">
        <is>
          <t>BBG01F2T75B8</t>
        </is>
      </c>
    </row>
    <row r="2123">
      <c r="A2123" t="inlineStr">
        <is>
          <t>BBG018H63PB8 Equity</t>
        </is>
      </c>
      <c r="B2123" t="inlineStr">
        <is>
          <t>TSLA US 03/15/24 P275</t>
        </is>
      </c>
      <c r="C2123" t="inlineStr">
        <is>
          <t>2024-03-15</t>
        </is>
      </c>
      <c r="D2123" t="n">
        <v>275</v>
      </c>
      <c r="E2123" t="inlineStr">
        <is>
          <t>BBG018H63PB8</t>
        </is>
      </c>
    </row>
    <row r="2124">
      <c r="A2124" t="inlineStr">
        <is>
          <t>BBG01F2T76F2 Equity</t>
        </is>
      </c>
      <c r="B2124" t="inlineStr">
        <is>
          <t>TSLA US 03/15/24 P280</t>
        </is>
      </c>
      <c r="C2124" t="inlineStr">
        <is>
          <t>2024-03-15</t>
        </is>
      </c>
      <c r="D2124" t="n">
        <v>280</v>
      </c>
      <c r="E2124" t="inlineStr">
        <is>
          <t>BBG01F2T76F2</t>
        </is>
      </c>
    </row>
    <row r="2125">
      <c r="A2125" t="inlineStr">
        <is>
          <t>BBG018H63QF2 Equity</t>
        </is>
      </c>
      <c r="B2125" t="inlineStr">
        <is>
          <t>TSLA US 03/15/24 P283.33</t>
        </is>
      </c>
      <c r="C2125" t="inlineStr">
        <is>
          <t>2024-03-15</t>
        </is>
      </c>
      <c r="D2125" t="n">
        <v>283.33</v>
      </c>
      <c r="E2125" t="inlineStr">
        <is>
          <t>BBG018H63QF2</t>
        </is>
      </c>
    </row>
    <row r="2126">
      <c r="A2126" t="inlineStr">
        <is>
          <t>BBG01HKKQ728 Equity</t>
        </is>
      </c>
      <c r="B2126" t="inlineStr">
        <is>
          <t>TSLA US 03/15/24 P285</t>
        </is>
      </c>
      <c r="C2126" t="inlineStr">
        <is>
          <t>2024-03-15</t>
        </is>
      </c>
      <c r="D2126" t="n">
        <v>285</v>
      </c>
      <c r="E2126" t="inlineStr">
        <is>
          <t>BBG01HKKQ728</t>
        </is>
      </c>
    </row>
    <row r="2127">
      <c r="A2127" t="inlineStr">
        <is>
          <t>BBG01F3WH8V1 Equity</t>
        </is>
      </c>
      <c r="B2127" t="inlineStr">
        <is>
          <t>TSLA US 03/15/24 P290</t>
        </is>
      </c>
      <c r="C2127" t="inlineStr">
        <is>
          <t>2024-03-15</t>
        </is>
      </c>
      <c r="D2127" t="n">
        <v>290</v>
      </c>
      <c r="E2127" t="inlineStr">
        <is>
          <t>BBG01F3WH8V1</t>
        </is>
      </c>
    </row>
    <row r="2128">
      <c r="A2128" t="inlineStr">
        <is>
          <t>BBG018H63RJ6 Equity</t>
        </is>
      </c>
      <c r="B2128" t="inlineStr">
        <is>
          <t>TSLA US 03/15/24 P291.67</t>
        </is>
      </c>
      <c r="C2128" t="inlineStr">
        <is>
          <t>2024-03-15</t>
        </is>
      </c>
      <c r="D2128" t="n">
        <v>291.67</v>
      </c>
      <c r="E2128" t="inlineStr">
        <is>
          <t>BBG018H63RJ6</t>
        </is>
      </c>
    </row>
    <row r="2129">
      <c r="A2129" t="inlineStr">
        <is>
          <t>BBG01HKKQ853 Equity</t>
        </is>
      </c>
      <c r="B2129" t="inlineStr">
        <is>
          <t>TSLA US 03/15/24 P295</t>
        </is>
      </c>
      <c r="C2129" t="inlineStr">
        <is>
          <t>2024-03-15</t>
        </is>
      </c>
      <c r="D2129" t="n">
        <v>295</v>
      </c>
      <c r="E2129" t="inlineStr">
        <is>
          <t>BBG01HKKQ853</t>
        </is>
      </c>
    </row>
    <row r="2130">
      <c r="A2130" t="inlineStr">
        <is>
          <t>BBG018H63SN9 Equity</t>
        </is>
      </c>
      <c r="B2130" t="inlineStr">
        <is>
          <t>TSLA US 03/15/24 P300</t>
        </is>
      </c>
      <c r="C2130" t="inlineStr">
        <is>
          <t>2024-03-15</t>
        </is>
      </c>
      <c r="D2130" t="n">
        <v>300</v>
      </c>
      <c r="E2130" t="inlineStr">
        <is>
          <t>BBG018H63SN9</t>
        </is>
      </c>
    </row>
    <row r="2131">
      <c r="A2131" t="inlineStr">
        <is>
          <t>BBG01HKKQ997 Equity</t>
        </is>
      </c>
      <c r="B2131" t="inlineStr">
        <is>
          <t>TSLA US 03/15/24 P305</t>
        </is>
      </c>
      <c r="C2131" t="inlineStr">
        <is>
          <t>2024-03-15</t>
        </is>
      </c>
      <c r="D2131" t="n">
        <v>305</v>
      </c>
      <c r="E2131" t="inlineStr">
        <is>
          <t>BBG01HKKQ997</t>
        </is>
      </c>
    </row>
    <row r="2132">
      <c r="A2132" t="inlineStr">
        <is>
          <t>BBG018H63TR3 Equity</t>
        </is>
      </c>
      <c r="B2132" t="inlineStr">
        <is>
          <t>TSLA US 03/15/24 P308.33</t>
        </is>
      </c>
      <c r="C2132" t="inlineStr">
        <is>
          <t>2024-03-15</t>
        </is>
      </c>
      <c r="D2132" t="n">
        <v>308.33</v>
      </c>
      <c r="E2132" t="inlineStr">
        <is>
          <t>BBG018H63TR3</t>
        </is>
      </c>
    </row>
    <row r="2133">
      <c r="A2133" t="inlineStr">
        <is>
          <t>BBG01F723WP2 Equity</t>
        </is>
      </c>
      <c r="B2133" t="inlineStr">
        <is>
          <t>TSLA US 03/15/24 P310</t>
        </is>
      </c>
      <c r="C2133" t="inlineStr">
        <is>
          <t>2024-03-15</t>
        </is>
      </c>
      <c r="D2133" t="n">
        <v>310</v>
      </c>
      <c r="E2133" t="inlineStr">
        <is>
          <t>BBG01F723WP2</t>
        </is>
      </c>
    </row>
    <row r="2134">
      <c r="A2134" t="inlineStr">
        <is>
          <t>BBG01HKKQBD7 Equity</t>
        </is>
      </c>
      <c r="B2134" t="inlineStr">
        <is>
          <t>TSLA US 03/15/24 P315</t>
        </is>
      </c>
      <c r="C2134" t="inlineStr">
        <is>
          <t>2024-03-15</t>
        </is>
      </c>
      <c r="D2134" t="n">
        <v>315</v>
      </c>
      <c r="E2134" t="inlineStr">
        <is>
          <t>BBG01HKKQBD7</t>
        </is>
      </c>
    </row>
    <row r="2135">
      <c r="A2135" t="inlineStr">
        <is>
          <t>BBG018H63VV3 Equity</t>
        </is>
      </c>
      <c r="B2135" t="inlineStr">
        <is>
          <t>TSLA US 03/15/24 P316.67</t>
        </is>
      </c>
      <c r="C2135" t="inlineStr">
        <is>
          <t>2024-03-15</t>
        </is>
      </c>
      <c r="D2135" t="n">
        <v>316.67</v>
      </c>
      <c r="E2135" t="inlineStr">
        <is>
          <t>BBG018H63VV3</t>
        </is>
      </c>
    </row>
    <row r="2136">
      <c r="A2136" t="inlineStr">
        <is>
          <t>BBG01GZR9DZ9 Equity</t>
        </is>
      </c>
      <c r="B2136" t="inlineStr">
        <is>
          <t>TSLA US 03/15/24 P320</t>
        </is>
      </c>
      <c r="C2136" t="inlineStr">
        <is>
          <t>2024-03-15</t>
        </is>
      </c>
      <c r="D2136" t="n">
        <v>320</v>
      </c>
      <c r="E2136" t="inlineStr">
        <is>
          <t>BBG01GZR9DZ9</t>
        </is>
      </c>
    </row>
    <row r="2137">
      <c r="A2137" t="inlineStr">
        <is>
          <t>BBG018H63WZ7 Equity</t>
        </is>
      </c>
      <c r="B2137" t="inlineStr">
        <is>
          <t>TSLA US 03/15/24 P325</t>
        </is>
      </c>
      <c r="C2137" t="inlineStr">
        <is>
          <t>2024-03-15</t>
        </is>
      </c>
      <c r="D2137" t="n">
        <v>325</v>
      </c>
      <c r="E2137" t="inlineStr">
        <is>
          <t>BBG018H63WZ7</t>
        </is>
      </c>
    </row>
    <row r="2138">
      <c r="A2138" t="inlineStr">
        <is>
          <t>BBG01J3VT2N4 Equity</t>
        </is>
      </c>
      <c r="B2138" t="inlineStr">
        <is>
          <t>TSLA US 04/19/24 P145</t>
        </is>
      </c>
      <c r="C2138" t="inlineStr">
        <is>
          <t>2024-04-19</t>
        </is>
      </c>
      <c r="D2138" t="n">
        <v>145</v>
      </c>
      <c r="E2138" t="inlineStr">
        <is>
          <t>BBG01J3VT2N4</t>
        </is>
      </c>
    </row>
    <row r="2139">
      <c r="A2139" t="inlineStr">
        <is>
          <t>BBG01J3VT3R8 Equity</t>
        </is>
      </c>
      <c r="B2139" t="inlineStr">
        <is>
          <t>TSLA US 04/19/24 P150</t>
        </is>
      </c>
      <c r="C2139" t="inlineStr">
        <is>
          <t>2024-04-19</t>
        </is>
      </c>
      <c r="D2139" t="n">
        <v>150</v>
      </c>
      <c r="E2139" t="inlineStr">
        <is>
          <t>BBG01J3VT3R8</t>
        </is>
      </c>
    </row>
    <row r="2140">
      <c r="A2140" t="inlineStr">
        <is>
          <t>BBG01M24NHN1 Equity</t>
        </is>
      </c>
      <c r="B2140" t="inlineStr">
        <is>
          <t>TSLA US 04/19/24 P152.5</t>
        </is>
      </c>
      <c r="C2140" t="inlineStr">
        <is>
          <t>2024-04-19</t>
        </is>
      </c>
      <c r="D2140" t="n">
        <v>152.5</v>
      </c>
      <c r="E2140" t="inlineStr">
        <is>
          <t>BBG01M24NHN1</t>
        </is>
      </c>
    </row>
    <row r="2141">
      <c r="A2141" t="inlineStr">
        <is>
          <t>BBG01J3VT4V1 Equity</t>
        </is>
      </c>
      <c r="B2141" t="inlineStr">
        <is>
          <t>TSLA US 04/19/24 P155</t>
        </is>
      </c>
      <c r="C2141" t="inlineStr">
        <is>
          <t>2024-04-19</t>
        </is>
      </c>
      <c r="D2141" t="n">
        <v>155</v>
      </c>
      <c r="E2141" t="inlineStr">
        <is>
          <t>BBG01J3VT4V1</t>
        </is>
      </c>
    </row>
    <row r="2142">
      <c r="A2142" t="inlineStr">
        <is>
          <t>BBG01M24NJT1 Equity</t>
        </is>
      </c>
      <c r="B2142" t="inlineStr">
        <is>
          <t>TSLA US 04/19/24 P157.5</t>
        </is>
      </c>
      <c r="C2142" t="inlineStr">
        <is>
          <t>2024-04-19</t>
        </is>
      </c>
      <c r="D2142" t="n">
        <v>157.5</v>
      </c>
      <c r="E2142" t="inlineStr">
        <is>
          <t>BBG01M24NJT1</t>
        </is>
      </c>
    </row>
    <row r="2143">
      <c r="A2143" t="inlineStr">
        <is>
          <t>BBG01J3VT5Z4 Equity</t>
        </is>
      </c>
      <c r="B2143" t="inlineStr">
        <is>
          <t>TSLA US 04/19/24 P160</t>
        </is>
      </c>
      <c r="C2143" t="inlineStr">
        <is>
          <t>2024-04-19</t>
        </is>
      </c>
      <c r="D2143" t="n">
        <v>160</v>
      </c>
      <c r="E2143" t="inlineStr">
        <is>
          <t>BBG01J3VT5Z4</t>
        </is>
      </c>
    </row>
    <row r="2144">
      <c r="A2144" t="inlineStr">
        <is>
          <t>BBG01M24NKZ1 Equity</t>
        </is>
      </c>
      <c r="B2144" t="inlineStr">
        <is>
          <t>TSLA US 04/19/24 P162.5</t>
        </is>
      </c>
      <c r="C2144" t="inlineStr">
        <is>
          <t>2024-04-19</t>
        </is>
      </c>
      <c r="D2144" t="n">
        <v>162.5</v>
      </c>
      <c r="E2144" t="inlineStr">
        <is>
          <t>BBG01M24NKZ1</t>
        </is>
      </c>
    </row>
    <row r="2145">
      <c r="A2145" t="inlineStr">
        <is>
          <t>BBG01J3VT726 Equity</t>
        </is>
      </c>
      <c r="B2145" t="inlineStr">
        <is>
          <t>TSLA US 04/19/24 P165</t>
        </is>
      </c>
      <c r="C2145" t="inlineStr">
        <is>
          <t>2024-04-19</t>
        </is>
      </c>
      <c r="D2145" t="n">
        <v>165</v>
      </c>
      <c r="E2145" t="inlineStr">
        <is>
          <t>BBG01J3VT726</t>
        </is>
      </c>
    </row>
    <row r="2146">
      <c r="A2146" t="inlineStr">
        <is>
          <t>BBG01M24NM50 Equity</t>
        </is>
      </c>
      <c r="B2146" t="inlineStr">
        <is>
          <t>TSLA US 04/19/24 P167.5</t>
        </is>
      </c>
      <c r="C2146" t="inlineStr">
        <is>
          <t>2024-04-19</t>
        </is>
      </c>
      <c r="D2146" t="n">
        <v>167.5</v>
      </c>
      <c r="E2146" t="inlineStr">
        <is>
          <t>BBG01M24NM50</t>
        </is>
      </c>
    </row>
    <row r="2147">
      <c r="A2147" t="inlineStr">
        <is>
          <t>BBG01J3VT851 Equity</t>
        </is>
      </c>
      <c r="B2147" t="inlineStr">
        <is>
          <t>TSLA US 04/19/24 P170</t>
        </is>
      </c>
      <c r="C2147" t="inlineStr">
        <is>
          <t>2024-04-19</t>
        </is>
      </c>
      <c r="D2147" t="n">
        <v>170</v>
      </c>
      <c r="E2147" t="inlineStr">
        <is>
          <t>BBG01J3VT851</t>
        </is>
      </c>
    </row>
    <row r="2148">
      <c r="A2148" t="inlineStr">
        <is>
          <t>BBG01M24NNB1 Equity</t>
        </is>
      </c>
      <c r="B2148" t="inlineStr">
        <is>
          <t>TSLA US 04/19/24 P172.5</t>
        </is>
      </c>
      <c r="C2148" t="inlineStr">
        <is>
          <t>2024-04-19</t>
        </is>
      </c>
      <c r="D2148" t="n">
        <v>172.5</v>
      </c>
      <c r="E2148" t="inlineStr">
        <is>
          <t>BBG01M24NNB1</t>
        </is>
      </c>
    </row>
    <row r="2149">
      <c r="A2149" t="inlineStr">
        <is>
          <t>BBG01J3VT995 Equity</t>
        </is>
      </c>
      <c r="B2149" t="inlineStr">
        <is>
          <t>TSLA US 04/19/24 P175</t>
        </is>
      </c>
      <c r="C2149" t="inlineStr">
        <is>
          <t>2024-04-19</t>
        </is>
      </c>
      <c r="D2149" t="n">
        <v>175</v>
      </c>
      <c r="E2149" t="inlineStr">
        <is>
          <t>BBG01J3VT995</t>
        </is>
      </c>
    </row>
    <row r="2150">
      <c r="A2150" t="inlineStr">
        <is>
          <t>BBG01M24NPJ8 Equity</t>
        </is>
      </c>
      <c r="B2150" t="inlineStr">
        <is>
          <t>TSLA US 04/19/24 P177.5</t>
        </is>
      </c>
      <c r="C2150" t="inlineStr">
        <is>
          <t>2024-04-19</t>
        </is>
      </c>
      <c r="D2150" t="n">
        <v>177.5</v>
      </c>
      <c r="E2150" t="inlineStr">
        <is>
          <t>BBG01M24NPJ8</t>
        </is>
      </c>
    </row>
    <row r="2151">
      <c r="A2151" t="inlineStr">
        <is>
          <t>BBG01J3VTBD5 Equity</t>
        </is>
      </c>
      <c r="B2151" t="inlineStr">
        <is>
          <t>TSLA US 04/19/24 P180</t>
        </is>
      </c>
      <c r="C2151" t="inlineStr">
        <is>
          <t>2024-04-19</t>
        </is>
      </c>
      <c r="D2151" t="n">
        <v>180</v>
      </c>
      <c r="E2151" t="inlineStr">
        <is>
          <t>BBG01J3VTBD5</t>
        </is>
      </c>
    </row>
    <row r="2152">
      <c r="A2152" t="inlineStr">
        <is>
          <t>BBG01M24NQP9 Equity</t>
        </is>
      </c>
      <c r="B2152" t="inlineStr">
        <is>
          <t>TSLA US 04/19/24 P182.5</t>
        </is>
      </c>
      <c r="C2152" t="inlineStr">
        <is>
          <t>2024-04-19</t>
        </is>
      </c>
      <c r="D2152" t="n">
        <v>182.5</v>
      </c>
      <c r="E2152" t="inlineStr">
        <is>
          <t>BBG01M24NQP9</t>
        </is>
      </c>
    </row>
    <row r="2153">
      <c r="A2153" t="inlineStr">
        <is>
          <t>BBG01J3VTCH9 Equity</t>
        </is>
      </c>
      <c r="B2153" t="inlineStr">
        <is>
          <t>TSLA US 04/19/24 P185</t>
        </is>
      </c>
      <c r="C2153" t="inlineStr">
        <is>
          <t>2024-04-19</t>
        </is>
      </c>
      <c r="D2153" t="n">
        <v>185</v>
      </c>
      <c r="E2153" t="inlineStr">
        <is>
          <t>BBG01J3VTCH9</t>
        </is>
      </c>
    </row>
    <row r="2154">
      <c r="A2154" t="inlineStr">
        <is>
          <t>BBG01M24NRV0 Equity</t>
        </is>
      </c>
      <c r="B2154" t="inlineStr">
        <is>
          <t>TSLA US 04/19/24 P187.5</t>
        </is>
      </c>
      <c r="C2154" t="inlineStr">
        <is>
          <t>2024-04-19</t>
        </is>
      </c>
      <c r="D2154" t="n">
        <v>187.5</v>
      </c>
      <c r="E2154" t="inlineStr">
        <is>
          <t>BBG01M24NRV0</t>
        </is>
      </c>
    </row>
    <row r="2155">
      <c r="A2155" t="inlineStr">
        <is>
          <t>BBG01J3VTDM1 Equity</t>
        </is>
      </c>
      <c r="B2155" t="inlineStr">
        <is>
          <t>TSLA US 04/19/24 P190</t>
        </is>
      </c>
      <c r="C2155" t="inlineStr">
        <is>
          <t>2024-04-19</t>
        </is>
      </c>
      <c r="D2155" t="n">
        <v>190</v>
      </c>
      <c r="E2155" t="inlineStr">
        <is>
          <t>BBG01J3VTDM1</t>
        </is>
      </c>
    </row>
    <row r="2156">
      <c r="A2156" t="inlineStr">
        <is>
          <t>BBG01M3Z7R48 Equity</t>
        </is>
      </c>
      <c r="B2156" t="inlineStr">
        <is>
          <t>TSLA US 04/19/24 P192.5</t>
        </is>
      </c>
      <c r="C2156" t="inlineStr">
        <is>
          <t>2024-04-19</t>
        </is>
      </c>
      <c r="D2156" t="n">
        <v>192.5</v>
      </c>
      <c r="E2156" t="inlineStr">
        <is>
          <t>BBG01M3Z7R48</t>
        </is>
      </c>
    </row>
    <row r="2157">
      <c r="A2157" t="inlineStr">
        <is>
          <t>BBG01J3VTFQ2 Equity</t>
        </is>
      </c>
      <c r="B2157" t="inlineStr">
        <is>
          <t>TSLA US 04/19/24 P195</t>
        </is>
      </c>
      <c r="C2157" t="inlineStr">
        <is>
          <t>2024-04-19</t>
        </is>
      </c>
      <c r="D2157" t="n">
        <v>195</v>
      </c>
      <c r="E2157" t="inlineStr">
        <is>
          <t>BBG01J3VTFQ2</t>
        </is>
      </c>
    </row>
    <row r="2158">
      <c r="A2158" t="inlineStr">
        <is>
          <t>BBG01M3Z7S91 Equity</t>
        </is>
      </c>
      <c r="B2158" t="inlineStr">
        <is>
          <t>TSLA US 04/19/24 P197.5</t>
        </is>
      </c>
      <c r="C2158" t="inlineStr">
        <is>
          <t>2024-04-19</t>
        </is>
      </c>
      <c r="D2158" t="n">
        <v>197.5</v>
      </c>
      <c r="E2158" t="inlineStr">
        <is>
          <t>BBG01M3Z7S91</t>
        </is>
      </c>
    </row>
    <row r="2159">
      <c r="A2159" t="inlineStr">
        <is>
          <t>BBG01J3VTGT7 Equity</t>
        </is>
      </c>
      <c r="B2159" t="inlineStr">
        <is>
          <t>TSLA US 04/19/24 P200</t>
        </is>
      </c>
      <c r="C2159" t="inlineStr">
        <is>
          <t>2024-04-19</t>
        </is>
      </c>
      <c r="D2159" t="n">
        <v>200</v>
      </c>
      <c r="E2159" t="inlineStr">
        <is>
          <t>BBG01J3VTGT7</t>
        </is>
      </c>
    </row>
    <row r="2160">
      <c r="A2160" t="inlineStr">
        <is>
          <t>BBG01M3Z7TG1 Equity</t>
        </is>
      </c>
      <c r="B2160" t="inlineStr">
        <is>
          <t>TSLA US 04/19/24 P202.5</t>
        </is>
      </c>
      <c r="C2160" t="inlineStr">
        <is>
          <t>2024-04-19</t>
        </is>
      </c>
      <c r="D2160" t="n">
        <v>202.5</v>
      </c>
      <c r="E2160" t="inlineStr">
        <is>
          <t>BBG01M3Z7TG1</t>
        </is>
      </c>
    </row>
    <row r="2161">
      <c r="A2161" t="inlineStr">
        <is>
          <t>BBG01J3VTHY9 Equity</t>
        </is>
      </c>
      <c r="B2161" t="inlineStr">
        <is>
          <t>TSLA US 04/19/24 P205</t>
        </is>
      </c>
      <c r="C2161" t="inlineStr">
        <is>
          <t>2024-04-19</t>
        </is>
      </c>
      <c r="D2161" t="n">
        <v>205</v>
      </c>
      <c r="E2161" t="inlineStr">
        <is>
          <t>BBG01J3VTHY9</t>
        </is>
      </c>
    </row>
    <row r="2162">
      <c r="A2162" t="inlineStr">
        <is>
          <t>BBG01J3VTK18 Equity</t>
        </is>
      </c>
      <c r="B2162" t="inlineStr">
        <is>
          <t>TSLA US 04/19/24 P210</t>
        </is>
      </c>
      <c r="C2162" t="inlineStr">
        <is>
          <t>2024-04-19</t>
        </is>
      </c>
      <c r="D2162" t="n">
        <v>210</v>
      </c>
      <c r="E2162" t="inlineStr">
        <is>
          <t>BBG01J3VTK18</t>
        </is>
      </c>
    </row>
    <row r="2163">
      <c r="A2163" t="inlineStr">
        <is>
          <t>BBG01J3VTL43 Equity</t>
        </is>
      </c>
      <c r="B2163" t="inlineStr">
        <is>
          <t>TSLA US 04/19/24 P215</t>
        </is>
      </c>
      <c r="C2163" t="inlineStr">
        <is>
          <t>2024-04-19</t>
        </is>
      </c>
      <c r="D2163" t="n">
        <v>215</v>
      </c>
      <c r="E2163" t="inlineStr">
        <is>
          <t>BBG01J3VTL43</t>
        </is>
      </c>
    </row>
    <row r="2164">
      <c r="A2164" t="inlineStr">
        <is>
          <t>BBG01J3VTM87 Equity</t>
        </is>
      </c>
      <c r="B2164" t="inlineStr">
        <is>
          <t>TSLA US 04/19/24 P220</t>
        </is>
      </c>
      <c r="C2164" t="inlineStr">
        <is>
          <t>2024-04-19</t>
        </is>
      </c>
      <c r="D2164" t="n">
        <v>220</v>
      </c>
      <c r="E2164" t="inlineStr">
        <is>
          <t>BBG01J3VTM87</t>
        </is>
      </c>
    </row>
    <row r="2165">
      <c r="A2165" t="inlineStr">
        <is>
          <t>BBG01J3VTNC0 Equity</t>
        </is>
      </c>
      <c r="B2165" t="inlineStr">
        <is>
          <t>TSLA US 04/19/24 P225</t>
        </is>
      </c>
      <c r="C2165" t="inlineStr">
        <is>
          <t>2024-04-19</t>
        </is>
      </c>
      <c r="D2165" t="n">
        <v>225</v>
      </c>
      <c r="E2165" t="inlineStr">
        <is>
          <t>BBG01J3VTNC0</t>
        </is>
      </c>
    </row>
    <row r="2166">
      <c r="A2166" t="inlineStr">
        <is>
          <t>BBG01J3VTPG1 Equity</t>
        </is>
      </c>
      <c r="B2166" t="inlineStr">
        <is>
          <t>TSLA US 04/19/24 P230</t>
        </is>
      </c>
      <c r="C2166" t="inlineStr">
        <is>
          <t>2024-04-19</t>
        </is>
      </c>
      <c r="D2166" t="n">
        <v>230</v>
      </c>
      <c r="E2166" t="inlineStr">
        <is>
          <t>BBG01J3VTPG1</t>
        </is>
      </c>
    </row>
    <row r="2167">
      <c r="A2167" t="inlineStr">
        <is>
          <t>BBG01J3VTQL3 Equity</t>
        </is>
      </c>
      <c r="B2167" t="inlineStr">
        <is>
          <t>TSLA US 04/19/24 P235</t>
        </is>
      </c>
      <c r="C2167" t="inlineStr">
        <is>
          <t>2024-04-19</t>
        </is>
      </c>
      <c r="D2167" t="n">
        <v>235</v>
      </c>
      <c r="E2167" t="inlineStr">
        <is>
          <t>BBG01J3VTQL3</t>
        </is>
      </c>
    </row>
    <row r="2168">
      <c r="A2168" t="inlineStr">
        <is>
          <t>BBG01J3VTRP7 Equity</t>
        </is>
      </c>
      <c r="B2168" t="inlineStr">
        <is>
          <t>TSLA US 04/19/24 P240</t>
        </is>
      </c>
      <c r="C2168" t="inlineStr">
        <is>
          <t>2024-04-19</t>
        </is>
      </c>
      <c r="D2168" t="n">
        <v>240</v>
      </c>
      <c r="E2168" t="inlineStr">
        <is>
          <t>BBG01J3VTRP7</t>
        </is>
      </c>
    </row>
    <row r="2169">
      <c r="A2169" t="inlineStr">
        <is>
          <t>BBG01J3VTST1 Equity</t>
        </is>
      </c>
      <c r="B2169" t="inlineStr">
        <is>
          <t>TSLA US 04/19/24 P245</t>
        </is>
      </c>
      <c r="C2169" t="inlineStr">
        <is>
          <t>2024-04-19</t>
        </is>
      </c>
      <c r="D2169" t="n">
        <v>245</v>
      </c>
      <c r="E2169" t="inlineStr">
        <is>
          <t>BBG01J3VTST1</t>
        </is>
      </c>
    </row>
    <row r="2170">
      <c r="A2170" t="inlineStr">
        <is>
          <t>BBG01J3VTTX4 Equity</t>
        </is>
      </c>
      <c r="B2170" t="inlineStr">
        <is>
          <t>TSLA US 04/19/24 P250</t>
        </is>
      </c>
      <c r="C2170" t="inlineStr">
        <is>
          <t>2024-04-19</t>
        </is>
      </c>
      <c r="D2170" t="n">
        <v>250</v>
      </c>
      <c r="E2170" t="inlineStr">
        <is>
          <t>BBG01J3VTTX4</t>
        </is>
      </c>
    </row>
    <row r="2171">
      <c r="A2171" t="inlineStr">
        <is>
          <t>BBG01J3VTW03 Equity</t>
        </is>
      </c>
      <c r="B2171" t="inlineStr">
        <is>
          <t>TSLA US 04/19/24 P255</t>
        </is>
      </c>
      <c r="C2171" t="inlineStr">
        <is>
          <t>2024-04-19</t>
        </is>
      </c>
      <c r="D2171" t="n">
        <v>255</v>
      </c>
      <c r="E2171" t="inlineStr">
        <is>
          <t>BBG01J3VTW03</t>
        </is>
      </c>
    </row>
    <row r="2172">
      <c r="A2172" t="inlineStr">
        <is>
          <t>BBG01J3VTX47 Equity</t>
        </is>
      </c>
      <c r="B2172" t="inlineStr">
        <is>
          <t>TSLA US 04/19/24 P260</t>
        </is>
      </c>
      <c r="C2172" t="inlineStr">
        <is>
          <t>2024-04-19</t>
        </is>
      </c>
      <c r="D2172" t="n">
        <v>260</v>
      </c>
      <c r="E2172" t="inlineStr">
        <is>
          <t>BBG01J3VTX47</t>
        </is>
      </c>
    </row>
    <row r="2173">
      <c r="A2173" t="inlineStr">
        <is>
          <t>BBG01J3VTY72 Equity</t>
        </is>
      </c>
      <c r="B2173" t="inlineStr">
        <is>
          <t>TSLA US 04/19/24 P265</t>
        </is>
      </c>
      <c r="C2173" t="inlineStr">
        <is>
          <t>2024-04-19</t>
        </is>
      </c>
      <c r="D2173" t="n">
        <v>265</v>
      </c>
      <c r="E2173" t="inlineStr">
        <is>
          <t>BBG01J3VTY72</t>
        </is>
      </c>
    </row>
    <row r="2174">
      <c r="A2174" t="inlineStr">
        <is>
          <t>BBG01J3VTZB4 Equity</t>
        </is>
      </c>
      <c r="B2174" t="inlineStr">
        <is>
          <t>TSLA US 04/19/24 P270</t>
        </is>
      </c>
      <c r="C2174" t="inlineStr">
        <is>
          <t>2024-04-19</t>
        </is>
      </c>
      <c r="D2174" t="n">
        <v>270</v>
      </c>
      <c r="E2174" t="inlineStr">
        <is>
          <t>BBG01J3VTZB4</t>
        </is>
      </c>
    </row>
    <row r="2175">
      <c r="A2175" t="inlineStr">
        <is>
          <t>BBG01J3VV0G3 Equity</t>
        </is>
      </c>
      <c r="B2175" t="inlineStr">
        <is>
          <t>TSLA US 04/19/24 P275</t>
        </is>
      </c>
      <c r="C2175" t="inlineStr">
        <is>
          <t>2024-04-19</t>
        </is>
      </c>
      <c r="D2175" t="n">
        <v>275</v>
      </c>
      <c r="E2175" t="inlineStr">
        <is>
          <t>BBG01J3VV0G3</t>
        </is>
      </c>
    </row>
    <row r="2176">
      <c r="A2176" t="inlineStr">
        <is>
          <t>BBG01J3VV1K6 Equity</t>
        </is>
      </c>
      <c r="B2176" t="inlineStr">
        <is>
          <t>TSLA US 04/19/24 P280</t>
        </is>
      </c>
      <c r="C2176" t="inlineStr">
        <is>
          <t>2024-04-19</t>
        </is>
      </c>
      <c r="D2176" t="n">
        <v>280</v>
      </c>
      <c r="E2176" t="inlineStr">
        <is>
          <t>BBG01J3VV1K6</t>
        </is>
      </c>
    </row>
    <row r="2177">
      <c r="A2177" t="inlineStr">
        <is>
          <t>BBG01J3VV2N1 Equity</t>
        </is>
      </c>
      <c r="B2177" t="inlineStr">
        <is>
          <t>TSLA US 04/19/24 P285</t>
        </is>
      </c>
      <c r="C2177" t="inlineStr">
        <is>
          <t>2024-04-19</t>
        </is>
      </c>
      <c r="D2177" t="n">
        <v>285</v>
      </c>
      <c r="E2177" t="inlineStr">
        <is>
          <t>BBG01J3VV2N1</t>
        </is>
      </c>
    </row>
    <row r="2178">
      <c r="A2178" t="inlineStr">
        <is>
          <t>BBG01J3VV3S4 Equity</t>
        </is>
      </c>
      <c r="B2178" t="inlineStr">
        <is>
          <t>TSLA US 04/19/24 P290</t>
        </is>
      </c>
      <c r="C2178" t="inlineStr">
        <is>
          <t>2024-04-19</t>
        </is>
      </c>
      <c r="D2178" t="n">
        <v>290</v>
      </c>
      <c r="E2178" t="inlineStr">
        <is>
          <t>BBG01J3VV3S4</t>
        </is>
      </c>
    </row>
    <row r="2179">
      <c r="A2179" t="inlineStr">
        <is>
          <t>BBG01J3VV4W7 Equity</t>
        </is>
      </c>
      <c r="B2179" t="inlineStr">
        <is>
          <t>TSLA US 04/19/24 P295</t>
        </is>
      </c>
      <c r="C2179" t="inlineStr">
        <is>
          <t>2024-04-19</t>
        </is>
      </c>
      <c r="D2179" t="n">
        <v>295</v>
      </c>
      <c r="E2179" t="inlineStr">
        <is>
          <t>BBG01J3VV4W7</t>
        </is>
      </c>
    </row>
    <row r="2180">
      <c r="A2180" t="inlineStr">
        <is>
          <t>BBG01J3VV5Z1 Equity</t>
        </is>
      </c>
      <c r="B2180" t="inlineStr">
        <is>
          <t>TSLA US 04/19/24 P300</t>
        </is>
      </c>
      <c r="C2180" t="inlineStr">
        <is>
          <t>2024-04-19</t>
        </is>
      </c>
      <c r="D2180" t="n">
        <v>300</v>
      </c>
      <c r="E2180" t="inlineStr">
        <is>
          <t>BBG01J3VV5Z1</t>
        </is>
      </c>
    </row>
    <row r="2181">
      <c r="A2181" t="inlineStr">
        <is>
          <t>BBG01J3VV732 Equity</t>
        </is>
      </c>
      <c r="B2181" t="inlineStr">
        <is>
          <t>TSLA US 04/19/24 P305</t>
        </is>
      </c>
      <c r="C2181" t="inlineStr">
        <is>
          <t>2024-04-19</t>
        </is>
      </c>
      <c r="D2181" t="n">
        <v>305</v>
      </c>
      <c r="E2181" t="inlineStr">
        <is>
          <t>BBG01J3VV732</t>
        </is>
      </c>
    </row>
    <row r="2182">
      <c r="A2182" t="inlineStr">
        <is>
          <t>BBG01J3VV867 Equity</t>
        </is>
      </c>
      <c r="B2182" t="inlineStr">
        <is>
          <t>TSLA US 04/19/24 P310</t>
        </is>
      </c>
      <c r="C2182" t="inlineStr">
        <is>
          <t>2024-04-19</t>
        </is>
      </c>
      <c r="D2182" t="n">
        <v>310</v>
      </c>
      <c r="E2182" t="inlineStr">
        <is>
          <t>BBG01J3VV867</t>
        </is>
      </c>
    </row>
    <row r="2183">
      <c r="A2183" t="inlineStr">
        <is>
          <t>BBG01J3VV992 Equity</t>
        </is>
      </c>
      <c r="B2183" t="inlineStr">
        <is>
          <t>TSLA US 04/19/24 P315</t>
        </is>
      </c>
      <c r="C2183" t="inlineStr">
        <is>
          <t>2024-04-19</t>
        </is>
      </c>
      <c r="D2183" t="n">
        <v>315</v>
      </c>
      <c r="E2183" t="inlineStr">
        <is>
          <t>BBG01J3VV992</t>
        </is>
      </c>
    </row>
    <row r="2184">
      <c r="A2184" t="inlineStr">
        <is>
          <t>BBG01J3VVBF0 Equity</t>
        </is>
      </c>
      <c r="B2184" t="inlineStr">
        <is>
          <t>TSLA US 04/19/24 P320</t>
        </is>
      </c>
      <c r="C2184" t="inlineStr">
        <is>
          <t>2024-04-19</t>
        </is>
      </c>
      <c r="D2184" t="n">
        <v>320</v>
      </c>
      <c r="E2184" t="inlineStr">
        <is>
          <t>BBG01J3VVBF0</t>
        </is>
      </c>
    </row>
    <row r="2185">
      <c r="A2185" t="inlineStr">
        <is>
          <t>BBG01JJDNJ10 Equity</t>
        </is>
      </c>
      <c r="B2185" t="inlineStr">
        <is>
          <t>TSLA US 05/17/24 P145</t>
        </is>
      </c>
      <c r="C2185" t="inlineStr">
        <is>
          <t>2024-05-17</t>
        </is>
      </c>
      <c r="D2185" t="n">
        <v>145</v>
      </c>
      <c r="E2185" t="inlineStr">
        <is>
          <t>BBG01JJDNJ10</t>
        </is>
      </c>
    </row>
    <row r="2186">
      <c r="A2186" t="inlineStr">
        <is>
          <t>BBG01JJDNK44 Equity</t>
        </is>
      </c>
      <c r="B2186" t="inlineStr">
        <is>
          <t>TSLA US 05/17/24 P150</t>
        </is>
      </c>
      <c r="C2186" t="inlineStr">
        <is>
          <t>2024-05-17</t>
        </is>
      </c>
      <c r="D2186" t="n">
        <v>150</v>
      </c>
      <c r="E2186" t="inlineStr">
        <is>
          <t>BBG01JJDNK44</t>
        </is>
      </c>
    </row>
    <row r="2187">
      <c r="A2187" t="inlineStr">
        <is>
          <t>BBG01JJDNL79 Equity</t>
        </is>
      </c>
      <c r="B2187" t="inlineStr">
        <is>
          <t>TSLA US 05/17/24 P155</t>
        </is>
      </c>
      <c r="C2187" t="inlineStr">
        <is>
          <t>2024-05-17</t>
        </is>
      </c>
      <c r="D2187" t="n">
        <v>155</v>
      </c>
      <c r="E2187" t="inlineStr">
        <is>
          <t>BBG01JJDNL79</t>
        </is>
      </c>
    </row>
    <row r="2188">
      <c r="A2188" t="inlineStr">
        <is>
          <t>BBG01JJDNMC1 Equity</t>
        </is>
      </c>
      <c r="B2188" t="inlineStr">
        <is>
          <t>TSLA US 05/17/24 P160</t>
        </is>
      </c>
      <c r="C2188" t="inlineStr">
        <is>
          <t>2024-05-17</t>
        </is>
      </c>
      <c r="D2188" t="n">
        <v>160</v>
      </c>
      <c r="E2188" t="inlineStr">
        <is>
          <t>BBG01JJDNMC1</t>
        </is>
      </c>
    </row>
    <row r="2189">
      <c r="A2189" t="inlineStr">
        <is>
          <t>BBG01JJDNNG5 Equity</t>
        </is>
      </c>
      <c r="B2189" t="inlineStr">
        <is>
          <t>TSLA US 05/17/24 P165</t>
        </is>
      </c>
      <c r="C2189" t="inlineStr">
        <is>
          <t>2024-05-17</t>
        </is>
      </c>
      <c r="D2189" t="n">
        <v>165</v>
      </c>
      <c r="E2189" t="inlineStr">
        <is>
          <t>BBG01JJDNNG5</t>
        </is>
      </c>
    </row>
    <row r="2190">
      <c r="A2190" t="inlineStr">
        <is>
          <t>BBG01JJDNPL4 Equity</t>
        </is>
      </c>
      <c r="B2190" t="inlineStr">
        <is>
          <t>TSLA US 05/17/24 P170</t>
        </is>
      </c>
      <c r="C2190" t="inlineStr">
        <is>
          <t>2024-05-17</t>
        </is>
      </c>
      <c r="D2190" t="n">
        <v>170</v>
      </c>
      <c r="E2190" t="inlineStr">
        <is>
          <t>BBG01JJDNPL4</t>
        </is>
      </c>
    </row>
    <row r="2191">
      <c r="A2191" t="inlineStr">
        <is>
          <t>BBG01JJDNQP8 Equity</t>
        </is>
      </c>
      <c r="B2191" t="inlineStr">
        <is>
          <t>TSLA US 05/17/24 P175</t>
        </is>
      </c>
      <c r="C2191" t="inlineStr">
        <is>
          <t>2024-05-17</t>
        </is>
      </c>
      <c r="D2191" t="n">
        <v>175</v>
      </c>
      <c r="E2191" t="inlineStr">
        <is>
          <t>BBG01JJDNQP8</t>
        </is>
      </c>
    </row>
    <row r="2192">
      <c r="A2192" t="inlineStr">
        <is>
          <t>BBG01JJDNRS3 Equity</t>
        </is>
      </c>
      <c r="B2192" t="inlineStr">
        <is>
          <t>TSLA US 05/17/24 P180</t>
        </is>
      </c>
      <c r="C2192" t="inlineStr">
        <is>
          <t>2024-05-17</t>
        </is>
      </c>
      <c r="D2192" t="n">
        <v>180</v>
      </c>
      <c r="E2192" t="inlineStr">
        <is>
          <t>BBG01JJDNRS3</t>
        </is>
      </c>
    </row>
    <row r="2193">
      <c r="A2193" t="inlineStr">
        <is>
          <t>BBG01JJDNSX5 Equity</t>
        </is>
      </c>
      <c r="B2193" t="inlineStr">
        <is>
          <t>TSLA US 05/17/24 P185</t>
        </is>
      </c>
      <c r="C2193" t="inlineStr">
        <is>
          <t>2024-05-17</t>
        </is>
      </c>
      <c r="D2193" t="n">
        <v>185</v>
      </c>
      <c r="E2193" t="inlineStr">
        <is>
          <t>BBG01JJDNSX5</t>
        </is>
      </c>
    </row>
    <row r="2194">
      <c r="A2194" t="inlineStr">
        <is>
          <t>BBG01JJDNV04 Equity</t>
        </is>
      </c>
      <c r="B2194" t="inlineStr">
        <is>
          <t>TSLA US 05/17/24 P190</t>
        </is>
      </c>
      <c r="C2194" t="inlineStr">
        <is>
          <t>2024-05-17</t>
        </is>
      </c>
      <c r="D2194" t="n">
        <v>190</v>
      </c>
      <c r="E2194" t="inlineStr">
        <is>
          <t>BBG01JJDNV04</t>
        </is>
      </c>
    </row>
    <row r="2195">
      <c r="A2195" t="inlineStr">
        <is>
          <t>BBG01JJDNW39 Equity</t>
        </is>
      </c>
      <c r="B2195" t="inlineStr">
        <is>
          <t>TSLA US 05/17/24 P195</t>
        </is>
      </c>
      <c r="C2195" t="inlineStr">
        <is>
          <t>2024-05-17</t>
        </is>
      </c>
      <c r="D2195" t="n">
        <v>195</v>
      </c>
      <c r="E2195" t="inlineStr">
        <is>
          <t>BBG01JJDNW39</t>
        </is>
      </c>
    </row>
    <row r="2196">
      <c r="A2196" t="inlineStr">
        <is>
          <t>BBG01JJDNX73 Equity</t>
        </is>
      </c>
      <c r="B2196" t="inlineStr">
        <is>
          <t>TSLA US 05/17/24 P200</t>
        </is>
      </c>
      <c r="C2196" t="inlineStr">
        <is>
          <t>2024-05-17</t>
        </is>
      </c>
      <c r="D2196" t="n">
        <v>200</v>
      </c>
      <c r="E2196" t="inlineStr">
        <is>
          <t>BBG01JJDNX73</t>
        </is>
      </c>
    </row>
    <row r="2197">
      <c r="A2197" t="inlineStr">
        <is>
          <t>BBG01JJDNYB6 Equity</t>
        </is>
      </c>
      <c r="B2197" t="inlineStr">
        <is>
          <t>TSLA US 05/17/24 P205</t>
        </is>
      </c>
      <c r="C2197" t="inlineStr">
        <is>
          <t>2024-05-17</t>
        </is>
      </c>
      <c r="D2197" t="n">
        <v>205</v>
      </c>
      <c r="E2197" t="inlineStr">
        <is>
          <t>BBG01JJDNYB6</t>
        </is>
      </c>
    </row>
    <row r="2198">
      <c r="A2198" t="inlineStr">
        <is>
          <t>BBG01JJDNZF9 Equity</t>
        </is>
      </c>
      <c r="B2198" t="inlineStr">
        <is>
          <t>TSLA US 05/17/24 P210</t>
        </is>
      </c>
      <c r="C2198" t="inlineStr">
        <is>
          <t>2024-05-17</t>
        </is>
      </c>
      <c r="D2198" t="n">
        <v>210</v>
      </c>
      <c r="E2198" t="inlineStr">
        <is>
          <t>BBG01JJDNZF9</t>
        </is>
      </c>
    </row>
    <row r="2199">
      <c r="A2199" t="inlineStr">
        <is>
          <t>BBG01JJDP0K8 Equity</t>
        </is>
      </c>
      <c r="B2199" t="inlineStr">
        <is>
          <t>TSLA US 05/17/24 P215</t>
        </is>
      </c>
      <c r="C2199" t="inlineStr">
        <is>
          <t>2024-05-17</t>
        </is>
      </c>
      <c r="D2199" t="n">
        <v>215</v>
      </c>
      <c r="E2199" t="inlineStr">
        <is>
          <t>BBG01JJDP0K8</t>
        </is>
      </c>
    </row>
    <row r="2200">
      <c r="A2200" t="inlineStr">
        <is>
          <t>BBG01JJDP1N3 Equity</t>
        </is>
      </c>
      <c r="B2200" t="inlineStr">
        <is>
          <t>TSLA US 05/17/24 P220</t>
        </is>
      </c>
      <c r="C2200" t="inlineStr">
        <is>
          <t>2024-05-17</t>
        </is>
      </c>
      <c r="D2200" t="n">
        <v>220</v>
      </c>
      <c r="E2200" t="inlineStr">
        <is>
          <t>BBG01JJDP1N3</t>
        </is>
      </c>
    </row>
    <row r="2201">
      <c r="A2201" t="inlineStr">
        <is>
          <t>BBG01JJDP2R7 Equity</t>
        </is>
      </c>
      <c r="B2201" t="inlineStr">
        <is>
          <t>TSLA US 05/17/24 P225</t>
        </is>
      </c>
      <c r="C2201" t="inlineStr">
        <is>
          <t>2024-05-17</t>
        </is>
      </c>
      <c r="D2201" t="n">
        <v>225</v>
      </c>
      <c r="E2201" t="inlineStr">
        <is>
          <t>BBG01JJDP2R7</t>
        </is>
      </c>
    </row>
    <row r="2202">
      <c r="A2202" t="inlineStr">
        <is>
          <t>BBG01JJDP3W9 Equity</t>
        </is>
      </c>
      <c r="B2202" t="inlineStr">
        <is>
          <t>TSLA US 05/17/24 P230</t>
        </is>
      </c>
      <c r="C2202" t="inlineStr">
        <is>
          <t>2024-05-17</t>
        </is>
      </c>
      <c r="D2202" t="n">
        <v>230</v>
      </c>
      <c r="E2202" t="inlineStr">
        <is>
          <t>BBG01JJDP3W9</t>
        </is>
      </c>
    </row>
    <row r="2203">
      <c r="A2203" t="inlineStr">
        <is>
          <t>BBG01JJDP4Z4 Equity</t>
        </is>
      </c>
      <c r="B2203" t="inlineStr">
        <is>
          <t>TSLA US 05/17/24 P235</t>
        </is>
      </c>
      <c r="C2203" t="inlineStr">
        <is>
          <t>2024-05-17</t>
        </is>
      </c>
      <c r="D2203" t="n">
        <v>235</v>
      </c>
      <c r="E2203" t="inlineStr">
        <is>
          <t>BBG01JJDP4Z4</t>
        </is>
      </c>
    </row>
    <row r="2204">
      <c r="A2204" t="inlineStr">
        <is>
          <t>BBG01JJDP625 Equity</t>
        </is>
      </c>
      <c r="B2204" t="inlineStr">
        <is>
          <t>TSLA US 05/17/24 P240</t>
        </is>
      </c>
      <c r="C2204" t="inlineStr">
        <is>
          <t>2024-05-17</t>
        </is>
      </c>
      <c r="D2204" t="n">
        <v>240</v>
      </c>
      <c r="E2204" t="inlineStr">
        <is>
          <t>BBG01JJDP625</t>
        </is>
      </c>
    </row>
    <row r="2205">
      <c r="A2205" t="inlineStr">
        <is>
          <t>BBG01JJDP769 Equity</t>
        </is>
      </c>
      <c r="B2205" t="inlineStr">
        <is>
          <t>TSLA US 05/17/24 P245</t>
        </is>
      </c>
      <c r="C2205" t="inlineStr">
        <is>
          <t>2024-05-17</t>
        </is>
      </c>
      <c r="D2205" t="n">
        <v>245</v>
      </c>
      <c r="E2205" t="inlineStr">
        <is>
          <t>BBG01JJDP769</t>
        </is>
      </c>
    </row>
    <row r="2206">
      <c r="A2206" t="inlineStr">
        <is>
          <t>BBG01JJDP894 Equity</t>
        </is>
      </c>
      <c r="B2206" t="inlineStr">
        <is>
          <t>TSLA US 05/17/24 P250</t>
        </is>
      </c>
      <c r="C2206" t="inlineStr">
        <is>
          <t>2024-05-17</t>
        </is>
      </c>
      <c r="D2206" t="n">
        <v>250</v>
      </c>
      <c r="E2206" t="inlineStr">
        <is>
          <t>BBG01JJDP894</t>
        </is>
      </c>
    </row>
    <row r="2207">
      <c r="A2207" t="inlineStr">
        <is>
          <t>BBG01JJDP9D7 Equity</t>
        </is>
      </c>
      <c r="B2207" t="inlineStr">
        <is>
          <t>TSLA US 05/17/24 P255</t>
        </is>
      </c>
      <c r="C2207" t="inlineStr">
        <is>
          <t>2024-05-17</t>
        </is>
      </c>
      <c r="D2207" t="n">
        <v>255</v>
      </c>
      <c r="E2207" t="inlineStr">
        <is>
          <t>BBG01JJDP9D7</t>
        </is>
      </c>
    </row>
    <row r="2208">
      <c r="A2208" t="inlineStr">
        <is>
          <t>BBG01JJDPBJ6 Equity</t>
        </is>
      </c>
      <c r="B2208" t="inlineStr">
        <is>
          <t>TSLA US 05/17/24 P260</t>
        </is>
      </c>
      <c r="C2208" t="inlineStr">
        <is>
          <t>2024-05-17</t>
        </is>
      </c>
      <c r="D2208" t="n">
        <v>260</v>
      </c>
      <c r="E2208" t="inlineStr">
        <is>
          <t>BBG01JJDPBJ6</t>
        </is>
      </c>
    </row>
    <row r="2209">
      <c r="A2209" t="inlineStr">
        <is>
          <t>BBG01JJDPCM0 Equity</t>
        </is>
      </c>
      <c r="B2209" t="inlineStr">
        <is>
          <t>TSLA US 05/17/24 P265</t>
        </is>
      </c>
      <c r="C2209" t="inlineStr">
        <is>
          <t>2024-05-17</t>
        </is>
      </c>
      <c r="D2209" t="n">
        <v>265</v>
      </c>
      <c r="E2209" t="inlineStr">
        <is>
          <t>BBG01JJDPCM0</t>
        </is>
      </c>
    </row>
    <row r="2210">
      <c r="A2210" t="inlineStr">
        <is>
          <t>BBG01JJDPDQ4 Equity</t>
        </is>
      </c>
      <c r="B2210" t="inlineStr">
        <is>
          <t>TSLA US 05/17/24 P270</t>
        </is>
      </c>
      <c r="C2210" t="inlineStr">
        <is>
          <t>2024-05-17</t>
        </is>
      </c>
      <c r="D2210" t="n">
        <v>270</v>
      </c>
      <c r="E2210" t="inlineStr">
        <is>
          <t>BBG01JJDPDQ4</t>
        </is>
      </c>
    </row>
    <row r="2211">
      <c r="A2211" t="inlineStr">
        <is>
          <t>BBG01JJDPFV3 Equity</t>
        </is>
      </c>
      <c r="B2211" t="inlineStr">
        <is>
          <t>TSLA US 05/17/24 P275</t>
        </is>
      </c>
      <c r="C2211" t="inlineStr">
        <is>
          <t>2024-05-17</t>
        </is>
      </c>
      <c r="D2211" t="n">
        <v>275</v>
      </c>
      <c r="E2211" t="inlineStr">
        <is>
          <t>BBG01JJDPFV3</t>
        </is>
      </c>
    </row>
    <row r="2212">
      <c r="A2212" t="inlineStr">
        <is>
          <t>BBG01JJDPGY8 Equity</t>
        </is>
      </c>
      <c r="B2212" t="inlineStr">
        <is>
          <t>TSLA US 05/17/24 P280</t>
        </is>
      </c>
      <c r="C2212" t="inlineStr">
        <is>
          <t>2024-05-17</t>
        </is>
      </c>
      <c r="D2212" t="n">
        <v>280</v>
      </c>
      <c r="E2212" t="inlineStr">
        <is>
          <t>BBG01JJDPGY8</t>
        </is>
      </c>
    </row>
    <row r="2213">
      <c r="A2213" t="inlineStr">
        <is>
          <t>BBG01JJDPJ18 Equity</t>
        </is>
      </c>
      <c r="B2213" t="inlineStr">
        <is>
          <t>TSLA US 05/17/24 P285</t>
        </is>
      </c>
      <c r="C2213" t="inlineStr">
        <is>
          <t>2024-05-17</t>
        </is>
      </c>
      <c r="D2213" t="n">
        <v>285</v>
      </c>
      <c r="E2213" t="inlineStr">
        <is>
          <t>BBG01JJDPJ18</t>
        </is>
      </c>
    </row>
    <row r="2214">
      <c r="A2214" t="inlineStr">
        <is>
          <t>BBG01JJDPK51 Equity</t>
        </is>
      </c>
      <c r="B2214" t="inlineStr">
        <is>
          <t>TSLA US 05/17/24 P290</t>
        </is>
      </c>
      <c r="C2214" t="inlineStr">
        <is>
          <t>2024-05-17</t>
        </is>
      </c>
      <c r="D2214" t="n">
        <v>290</v>
      </c>
      <c r="E2214" t="inlineStr">
        <is>
          <t>BBG01JJDPK51</t>
        </is>
      </c>
    </row>
    <row r="2215">
      <c r="A2215" t="inlineStr">
        <is>
          <t>BBG01JJDPL86 Equity</t>
        </is>
      </c>
      <c r="B2215" t="inlineStr">
        <is>
          <t>TSLA US 05/17/24 P295</t>
        </is>
      </c>
      <c r="C2215" t="inlineStr">
        <is>
          <t>2024-05-17</t>
        </is>
      </c>
      <c r="D2215" t="n">
        <v>295</v>
      </c>
      <c r="E2215" t="inlineStr">
        <is>
          <t>BBG01JJDPL86</t>
        </is>
      </c>
    </row>
    <row r="2216">
      <c r="A2216" t="inlineStr">
        <is>
          <t>BBG01JJDPMC9 Equity</t>
        </is>
      </c>
      <c r="B2216" t="inlineStr">
        <is>
          <t>TSLA US 05/17/24 P300</t>
        </is>
      </c>
      <c r="C2216" t="inlineStr">
        <is>
          <t>2024-05-17</t>
        </is>
      </c>
      <c r="D2216" t="n">
        <v>300</v>
      </c>
      <c r="E2216" t="inlineStr">
        <is>
          <t>BBG01JJDPMC9</t>
        </is>
      </c>
    </row>
    <row r="2217">
      <c r="A2217" t="inlineStr">
        <is>
          <t>BBG01JJDPNH2 Equity</t>
        </is>
      </c>
      <c r="B2217" t="inlineStr">
        <is>
          <t>TSLA US 05/17/24 P305</t>
        </is>
      </c>
      <c r="C2217" t="inlineStr">
        <is>
          <t>2024-05-17</t>
        </is>
      </c>
      <c r="D2217" t="n">
        <v>305</v>
      </c>
      <c r="E2217" t="inlineStr">
        <is>
          <t>BBG01JJDPNH2</t>
        </is>
      </c>
    </row>
    <row r="2218">
      <c r="A2218" t="inlineStr">
        <is>
          <t>BBG01JJDPPL2 Equity</t>
        </is>
      </c>
      <c r="B2218" t="inlineStr">
        <is>
          <t>TSLA US 05/17/24 P310</t>
        </is>
      </c>
      <c r="C2218" t="inlineStr">
        <is>
          <t>2024-05-17</t>
        </is>
      </c>
      <c r="D2218" t="n">
        <v>310</v>
      </c>
      <c r="E2218" t="inlineStr">
        <is>
          <t>BBG01JJDPPL2</t>
        </is>
      </c>
    </row>
    <row r="2219">
      <c r="A2219" t="inlineStr">
        <is>
          <t>BBG01JJDPQP6 Equity</t>
        </is>
      </c>
      <c r="B2219" t="inlineStr">
        <is>
          <t>TSLA US 05/17/24 P315</t>
        </is>
      </c>
      <c r="C2219" t="inlineStr">
        <is>
          <t>2024-05-17</t>
        </is>
      </c>
      <c r="D2219" t="n">
        <v>315</v>
      </c>
      <c r="E2219" t="inlineStr">
        <is>
          <t>BBG01JJDPQP6</t>
        </is>
      </c>
    </row>
    <row r="2220">
      <c r="A2220" t="inlineStr">
        <is>
          <t>BBG01JJDPRT0 Equity</t>
        </is>
      </c>
      <c r="B2220" t="inlineStr">
        <is>
          <t>TSLA US 05/17/24 P320</t>
        </is>
      </c>
      <c r="C2220" t="inlineStr">
        <is>
          <t>2024-05-17</t>
        </is>
      </c>
      <c r="D2220" t="n">
        <v>320</v>
      </c>
      <c r="E2220" t="inlineStr">
        <is>
          <t>BBG01JJDPRT0</t>
        </is>
      </c>
    </row>
    <row r="2221">
      <c r="A2221" t="inlineStr">
        <is>
          <t>BBG017FXN4K8 Equity</t>
        </is>
      </c>
      <c r="B2221" t="inlineStr">
        <is>
          <t>TSLA US 06/21/24 P143.33</t>
        </is>
      </c>
      <c r="C2221" t="inlineStr">
        <is>
          <t>2024-06-21</t>
        </is>
      </c>
      <c r="D2221" t="n">
        <v>143.33</v>
      </c>
      <c r="E2221" t="inlineStr">
        <is>
          <t>BBG017FXN4K8</t>
        </is>
      </c>
    </row>
    <row r="2222">
      <c r="A2222" t="inlineStr">
        <is>
          <t>BBG01C5CPJ65 Equity</t>
        </is>
      </c>
      <c r="B2222" t="inlineStr">
        <is>
          <t>TSLA US 06/21/24 P145</t>
        </is>
      </c>
      <c r="C2222" t="inlineStr">
        <is>
          <t>2024-06-21</t>
        </is>
      </c>
      <c r="D2222" t="n">
        <v>145</v>
      </c>
      <c r="E2222" t="inlineStr">
        <is>
          <t>BBG01C5CPJ65</t>
        </is>
      </c>
    </row>
    <row r="2223">
      <c r="A2223" t="inlineStr">
        <is>
          <t>BBG017FXN5P0 Equity</t>
        </is>
      </c>
      <c r="B2223" t="inlineStr">
        <is>
          <t>TSLA US 06/21/24 P146.67</t>
        </is>
      </c>
      <c r="C2223" t="inlineStr">
        <is>
          <t>2024-06-21</t>
        </is>
      </c>
      <c r="D2223" t="n">
        <v>146.67</v>
      </c>
      <c r="E2223" t="inlineStr">
        <is>
          <t>BBG017FXN5P0</t>
        </is>
      </c>
    </row>
    <row r="2224">
      <c r="A2224" t="inlineStr">
        <is>
          <t>BBG016D95KS1 Equity</t>
        </is>
      </c>
      <c r="B2224" t="inlineStr">
        <is>
          <t>TSLA US 06/21/24 P150</t>
        </is>
      </c>
      <c r="C2224" t="inlineStr">
        <is>
          <t>2024-06-21</t>
        </is>
      </c>
      <c r="D2224" t="n">
        <v>150</v>
      </c>
      <c r="E2224" t="inlineStr">
        <is>
          <t>BBG016D95KS1</t>
        </is>
      </c>
    </row>
    <row r="2225">
      <c r="A2225" t="inlineStr">
        <is>
          <t>BBG017FXN6S5 Equity</t>
        </is>
      </c>
      <c r="B2225" t="inlineStr">
        <is>
          <t>TSLA US 06/21/24 P153.33</t>
        </is>
      </c>
      <c r="C2225" t="inlineStr">
        <is>
          <t>2024-06-21</t>
        </is>
      </c>
      <c r="D2225" t="n">
        <v>153.33</v>
      </c>
      <c r="E2225" t="inlineStr">
        <is>
          <t>BBG017FXN6S5</t>
        </is>
      </c>
    </row>
    <row r="2226">
      <c r="A2226" t="inlineStr">
        <is>
          <t>BBG01C5CPK99 Equity</t>
        </is>
      </c>
      <c r="B2226" t="inlineStr">
        <is>
          <t>TSLA US 06/21/24 P155</t>
        </is>
      </c>
      <c r="C2226" t="inlineStr">
        <is>
          <t>2024-06-21</t>
        </is>
      </c>
      <c r="D2226" t="n">
        <v>155</v>
      </c>
      <c r="E2226" t="inlineStr">
        <is>
          <t>BBG01C5CPK99</t>
        </is>
      </c>
    </row>
    <row r="2227">
      <c r="A2227" t="inlineStr">
        <is>
          <t>BBG017FXN7W8 Equity</t>
        </is>
      </c>
      <c r="B2227" t="inlineStr">
        <is>
          <t>TSLA US 06/21/24 P156.67</t>
        </is>
      </c>
      <c r="C2227" t="inlineStr">
        <is>
          <t>2024-06-21</t>
        </is>
      </c>
      <c r="D2227" t="n">
        <v>156.67</v>
      </c>
      <c r="E2227" t="inlineStr">
        <is>
          <t>BBG017FXN7W8</t>
        </is>
      </c>
    </row>
    <row r="2228">
      <c r="A2228" t="inlineStr">
        <is>
          <t>BBG017FXN927 Equity</t>
        </is>
      </c>
      <c r="B2228" t="inlineStr">
        <is>
          <t>TSLA US 06/21/24 P160</t>
        </is>
      </c>
      <c r="C2228" t="inlineStr">
        <is>
          <t>2024-06-21</t>
        </is>
      </c>
      <c r="D2228" t="n">
        <v>160</v>
      </c>
      <c r="E2228" t="inlineStr">
        <is>
          <t>BBG017FXN927</t>
        </is>
      </c>
    </row>
    <row r="2229">
      <c r="A2229" t="inlineStr">
        <is>
          <t>BBG017FXNB59 Equity</t>
        </is>
      </c>
      <c r="B2229" t="inlineStr">
        <is>
          <t>TSLA US 06/21/24 P163.33</t>
        </is>
      </c>
      <c r="C2229" t="inlineStr">
        <is>
          <t>2024-06-21</t>
        </is>
      </c>
      <c r="D2229" t="n">
        <v>163.33</v>
      </c>
      <c r="E2229" t="inlineStr">
        <is>
          <t>BBG017FXNB59</t>
        </is>
      </c>
    </row>
    <row r="2230">
      <c r="A2230" t="inlineStr">
        <is>
          <t>BBG01C5CPLG9 Equity</t>
        </is>
      </c>
      <c r="B2230" t="inlineStr">
        <is>
          <t>TSLA US 06/21/24 P165</t>
        </is>
      </c>
      <c r="C2230" t="inlineStr">
        <is>
          <t>2024-06-21</t>
        </is>
      </c>
      <c r="D2230" t="n">
        <v>165</v>
      </c>
      <c r="E2230" t="inlineStr">
        <is>
          <t>BBG01C5CPLG9</t>
        </is>
      </c>
    </row>
    <row r="2231">
      <c r="A2231" t="inlineStr">
        <is>
          <t>BBG016D95LW4 Equity</t>
        </is>
      </c>
      <c r="B2231" t="inlineStr">
        <is>
          <t>TSLA US 06/21/24 P166.67</t>
        </is>
      </c>
      <c r="C2231" t="inlineStr">
        <is>
          <t>2024-06-21</t>
        </is>
      </c>
      <c r="D2231" t="n">
        <v>166.67</v>
      </c>
      <c r="E2231" t="inlineStr">
        <is>
          <t>BBG016D95LW4</t>
        </is>
      </c>
    </row>
    <row r="2232">
      <c r="A2232" t="inlineStr">
        <is>
          <t>BBG01C5CPMK2 Equity</t>
        </is>
      </c>
      <c r="B2232" t="inlineStr">
        <is>
          <t>TSLA US 06/21/24 P170</t>
        </is>
      </c>
      <c r="C2232" t="inlineStr">
        <is>
          <t>2024-06-21</t>
        </is>
      </c>
      <c r="D2232" t="n">
        <v>170</v>
      </c>
      <c r="E2232" t="inlineStr">
        <is>
          <t>BBG01C5CPMK2</t>
        </is>
      </c>
    </row>
    <row r="2233">
      <c r="A2233" t="inlineStr">
        <is>
          <t>BBG017FXNC84 Equity</t>
        </is>
      </c>
      <c r="B2233" t="inlineStr">
        <is>
          <t>TSLA US 06/21/24 P173.33</t>
        </is>
      </c>
      <c r="C2233" t="inlineStr">
        <is>
          <t>2024-06-21</t>
        </is>
      </c>
      <c r="D2233" t="n">
        <v>173.33</v>
      </c>
      <c r="E2233" t="inlineStr">
        <is>
          <t>BBG017FXNC84</t>
        </is>
      </c>
    </row>
    <row r="2234">
      <c r="A2234" t="inlineStr">
        <is>
          <t>BBG01C5CPNN7 Equity</t>
        </is>
      </c>
      <c r="B2234" t="inlineStr">
        <is>
          <t>TSLA US 06/21/24 P175</t>
        </is>
      </c>
      <c r="C2234" t="inlineStr">
        <is>
          <t>2024-06-21</t>
        </is>
      </c>
      <c r="D2234" t="n">
        <v>175</v>
      </c>
      <c r="E2234" t="inlineStr">
        <is>
          <t>BBG01C5CPNN7</t>
        </is>
      </c>
    </row>
    <row r="2235">
      <c r="A2235" t="inlineStr">
        <is>
          <t>BBG017FXNDD6 Equity</t>
        </is>
      </c>
      <c r="B2235" t="inlineStr">
        <is>
          <t>TSLA US 06/21/24 P180</t>
        </is>
      </c>
      <c r="C2235" t="inlineStr">
        <is>
          <t>2024-06-21</t>
        </is>
      </c>
      <c r="D2235" t="n">
        <v>180</v>
      </c>
      <c r="E2235" t="inlineStr">
        <is>
          <t>BBG017FXNDD6</t>
        </is>
      </c>
    </row>
    <row r="2236">
      <c r="A2236" t="inlineStr">
        <is>
          <t>BBG016D95N05 Equity</t>
        </is>
      </c>
      <c r="B2236" t="inlineStr">
        <is>
          <t>TSLA US 06/21/24 P183.33</t>
        </is>
      </c>
      <c r="C2236" t="inlineStr">
        <is>
          <t>2024-06-21</t>
        </is>
      </c>
      <c r="D2236" t="n">
        <v>183.33</v>
      </c>
      <c r="E2236" t="inlineStr">
        <is>
          <t>BBG016D95N05</t>
        </is>
      </c>
    </row>
    <row r="2237">
      <c r="A2237" t="inlineStr">
        <is>
          <t>BBG01CGX3MZ2 Equity</t>
        </is>
      </c>
      <c r="B2237" t="inlineStr">
        <is>
          <t>TSLA US 06/21/24 P185</t>
        </is>
      </c>
      <c r="C2237" t="inlineStr">
        <is>
          <t>2024-06-21</t>
        </is>
      </c>
      <c r="D2237" t="n">
        <v>185</v>
      </c>
      <c r="E2237" t="inlineStr">
        <is>
          <t>BBG01CGX3MZ2</t>
        </is>
      </c>
    </row>
    <row r="2238">
      <c r="A2238" t="inlineStr">
        <is>
          <t>BBG017FXNFH7 Equity</t>
        </is>
      </c>
      <c r="B2238" t="inlineStr">
        <is>
          <t>TSLA US 06/21/24 P186.67</t>
        </is>
      </c>
      <c r="C2238" t="inlineStr">
        <is>
          <t>2024-06-21</t>
        </is>
      </c>
      <c r="D2238" t="n">
        <v>186.67</v>
      </c>
      <c r="E2238" t="inlineStr">
        <is>
          <t>BBG017FXNFH7</t>
        </is>
      </c>
    </row>
    <row r="2239">
      <c r="A2239" t="inlineStr">
        <is>
          <t>BBG01CGX3P30 Equity</t>
        </is>
      </c>
      <c r="B2239" t="inlineStr">
        <is>
          <t>TSLA US 06/21/24 P190</t>
        </is>
      </c>
      <c r="C2239" t="inlineStr">
        <is>
          <t>2024-06-21</t>
        </is>
      </c>
      <c r="D2239" t="n">
        <v>190</v>
      </c>
      <c r="E2239" t="inlineStr">
        <is>
          <t>BBG01CGX3P30</t>
        </is>
      </c>
    </row>
    <row r="2240">
      <c r="A2240" t="inlineStr">
        <is>
          <t>BBG017FXNGL0 Equity</t>
        </is>
      </c>
      <c r="B2240" t="inlineStr">
        <is>
          <t>TSLA US 06/21/24 P193.33</t>
        </is>
      </c>
      <c r="C2240" t="inlineStr">
        <is>
          <t>2024-06-21</t>
        </is>
      </c>
      <c r="D2240" t="n">
        <v>193.33</v>
      </c>
      <c r="E2240" t="inlineStr">
        <is>
          <t>BBG017FXNGL0</t>
        </is>
      </c>
    </row>
    <row r="2241">
      <c r="A2241" t="inlineStr">
        <is>
          <t>BBG01DC5S834 Equity</t>
        </is>
      </c>
      <c r="B2241" t="inlineStr">
        <is>
          <t>TSLA US 06/21/24 P195</t>
        </is>
      </c>
      <c r="C2241" t="inlineStr">
        <is>
          <t>2024-06-21</t>
        </is>
      </c>
      <c r="D2241" t="n">
        <v>195</v>
      </c>
      <c r="E2241" t="inlineStr">
        <is>
          <t>BBG01DC5S834</t>
        </is>
      </c>
    </row>
    <row r="2242">
      <c r="A2242" t="inlineStr">
        <is>
          <t>BBG016D95P37 Equity</t>
        </is>
      </c>
      <c r="B2242" t="inlineStr">
        <is>
          <t>TSLA US 06/21/24 P200</t>
        </is>
      </c>
      <c r="C2242" t="inlineStr">
        <is>
          <t>2024-06-21</t>
        </is>
      </c>
      <c r="D2242" t="n">
        <v>200</v>
      </c>
      <c r="E2242" t="inlineStr">
        <is>
          <t>BBG016D95P37</t>
        </is>
      </c>
    </row>
    <row r="2243">
      <c r="A2243" t="inlineStr">
        <is>
          <t>BBG01JTQNKM4 Equity</t>
        </is>
      </c>
      <c r="B2243" t="inlineStr">
        <is>
          <t>TSLA US 06/21/24 P205</t>
        </is>
      </c>
      <c r="C2243" t="inlineStr">
        <is>
          <t>2024-06-21</t>
        </is>
      </c>
      <c r="D2243" t="n">
        <v>205</v>
      </c>
      <c r="E2243" t="inlineStr">
        <is>
          <t>BBG01JTQNKM4</t>
        </is>
      </c>
    </row>
    <row r="2244">
      <c r="A2244" t="inlineStr">
        <is>
          <t>BBG017FXNHQ3 Equity</t>
        </is>
      </c>
      <c r="B2244" t="inlineStr">
        <is>
          <t>TSLA US 06/21/24 P206.67</t>
        </is>
      </c>
      <c r="C2244" t="inlineStr">
        <is>
          <t>2024-06-21</t>
        </is>
      </c>
      <c r="D2244" t="n">
        <v>206.67</v>
      </c>
      <c r="E2244" t="inlineStr">
        <is>
          <t>BBG017FXNHQ3</t>
        </is>
      </c>
    </row>
    <row r="2245">
      <c r="A2245" t="inlineStr">
        <is>
          <t>BBG01DC5S969 Equity</t>
        </is>
      </c>
      <c r="B2245" t="inlineStr">
        <is>
          <t>TSLA US 06/21/24 P210</t>
        </is>
      </c>
      <c r="C2245" t="inlineStr">
        <is>
          <t>2024-06-21</t>
        </is>
      </c>
      <c r="D2245" t="n">
        <v>210</v>
      </c>
      <c r="E2245" t="inlineStr">
        <is>
          <t>BBG01DC5S969</t>
        </is>
      </c>
    </row>
    <row r="2246">
      <c r="A2246" t="inlineStr">
        <is>
          <t>BBG017FXNJT6 Equity</t>
        </is>
      </c>
      <c r="B2246" t="inlineStr">
        <is>
          <t>TSLA US 06/21/24 P213.33</t>
        </is>
      </c>
      <c r="C2246" t="inlineStr">
        <is>
          <t>2024-06-21</t>
        </is>
      </c>
      <c r="D2246" t="n">
        <v>213.33</v>
      </c>
      <c r="E2246" t="inlineStr">
        <is>
          <t>BBG017FXNJT6</t>
        </is>
      </c>
    </row>
    <row r="2247">
      <c r="A2247" t="inlineStr">
        <is>
          <t>BBG01JTQNLQ8 Equity</t>
        </is>
      </c>
      <c r="B2247" t="inlineStr">
        <is>
          <t>TSLA US 06/21/24 P215</t>
        </is>
      </c>
      <c r="C2247" t="inlineStr">
        <is>
          <t>2024-06-21</t>
        </is>
      </c>
      <c r="D2247" t="n">
        <v>215</v>
      </c>
      <c r="E2247" t="inlineStr">
        <is>
          <t>BBG01JTQNLQ8</t>
        </is>
      </c>
    </row>
    <row r="2248">
      <c r="A2248" t="inlineStr">
        <is>
          <t>BBG016D95Q62 Equity</t>
        </is>
      </c>
      <c r="B2248" t="inlineStr">
        <is>
          <t>TSLA US 06/21/24 P216.67</t>
        </is>
      </c>
      <c r="C2248" t="inlineStr">
        <is>
          <t>2024-06-21</t>
        </is>
      </c>
      <c r="D2248" t="n">
        <v>216.67</v>
      </c>
      <c r="E2248" t="inlineStr">
        <is>
          <t>BBG016D95Q62</t>
        </is>
      </c>
    </row>
    <row r="2249">
      <c r="A2249" t="inlineStr">
        <is>
          <t>BBG017FXNKX8 Equity</t>
        </is>
      </c>
      <c r="B2249" t="inlineStr">
        <is>
          <t>TSLA US 06/21/24 P220</t>
        </is>
      </c>
      <c r="C2249" t="inlineStr">
        <is>
          <t>2024-06-21</t>
        </is>
      </c>
      <c r="D2249" t="n">
        <v>220</v>
      </c>
      <c r="E2249" t="inlineStr">
        <is>
          <t>BBG017FXNKX8</t>
        </is>
      </c>
    </row>
    <row r="2250">
      <c r="A2250" t="inlineStr">
        <is>
          <t>BBG01JTQNMT3 Equity</t>
        </is>
      </c>
      <c r="B2250" t="inlineStr">
        <is>
          <t>TSLA US 06/21/24 P225</t>
        </is>
      </c>
      <c r="C2250" t="inlineStr">
        <is>
          <t>2024-06-21</t>
        </is>
      </c>
      <c r="D2250" t="n">
        <v>225</v>
      </c>
      <c r="E2250" t="inlineStr">
        <is>
          <t>BBG01JTQNMT3</t>
        </is>
      </c>
    </row>
    <row r="2251">
      <c r="A2251" t="inlineStr">
        <is>
          <t>BBG017FXNM37 Equity</t>
        </is>
      </c>
      <c r="B2251" t="inlineStr">
        <is>
          <t>TSLA US 06/21/24 P226.67</t>
        </is>
      </c>
      <c r="C2251" t="inlineStr">
        <is>
          <t>2024-06-21</t>
        </is>
      </c>
      <c r="D2251" t="n">
        <v>226.67</v>
      </c>
      <c r="E2251" t="inlineStr">
        <is>
          <t>BBG017FXNM37</t>
        </is>
      </c>
    </row>
    <row r="2252">
      <c r="A2252" t="inlineStr">
        <is>
          <t>BBG01DJ4QHC2 Equity</t>
        </is>
      </c>
      <c r="B2252" t="inlineStr">
        <is>
          <t>TSLA US 06/21/24 P230</t>
        </is>
      </c>
      <c r="C2252" t="inlineStr">
        <is>
          <t>2024-06-21</t>
        </is>
      </c>
      <c r="D2252" t="n">
        <v>230</v>
      </c>
      <c r="E2252" t="inlineStr">
        <is>
          <t>BBG01DJ4QHC2</t>
        </is>
      </c>
    </row>
    <row r="2253">
      <c r="A2253" t="inlineStr">
        <is>
          <t>BBG016D95RB4 Equity</t>
        </is>
      </c>
      <c r="B2253" t="inlineStr">
        <is>
          <t>TSLA US 06/21/24 P233.33</t>
        </is>
      </c>
      <c r="C2253" t="inlineStr">
        <is>
          <t>2024-06-21</t>
        </is>
      </c>
      <c r="D2253" t="n">
        <v>233.33</v>
      </c>
      <c r="E2253" t="inlineStr">
        <is>
          <t>BBG016D95RB4</t>
        </is>
      </c>
    </row>
    <row r="2254">
      <c r="A2254" t="inlineStr">
        <is>
          <t>BBG01JTQNNY5 Equity</t>
        </is>
      </c>
      <c r="B2254" t="inlineStr">
        <is>
          <t>TSLA US 06/21/24 P235</t>
        </is>
      </c>
      <c r="C2254" t="inlineStr">
        <is>
          <t>2024-06-21</t>
        </is>
      </c>
      <c r="D2254" t="n">
        <v>235</v>
      </c>
      <c r="E2254" t="inlineStr">
        <is>
          <t>BBG01JTQNNY5</t>
        </is>
      </c>
    </row>
    <row r="2255">
      <c r="A2255" t="inlineStr">
        <is>
          <t>BBG017FXNN62 Equity</t>
        </is>
      </c>
      <c r="B2255" t="inlineStr">
        <is>
          <t>TSLA US 06/21/24 P240</t>
        </is>
      </c>
      <c r="C2255" t="inlineStr">
        <is>
          <t>2024-06-21</t>
        </is>
      </c>
      <c r="D2255" t="n">
        <v>240</v>
      </c>
      <c r="E2255" t="inlineStr">
        <is>
          <t>BBG017FXNN62</t>
        </is>
      </c>
    </row>
    <row r="2256">
      <c r="A2256" t="inlineStr">
        <is>
          <t>BBG01JTQNQ14 Equity</t>
        </is>
      </c>
      <c r="B2256" t="inlineStr">
        <is>
          <t>TSLA US 06/21/24 P245</t>
        </is>
      </c>
      <c r="C2256" t="inlineStr">
        <is>
          <t>2024-06-21</t>
        </is>
      </c>
      <c r="D2256" t="n">
        <v>245</v>
      </c>
      <c r="E2256" t="inlineStr">
        <is>
          <t>BBG01JTQNQ14</t>
        </is>
      </c>
    </row>
    <row r="2257">
      <c r="A2257" t="inlineStr">
        <is>
          <t>BBG017FXNP94 Equity</t>
        </is>
      </c>
      <c r="B2257" t="inlineStr">
        <is>
          <t>TSLA US 06/21/24 P246.67</t>
        </is>
      </c>
      <c r="C2257" t="inlineStr">
        <is>
          <t>2024-06-21</t>
        </is>
      </c>
      <c r="D2257" t="n">
        <v>246.67</v>
      </c>
      <c r="E2257" t="inlineStr">
        <is>
          <t>BBG017FXNP94</t>
        </is>
      </c>
    </row>
    <row r="2258">
      <c r="A2258" t="inlineStr">
        <is>
          <t>BBG016D95SF8 Equity</t>
        </is>
      </c>
      <c r="B2258" t="inlineStr">
        <is>
          <t>TSLA US 06/21/24 P250</t>
        </is>
      </c>
      <c r="C2258" t="inlineStr">
        <is>
          <t>2024-06-21</t>
        </is>
      </c>
      <c r="D2258" t="n">
        <v>250</v>
      </c>
      <c r="E2258" t="inlineStr">
        <is>
          <t>BBG016D95SF8</t>
        </is>
      </c>
    </row>
    <row r="2259">
      <c r="A2259" t="inlineStr">
        <is>
          <t>BBG017FXNQF5 Equity</t>
        </is>
      </c>
      <c r="B2259" t="inlineStr">
        <is>
          <t>TSLA US 06/21/24 P253.33</t>
        </is>
      </c>
      <c r="C2259" t="inlineStr">
        <is>
          <t>2024-06-21</t>
        </is>
      </c>
      <c r="D2259" t="n">
        <v>253.33</v>
      </c>
      <c r="E2259" t="inlineStr">
        <is>
          <t>BBG017FXNQF5</t>
        </is>
      </c>
    </row>
    <row r="2260">
      <c r="A2260" t="inlineStr">
        <is>
          <t>BBG01JTQNR49 Equity</t>
        </is>
      </c>
      <c r="B2260" t="inlineStr">
        <is>
          <t>TSLA US 06/21/24 P255</t>
        </is>
      </c>
      <c r="C2260" t="inlineStr">
        <is>
          <t>2024-06-21</t>
        </is>
      </c>
      <c r="D2260" t="n">
        <v>255</v>
      </c>
      <c r="E2260" t="inlineStr">
        <is>
          <t>BBG01JTQNR49</t>
        </is>
      </c>
    </row>
    <row r="2261">
      <c r="A2261" t="inlineStr">
        <is>
          <t>BBG017FXNRJ9 Equity</t>
        </is>
      </c>
      <c r="B2261" t="inlineStr">
        <is>
          <t>TSLA US 06/21/24 P260</t>
        </is>
      </c>
      <c r="C2261" t="inlineStr">
        <is>
          <t>2024-06-21</t>
        </is>
      </c>
      <c r="D2261" t="n">
        <v>260</v>
      </c>
      <c r="E2261" t="inlineStr">
        <is>
          <t>BBG017FXNRJ9</t>
        </is>
      </c>
    </row>
    <row r="2262">
      <c r="A2262" t="inlineStr">
        <is>
          <t>BBG01JTQNS92 Equity</t>
        </is>
      </c>
      <c r="B2262" t="inlineStr">
        <is>
          <t>TSLA US 06/21/24 P265</t>
        </is>
      </c>
      <c r="C2262" t="inlineStr">
        <is>
          <t>2024-06-21</t>
        </is>
      </c>
      <c r="D2262" t="n">
        <v>265</v>
      </c>
      <c r="E2262" t="inlineStr">
        <is>
          <t>BBG01JTQNS92</t>
        </is>
      </c>
    </row>
    <row r="2263">
      <c r="A2263" t="inlineStr">
        <is>
          <t>BBG016D95TJ2 Equity</t>
        </is>
      </c>
      <c r="B2263" t="inlineStr">
        <is>
          <t>TSLA US 06/21/24 P266.67</t>
        </is>
      </c>
      <c r="C2263" t="inlineStr">
        <is>
          <t>2024-06-21</t>
        </is>
      </c>
      <c r="D2263" t="n">
        <v>266.67</v>
      </c>
      <c r="E2263" t="inlineStr">
        <is>
          <t>BBG016D95TJ2</t>
        </is>
      </c>
    </row>
    <row r="2264">
      <c r="A2264" t="inlineStr">
        <is>
          <t>BBG016D95VN2 Equity</t>
        </is>
      </c>
      <c r="B2264" t="inlineStr">
        <is>
          <t>TSLA US 06/21/24 P270</t>
        </is>
      </c>
      <c r="C2264" t="inlineStr">
        <is>
          <t>2024-06-21</t>
        </is>
      </c>
      <c r="D2264" t="n">
        <v>270</v>
      </c>
      <c r="E2264" t="inlineStr">
        <is>
          <t>BBG016D95VN2</t>
        </is>
      </c>
    </row>
    <row r="2265">
      <c r="A2265" t="inlineStr">
        <is>
          <t>BBG016D95WR6 Equity</t>
        </is>
      </c>
      <c r="B2265" t="inlineStr">
        <is>
          <t>TSLA US 06/21/24 P273.33</t>
        </is>
      </c>
      <c r="C2265" t="inlineStr">
        <is>
          <t>2024-06-21</t>
        </is>
      </c>
      <c r="D2265" t="n">
        <v>273.33</v>
      </c>
      <c r="E2265" t="inlineStr">
        <is>
          <t>BBG016D95WR6</t>
        </is>
      </c>
    </row>
    <row r="2266">
      <c r="A2266" t="inlineStr">
        <is>
          <t>BBG01JTQNTD5 Equity</t>
        </is>
      </c>
      <c r="B2266" t="inlineStr">
        <is>
          <t>TSLA US 06/21/24 P275</t>
        </is>
      </c>
      <c r="C2266" t="inlineStr">
        <is>
          <t>2024-06-21</t>
        </is>
      </c>
      <c r="D2266" t="n">
        <v>275</v>
      </c>
      <c r="E2266" t="inlineStr">
        <is>
          <t>BBG01JTQNTD5</t>
        </is>
      </c>
    </row>
    <row r="2267">
      <c r="A2267" t="inlineStr">
        <is>
          <t>BBG016D95XV9 Equity</t>
        </is>
      </c>
      <c r="B2267" t="inlineStr">
        <is>
          <t>TSLA US 06/21/24 P276.67</t>
        </is>
      </c>
      <c r="C2267" t="inlineStr">
        <is>
          <t>2024-06-21</t>
        </is>
      </c>
      <c r="D2267" t="n">
        <v>276.67</v>
      </c>
      <c r="E2267" t="inlineStr">
        <is>
          <t>BBG016D95XV9</t>
        </is>
      </c>
    </row>
    <row r="2268">
      <c r="A2268" t="inlineStr">
        <is>
          <t>BBG016D95YZ3 Equity</t>
        </is>
      </c>
      <c r="B2268" t="inlineStr">
        <is>
          <t>TSLA US 06/21/24 P280</t>
        </is>
      </c>
      <c r="C2268" t="inlineStr">
        <is>
          <t>2024-06-21</t>
        </is>
      </c>
      <c r="D2268" t="n">
        <v>280</v>
      </c>
      <c r="E2268" t="inlineStr">
        <is>
          <t>BBG016D95YZ3</t>
        </is>
      </c>
    </row>
    <row r="2269">
      <c r="A2269" t="inlineStr">
        <is>
          <t>BBG016D96022 Equity</t>
        </is>
      </c>
      <c r="B2269" t="inlineStr">
        <is>
          <t>TSLA US 06/21/24 P283.33</t>
        </is>
      </c>
      <c r="C2269" t="inlineStr">
        <is>
          <t>2024-06-21</t>
        </is>
      </c>
      <c r="D2269" t="n">
        <v>283.33</v>
      </c>
      <c r="E2269" t="inlineStr">
        <is>
          <t>BBG016D96022</t>
        </is>
      </c>
    </row>
    <row r="2270">
      <c r="A2270" t="inlineStr">
        <is>
          <t>BBG01JTQNVH6 Equity</t>
        </is>
      </c>
      <c r="B2270" t="inlineStr">
        <is>
          <t>TSLA US 06/21/24 P285</t>
        </is>
      </c>
      <c r="C2270" t="inlineStr">
        <is>
          <t>2024-06-21</t>
        </is>
      </c>
      <c r="D2270" t="n">
        <v>285</v>
      </c>
      <c r="E2270" t="inlineStr">
        <is>
          <t>BBG01JTQNVH6</t>
        </is>
      </c>
    </row>
    <row r="2271">
      <c r="A2271" t="inlineStr">
        <is>
          <t>BBG016D96157 Equity</t>
        </is>
      </c>
      <c r="B2271" t="inlineStr">
        <is>
          <t>TSLA US 06/21/24 P286.67</t>
        </is>
      </c>
      <c r="C2271" t="inlineStr">
        <is>
          <t>2024-06-21</t>
        </is>
      </c>
      <c r="D2271" t="n">
        <v>286.67</v>
      </c>
      <c r="E2271" t="inlineStr">
        <is>
          <t>BBG016D96157</t>
        </is>
      </c>
    </row>
    <row r="2272">
      <c r="A2272" t="inlineStr">
        <is>
          <t>BBG016D96291 Equity</t>
        </is>
      </c>
      <c r="B2272" t="inlineStr">
        <is>
          <t>TSLA US 06/21/24 P290</t>
        </is>
      </c>
      <c r="C2272" t="inlineStr">
        <is>
          <t>2024-06-21</t>
        </is>
      </c>
      <c r="D2272" t="n">
        <v>290</v>
      </c>
      <c r="E2272" t="inlineStr">
        <is>
          <t>BBG016D96291</t>
        </is>
      </c>
    </row>
    <row r="2273">
      <c r="A2273" t="inlineStr">
        <is>
          <t>BBG016D963D4 Equity</t>
        </is>
      </c>
      <c r="B2273" t="inlineStr">
        <is>
          <t>TSLA US 06/21/24 P293.33</t>
        </is>
      </c>
      <c r="C2273" t="inlineStr">
        <is>
          <t>2024-06-21</t>
        </is>
      </c>
      <c r="D2273" t="n">
        <v>293.33</v>
      </c>
      <c r="E2273" t="inlineStr">
        <is>
          <t>BBG016D963D4</t>
        </is>
      </c>
    </row>
    <row r="2274">
      <c r="A2274" t="inlineStr">
        <is>
          <t>BBG01JTQNWM8 Equity</t>
        </is>
      </c>
      <c r="B2274" t="inlineStr">
        <is>
          <t>TSLA US 06/21/24 P295</t>
        </is>
      </c>
      <c r="C2274" t="inlineStr">
        <is>
          <t>2024-06-21</t>
        </is>
      </c>
      <c r="D2274" t="n">
        <v>295</v>
      </c>
      <c r="E2274" t="inlineStr">
        <is>
          <t>BBG01JTQNWM8</t>
        </is>
      </c>
    </row>
    <row r="2275">
      <c r="A2275" t="inlineStr">
        <is>
          <t>BBG016D964J6 Equity</t>
        </is>
      </c>
      <c r="B2275" t="inlineStr">
        <is>
          <t>TSLA US 06/21/24 P296.67</t>
        </is>
      </c>
      <c r="C2275" t="inlineStr">
        <is>
          <t>2024-06-21</t>
        </is>
      </c>
      <c r="D2275" t="n">
        <v>296.67</v>
      </c>
      <c r="E2275" t="inlineStr">
        <is>
          <t>BBG016D964J6</t>
        </is>
      </c>
    </row>
    <row r="2276">
      <c r="A2276" t="inlineStr">
        <is>
          <t>BBG016D965M9 Equity</t>
        </is>
      </c>
      <c r="B2276" t="inlineStr">
        <is>
          <t>TSLA US 06/21/24 P300</t>
        </is>
      </c>
      <c r="C2276" t="inlineStr">
        <is>
          <t>2024-06-21</t>
        </is>
      </c>
      <c r="D2276" t="n">
        <v>300</v>
      </c>
      <c r="E2276" t="inlineStr">
        <is>
          <t>BBG016D965M9</t>
        </is>
      </c>
    </row>
    <row r="2277">
      <c r="A2277" t="inlineStr">
        <is>
          <t>BBG016D966Q3 Equity</t>
        </is>
      </c>
      <c r="B2277" t="inlineStr">
        <is>
          <t>TSLA US 06/21/24 P303.33</t>
        </is>
      </c>
      <c r="C2277" t="inlineStr">
        <is>
          <t>2024-06-21</t>
        </is>
      </c>
      <c r="D2277" t="n">
        <v>303.33</v>
      </c>
      <c r="E2277" t="inlineStr">
        <is>
          <t>BBG016D966Q3</t>
        </is>
      </c>
    </row>
    <row r="2278">
      <c r="A2278" t="inlineStr">
        <is>
          <t>BBG01JTQNXQ2 Equity</t>
        </is>
      </c>
      <c r="B2278" t="inlineStr">
        <is>
          <t>TSLA US 06/21/24 P305</t>
        </is>
      </c>
      <c r="C2278" t="inlineStr">
        <is>
          <t>2024-06-21</t>
        </is>
      </c>
      <c r="D2278" t="n">
        <v>305</v>
      </c>
      <c r="E2278" t="inlineStr">
        <is>
          <t>BBG01JTQNXQ2</t>
        </is>
      </c>
    </row>
    <row r="2279">
      <c r="A2279" t="inlineStr">
        <is>
          <t>BBG016D967V5 Equity</t>
        </is>
      </c>
      <c r="B2279" t="inlineStr">
        <is>
          <t>TSLA US 06/21/24 P306.67</t>
        </is>
      </c>
      <c r="C2279" t="inlineStr">
        <is>
          <t>2024-06-21</t>
        </is>
      </c>
      <c r="D2279" t="n">
        <v>306.67</v>
      </c>
      <c r="E2279" t="inlineStr">
        <is>
          <t>BBG016D967V5</t>
        </is>
      </c>
    </row>
    <row r="2280">
      <c r="A2280" t="inlineStr">
        <is>
          <t>BBG016D968Y0 Equity</t>
        </is>
      </c>
      <c r="B2280" t="inlineStr">
        <is>
          <t>TSLA US 06/21/24 P310</t>
        </is>
      </c>
      <c r="C2280" t="inlineStr">
        <is>
          <t>2024-06-21</t>
        </is>
      </c>
      <c r="D2280" t="n">
        <v>310</v>
      </c>
      <c r="E2280" t="inlineStr">
        <is>
          <t>BBG016D968Y0</t>
        </is>
      </c>
    </row>
    <row r="2281">
      <c r="A2281" t="inlineStr">
        <is>
          <t>BBG016D96B19 Equity</t>
        </is>
      </c>
      <c r="B2281" t="inlineStr">
        <is>
          <t>TSLA US 06/21/24 P313.33</t>
        </is>
      </c>
      <c r="C2281" t="inlineStr">
        <is>
          <t>2024-06-21</t>
        </is>
      </c>
      <c r="D2281" t="n">
        <v>313.33</v>
      </c>
      <c r="E2281" t="inlineStr">
        <is>
          <t>BBG016D96B19</t>
        </is>
      </c>
    </row>
    <row r="2282">
      <c r="A2282" t="inlineStr">
        <is>
          <t>BBG01JTQNYT7 Equity</t>
        </is>
      </c>
      <c r="B2282" t="inlineStr">
        <is>
          <t>TSLA US 06/21/24 P315</t>
        </is>
      </c>
      <c r="C2282" t="inlineStr">
        <is>
          <t>2024-06-21</t>
        </is>
      </c>
      <c r="D2282" t="n">
        <v>315</v>
      </c>
      <c r="E2282" t="inlineStr">
        <is>
          <t>BBG01JTQNYT7</t>
        </is>
      </c>
    </row>
    <row r="2283">
      <c r="A2283" t="inlineStr">
        <is>
          <t>BBG016D96C53 Equity</t>
        </is>
      </c>
      <c r="B2283" t="inlineStr">
        <is>
          <t>TSLA US 06/21/24 P316.67</t>
        </is>
      </c>
      <c r="C2283" t="inlineStr">
        <is>
          <t>2024-06-21</t>
        </is>
      </c>
      <c r="D2283" t="n">
        <v>316.67</v>
      </c>
      <c r="E2283" t="inlineStr">
        <is>
          <t>BBG016D96C53</t>
        </is>
      </c>
    </row>
    <row r="2284">
      <c r="A2284" t="inlineStr">
        <is>
          <t>BBG016D96D88 Equity</t>
        </is>
      </c>
      <c r="B2284" t="inlineStr">
        <is>
          <t>TSLA US 06/21/24 P320</t>
        </is>
      </c>
      <c r="C2284" t="inlineStr">
        <is>
          <t>2024-06-21</t>
        </is>
      </c>
      <c r="D2284" t="n">
        <v>320</v>
      </c>
      <c r="E2284" t="inlineStr">
        <is>
          <t>BBG016D96D88</t>
        </is>
      </c>
    </row>
    <row r="2285">
      <c r="A2285" t="inlineStr">
        <is>
          <t>BBG01KGW7FT4 Equity</t>
        </is>
      </c>
      <c r="B2285" t="inlineStr">
        <is>
          <t>TSLA US 07/19/24 P145</t>
        </is>
      </c>
      <c r="C2285" t="inlineStr">
        <is>
          <t>2024-07-19</t>
        </is>
      </c>
      <c r="D2285" t="n">
        <v>145</v>
      </c>
      <c r="E2285" t="inlineStr">
        <is>
          <t>BBG01KGW7FT4</t>
        </is>
      </c>
    </row>
    <row r="2286">
      <c r="A2286" t="inlineStr">
        <is>
          <t>BBG01KGW7GX7 Equity</t>
        </is>
      </c>
      <c r="B2286" t="inlineStr">
        <is>
          <t>TSLA US 07/19/24 P150</t>
        </is>
      </c>
      <c r="C2286" t="inlineStr">
        <is>
          <t>2024-07-19</t>
        </is>
      </c>
      <c r="D2286" t="n">
        <v>150</v>
      </c>
      <c r="E2286" t="inlineStr">
        <is>
          <t>BBG01KGW7GX7</t>
        </is>
      </c>
    </row>
    <row r="2287">
      <c r="A2287" t="inlineStr">
        <is>
          <t>BBG01KGW7J16 Equity</t>
        </is>
      </c>
      <c r="B2287" t="inlineStr">
        <is>
          <t>TSLA US 07/19/24 P155</t>
        </is>
      </c>
      <c r="C2287" t="inlineStr">
        <is>
          <t>2024-07-19</t>
        </is>
      </c>
      <c r="D2287" t="n">
        <v>155</v>
      </c>
      <c r="E2287" t="inlineStr">
        <is>
          <t>BBG01KGW7J16</t>
        </is>
      </c>
    </row>
    <row r="2288">
      <c r="A2288" t="inlineStr">
        <is>
          <t>BBG01NGYZTV0 Equity</t>
        </is>
      </c>
      <c r="B2288" t="inlineStr">
        <is>
          <t>TSLA US 07/19/24 P157.5</t>
        </is>
      </c>
      <c r="C2288" t="inlineStr">
        <is>
          <t>2024-07-19</t>
        </is>
      </c>
      <c r="D2288" t="n">
        <v>157.5</v>
      </c>
      <c r="E2288" t="inlineStr">
        <is>
          <t>BBG01NGYZTV0</t>
        </is>
      </c>
    </row>
    <row r="2289">
      <c r="A2289" t="inlineStr">
        <is>
          <t>BBG01KGW7K40 Equity</t>
        </is>
      </c>
      <c r="B2289" t="inlineStr">
        <is>
          <t>TSLA US 07/19/24 P160</t>
        </is>
      </c>
      <c r="C2289" t="inlineStr">
        <is>
          <t>2024-07-19</t>
        </is>
      </c>
      <c r="D2289" t="n">
        <v>160</v>
      </c>
      <c r="E2289" t="inlineStr">
        <is>
          <t>BBG01KGW7K40</t>
        </is>
      </c>
    </row>
    <row r="2290">
      <c r="A2290" t="inlineStr">
        <is>
          <t>BBG01NGYZW07 Equity</t>
        </is>
      </c>
      <c r="B2290" t="inlineStr">
        <is>
          <t>TSLA US 07/19/24 P162.5</t>
        </is>
      </c>
      <c r="C2290" t="inlineStr">
        <is>
          <t>2024-07-19</t>
        </is>
      </c>
      <c r="D2290" t="n">
        <v>162.5</v>
      </c>
      <c r="E2290" t="inlineStr">
        <is>
          <t>BBG01NGYZW07</t>
        </is>
      </c>
    </row>
    <row r="2291">
      <c r="A2291" t="inlineStr">
        <is>
          <t>BBG01KGW7L75 Equity</t>
        </is>
      </c>
      <c r="B2291" t="inlineStr">
        <is>
          <t>TSLA US 07/19/24 P165</t>
        </is>
      </c>
      <c r="C2291" t="inlineStr">
        <is>
          <t>2024-07-19</t>
        </is>
      </c>
      <c r="D2291" t="n">
        <v>165</v>
      </c>
      <c r="E2291" t="inlineStr">
        <is>
          <t>BBG01KGW7L75</t>
        </is>
      </c>
    </row>
    <row r="2292">
      <c r="A2292" t="inlineStr">
        <is>
          <t>BBG01NGYZX69 Equity</t>
        </is>
      </c>
      <c r="B2292" t="inlineStr">
        <is>
          <t>TSLA US 07/19/24 P167.5</t>
        </is>
      </c>
      <c r="C2292" t="inlineStr">
        <is>
          <t>2024-07-19</t>
        </is>
      </c>
      <c r="D2292" t="n">
        <v>167.5</v>
      </c>
      <c r="E2292" t="inlineStr">
        <is>
          <t>BBG01NGYZX69</t>
        </is>
      </c>
    </row>
    <row r="2293">
      <c r="A2293" t="inlineStr">
        <is>
          <t>BBG01KGW7MD6 Equity</t>
        </is>
      </c>
      <c r="B2293" t="inlineStr">
        <is>
          <t>TSLA US 07/19/24 P170</t>
        </is>
      </c>
      <c r="C2293" t="inlineStr">
        <is>
          <t>2024-07-19</t>
        </is>
      </c>
      <c r="D2293" t="n">
        <v>170</v>
      </c>
      <c r="E2293" t="inlineStr">
        <is>
          <t>BBG01KGW7MD6</t>
        </is>
      </c>
    </row>
    <row r="2294">
      <c r="A2294" t="inlineStr">
        <is>
          <t>BBG01NGYZYC0 Equity</t>
        </is>
      </c>
      <c r="B2294" t="inlineStr">
        <is>
          <t>TSLA US 07/19/24 P172.5</t>
        </is>
      </c>
      <c r="C2294" t="inlineStr">
        <is>
          <t>2024-07-19</t>
        </is>
      </c>
      <c r="D2294" t="n">
        <v>172.5</v>
      </c>
      <c r="E2294" t="inlineStr">
        <is>
          <t>BBG01NGYZYC0</t>
        </is>
      </c>
    </row>
    <row r="2295">
      <c r="A2295" t="inlineStr">
        <is>
          <t>BBG01KGW7NH0 Equity</t>
        </is>
      </c>
      <c r="B2295" t="inlineStr">
        <is>
          <t>TSLA US 07/19/24 P175</t>
        </is>
      </c>
      <c r="C2295" t="inlineStr">
        <is>
          <t>2024-07-19</t>
        </is>
      </c>
      <c r="D2295" t="n">
        <v>175</v>
      </c>
      <c r="E2295" t="inlineStr">
        <is>
          <t>BBG01KGW7NH0</t>
        </is>
      </c>
    </row>
    <row r="2296">
      <c r="A2296" t="inlineStr">
        <is>
          <t>BBG01NGYZZK8 Equity</t>
        </is>
      </c>
      <c r="B2296" t="inlineStr">
        <is>
          <t>TSLA US 07/19/24 P177.5</t>
        </is>
      </c>
      <c r="C2296" t="inlineStr">
        <is>
          <t>2024-07-19</t>
        </is>
      </c>
      <c r="D2296" t="n">
        <v>177.5</v>
      </c>
      <c r="E2296" t="inlineStr">
        <is>
          <t>BBG01NGYZZK8</t>
        </is>
      </c>
    </row>
    <row r="2297">
      <c r="A2297" t="inlineStr">
        <is>
          <t>BBG01KGW7PL0 Equity</t>
        </is>
      </c>
      <c r="B2297" t="inlineStr">
        <is>
          <t>TSLA US 07/19/24 P180</t>
        </is>
      </c>
      <c r="C2297" t="inlineStr">
        <is>
          <t>2024-07-19</t>
        </is>
      </c>
      <c r="D2297" t="n">
        <v>180</v>
      </c>
      <c r="E2297" t="inlineStr">
        <is>
          <t>BBG01KGW7PL0</t>
        </is>
      </c>
    </row>
    <row r="2298">
      <c r="A2298" t="inlineStr">
        <is>
          <t>BBG01NGZ00Q4 Equity</t>
        </is>
      </c>
      <c r="B2298" t="inlineStr">
        <is>
          <t>TSLA US 07/19/24 P182.5</t>
        </is>
      </c>
      <c r="C2298" t="inlineStr">
        <is>
          <t>2024-07-19</t>
        </is>
      </c>
      <c r="D2298" t="n">
        <v>182.5</v>
      </c>
      <c r="E2298" t="inlineStr">
        <is>
          <t>BBG01NGZ00Q4</t>
        </is>
      </c>
    </row>
    <row r="2299">
      <c r="A2299" t="inlineStr">
        <is>
          <t>BBG01KGW7QQ3 Equity</t>
        </is>
      </c>
      <c r="B2299" t="inlineStr">
        <is>
          <t>TSLA US 07/19/24 P185</t>
        </is>
      </c>
      <c r="C2299" t="inlineStr">
        <is>
          <t>2024-07-19</t>
        </is>
      </c>
      <c r="D2299" t="n">
        <v>185</v>
      </c>
      <c r="E2299" t="inlineStr">
        <is>
          <t>BBG01KGW7QQ3</t>
        </is>
      </c>
    </row>
    <row r="2300">
      <c r="A2300" t="inlineStr">
        <is>
          <t>BBG01NGZ01W5 Equity</t>
        </is>
      </c>
      <c r="B2300" t="inlineStr">
        <is>
          <t>TSLA US 07/19/24 P187.5</t>
        </is>
      </c>
      <c r="C2300" t="inlineStr">
        <is>
          <t>2024-07-19</t>
        </is>
      </c>
      <c r="D2300" t="n">
        <v>187.5</v>
      </c>
      <c r="E2300" t="inlineStr">
        <is>
          <t>BBG01NGZ01W5</t>
        </is>
      </c>
    </row>
    <row r="2301">
      <c r="A2301" t="inlineStr">
        <is>
          <t>BBG01KGW7RT8 Equity</t>
        </is>
      </c>
      <c r="B2301" t="inlineStr">
        <is>
          <t>TSLA US 07/19/24 P190</t>
        </is>
      </c>
      <c r="C2301" t="inlineStr">
        <is>
          <t>2024-07-19</t>
        </is>
      </c>
      <c r="D2301" t="n">
        <v>190</v>
      </c>
      <c r="E2301" t="inlineStr">
        <is>
          <t>BBG01KGW7RT8</t>
        </is>
      </c>
    </row>
    <row r="2302">
      <c r="A2302" t="inlineStr">
        <is>
          <t>BBG01NGZ0324 Equity</t>
        </is>
      </c>
      <c r="B2302" t="inlineStr">
        <is>
          <t>TSLA US 07/19/24 P192.5</t>
        </is>
      </c>
      <c r="C2302" t="inlineStr">
        <is>
          <t>2024-07-19</t>
        </is>
      </c>
      <c r="D2302" t="n">
        <v>192.5</v>
      </c>
      <c r="E2302" t="inlineStr">
        <is>
          <t>BBG01NGZ0324</t>
        </is>
      </c>
    </row>
    <row r="2303">
      <c r="A2303" t="inlineStr">
        <is>
          <t>BBG01KGW7SX1 Equity</t>
        </is>
      </c>
      <c r="B2303" t="inlineStr">
        <is>
          <t>TSLA US 07/19/24 P195</t>
        </is>
      </c>
      <c r="C2303" t="inlineStr">
        <is>
          <t>2024-07-19</t>
        </is>
      </c>
      <c r="D2303" t="n">
        <v>195</v>
      </c>
      <c r="E2303" t="inlineStr">
        <is>
          <t>BBG01KGW7SX1</t>
        </is>
      </c>
    </row>
    <row r="2304">
      <c r="A2304" t="inlineStr">
        <is>
          <t>BBG01NGZ0477 Equity</t>
        </is>
      </c>
      <c r="B2304" t="inlineStr">
        <is>
          <t>TSLA US 07/19/24 P197.5</t>
        </is>
      </c>
      <c r="C2304" t="inlineStr">
        <is>
          <t>2024-07-19</t>
        </is>
      </c>
      <c r="D2304" t="n">
        <v>197.5</v>
      </c>
      <c r="E2304" t="inlineStr">
        <is>
          <t>BBG01NGZ0477</t>
        </is>
      </c>
    </row>
    <row r="2305">
      <c r="A2305" t="inlineStr">
        <is>
          <t>BBG01KGW7V19 Equity</t>
        </is>
      </c>
      <c r="B2305" t="inlineStr">
        <is>
          <t>TSLA US 07/19/24 P200</t>
        </is>
      </c>
      <c r="C2305" t="inlineStr">
        <is>
          <t>2024-07-19</t>
        </is>
      </c>
      <c r="D2305" t="n">
        <v>200</v>
      </c>
      <c r="E2305" t="inlineStr">
        <is>
          <t>BBG01KGW7V19</t>
        </is>
      </c>
    </row>
    <row r="2306">
      <c r="A2306" t="inlineStr">
        <is>
          <t>BBG01NGZ05D7 Equity</t>
        </is>
      </c>
      <c r="B2306" t="inlineStr">
        <is>
          <t>TSLA US 07/19/24 P202.5</t>
        </is>
      </c>
      <c r="C2306" t="inlineStr">
        <is>
          <t>2024-07-19</t>
        </is>
      </c>
      <c r="D2306" t="n">
        <v>202.5</v>
      </c>
      <c r="E2306" t="inlineStr">
        <is>
          <t>BBG01NGZ05D7</t>
        </is>
      </c>
    </row>
    <row r="2307">
      <c r="A2307" t="inlineStr">
        <is>
          <t>BBG01KGW7W44 Equity</t>
        </is>
      </c>
      <c r="B2307" t="inlineStr">
        <is>
          <t>TSLA US 07/19/24 P205</t>
        </is>
      </c>
      <c r="C2307" t="inlineStr">
        <is>
          <t>2024-07-19</t>
        </is>
      </c>
      <c r="D2307" t="n">
        <v>205</v>
      </c>
      <c r="E2307" t="inlineStr">
        <is>
          <t>BBG01KGW7W44</t>
        </is>
      </c>
    </row>
    <row r="2308">
      <c r="A2308" t="inlineStr">
        <is>
          <t>BBG01KGW7X79 Equity</t>
        </is>
      </c>
      <c r="B2308" t="inlineStr">
        <is>
          <t>TSLA US 07/19/24 P210</t>
        </is>
      </c>
      <c r="C2308" t="inlineStr">
        <is>
          <t>2024-07-19</t>
        </is>
      </c>
      <c r="D2308" t="n">
        <v>210</v>
      </c>
      <c r="E2308" t="inlineStr">
        <is>
          <t>BBG01KGW7X79</t>
        </is>
      </c>
    </row>
    <row r="2309">
      <c r="A2309" t="inlineStr">
        <is>
          <t>BBG01NK2L9Z0 Equity</t>
        </is>
      </c>
      <c r="B2309" t="inlineStr">
        <is>
          <t>TSLA US 07/19/24 P212.5</t>
        </is>
      </c>
      <c r="C2309" t="inlineStr">
        <is>
          <t>2024-07-19</t>
        </is>
      </c>
      <c r="D2309" t="n">
        <v>212.5</v>
      </c>
      <c r="E2309" t="inlineStr">
        <is>
          <t>BBG01NK2L9Z0</t>
        </is>
      </c>
    </row>
    <row r="2310">
      <c r="A2310" t="inlineStr">
        <is>
          <t>BBG01KGW7YC1 Equity</t>
        </is>
      </c>
      <c r="B2310" t="inlineStr">
        <is>
          <t>TSLA US 07/19/24 P215</t>
        </is>
      </c>
      <c r="C2310" t="inlineStr">
        <is>
          <t>2024-07-19</t>
        </is>
      </c>
      <c r="D2310" t="n">
        <v>215</v>
      </c>
      <c r="E2310" t="inlineStr">
        <is>
          <t>BBG01KGW7YC1</t>
        </is>
      </c>
    </row>
    <row r="2311">
      <c r="A2311" t="inlineStr">
        <is>
          <t>BBG01NK2LC56 Equity</t>
        </is>
      </c>
      <c r="B2311" t="inlineStr">
        <is>
          <t>TSLA US 07/19/24 P217.5</t>
        </is>
      </c>
      <c r="C2311" t="inlineStr">
        <is>
          <t>2024-07-19</t>
        </is>
      </c>
      <c r="D2311" t="n">
        <v>217.5</v>
      </c>
      <c r="E2311" t="inlineStr">
        <is>
          <t>BBG01NK2LC56</t>
        </is>
      </c>
    </row>
    <row r="2312">
      <c r="A2312" t="inlineStr">
        <is>
          <t>BBG01KGW7ZG4 Equity</t>
        </is>
      </c>
      <c r="B2312" t="inlineStr">
        <is>
          <t>TSLA US 07/19/24 P220</t>
        </is>
      </c>
      <c r="C2312" t="inlineStr">
        <is>
          <t>2024-07-19</t>
        </is>
      </c>
      <c r="D2312" t="n">
        <v>220</v>
      </c>
      <c r="E2312" t="inlineStr">
        <is>
          <t>BBG01KGW7ZG4</t>
        </is>
      </c>
    </row>
    <row r="2313">
      <c r="A2313" t="inlineStr">
        <is>
          <t>BBG01KGW80K5 Equity</t>
        </is>
      </c>
      <c r="B2313" t="inlineStr">
        <is>
          <t>TSLA US 07/19/24 P225</t>
        </is>
      </c>
      <c r="C2313" t="inlineStr">
        <is>
          <t>2024-07-19</t>
        </is>
      </c>
      <c r="D2313" t="n">
        <v>225</v>
      </c>
      <c r="E2313" t="inlineStr">
        <is>
          <t>BBG01KGW80K5</t>
        </is>
      </c>
    </row>
    <row r="2314">
      <c r="A2314" t="inlineStr">
        <is>
          <t>BBG01KGW81P8 Equity</t>
        </is>
      </c>
      <c r="B2314" t="inlineStr">
        <is>
          <t>TSLA US 07/19/24 P230</t>
        </is>
      </c>
      <c r="C2314" t="inlineStr">
        <is>
          <t>2024-07-19</t>
        </is>
      </c>
      <c r="D2314" t="n">
        <v>230</v>
      </c>
      <c r="E2314" t="inlineStr">
        <is>
          <t>BBG01KGW81P8</t>
        </is>
      </c>
    </row>
    <row r="2315">
      <c r="A2315" t="inlineStr">
        <is>
          <t>BBG01KGW82S3 Equity</t>
        </is>
      </c>
      <c r="B2315" t="inlineStr">
        <is>
          <t>TSLA US 07/19/24 P235</t>
        </is>
      </c>
      <c r="C2315" t="inlineStr">
        <is>
          <t>2024-07-19</t>
        </is>
      </c>
      <c r="D2315" t="n">
        <v>235</v>
      </c>
      <c r="E2315" t="inlineStr">
        <is>
          <t>BBG01KGW82S3</t>
        </is>
      </c>
    </row>
    <row r="2316">
      <c r="A2316" t="inlineStr">
        <is>
          <t>BBG01KGW83W6 Equity</t>
        </is>
      </c>
      <c r="B2316" t="inlineStr">
        <is>
          <t>TSLA US 07/19/24 P240</t>
        </is>
      </c>
      <c r="C2316" t="inlineStr">
        <is>
          <t>2024-07-19</t>
        </is>
      </c>
      <c r="D2316" t="n">
        <v>240</v>
      </c>
      <c r="E2316" t="inlineStr">
        <is>
          <t>BBG01KGW83W6</t>
        </is>
      </c>
    </row>
    <row r="2317">
      <c r="A2317" t="inlineStr">
        <is>
          <t>BBG01KGW8515 Equity</t>
        </is>
      </c>
      <c r="B2317" t="inlineStr">
        <is>
          <t>TSLA US 07/19/24 P245</t>
        </is>
      </c>
      <c r="C2317" t="inlineStr">
        <is>
          <t>2024-07-19</t>
        </is>
      </c>
      <c r="D2317" t="n">
        <v>245</v>
      </c>
      <c r="E2317" t="inlineStr">
        <is>
          <t>BBG01KGW8515</t>
        </is>
      </c>
    </row>
    <row r="2318">
      <c r="A2318" t="inlineStr">
        <is>
          <t>BBG01KGW8640 Equity</t>
        </is>
      </c>
      <c r="B2318" t="inlineStr">
        <is>
          <t>TSLA US 07/19/24 P250</t>
        </is>
      </c>
      <c r="C2318" t="inlineStr">
        <is>
          <t>2024-07-19</t>
        </is>
      </c>
      <c r="D2318" t="n">
        <v>250</v>
      </c>
      <c r="E2318" t="inlineStr">
        <is>
          <t>BBG01KGW8640</t>
        </is>
      </c>
    </row>
    <row r="2319">
      <c r="A2319" t="inlineStr">
        <is>
          <t>BBG01KGW8775 Equity</t>
        </is>
      </c>
      <c r="B2319" t="inlineStr">
        <is>
          <t>TSLA US 07/19/24 P255</t>
        </is>
      </c>
      <c r="C2319" t="inlineStr">
        <is>
          <t>2024-07-19</t>
        </is>
      </c>
      <c r="D2319" t="n">
        <v>255</v>
      </c>
      <c r="E2319" t="inlineStr">
        <is>
          <t>BBG01KGW8775</t>
        </is>
      </c>
    </row>
    <row r="2320">
      <c r="A2320" t="inlineStr">
        <is>
          <t>BBG01KGW88C7 Equity</t>
        </is>
      </c>
      <c r="B2320" t="inlineStr">
        <is>
          <t>TSLA US 07/19/24 P260</t>
        </is>
      </c>
      <c r="C2320" t="inlineStr">
        <is>
          <t>2024-07-19</t>
        </is>
      </c>
      <c r="D2320" t="n">
        <v>260</v>
      </c>
      <c r="E2320" t="inlineStr">
        <is>
          <t>BBG01KGW88C7</t>
        </is>
      </c>
    </row>
    <row r="2321">
      <c r="A2321" t="inlineStr">
        <is>
          <t>BBG01KGW89G1 Equity</t>
        </is>
      </c>
      <c r="B2321" t="inlineStr">
        <is>
          <t>TSLA US 07/19/24 P265</t>
        </is>
      </c>
      <c r="C2321" t="inlineStr">
        <is>
          <t>2024-07-19</t>
        </is>
      </c>
      <c r="D2321" t="n">
        <v>265</v>
      </c>
      <c r="E2321" t="inlineStr">
        <is>
          <t>BBG01KGW89G1</t>
        </is>
      </c>
    </row>
    <row r="2322">
      <c r="A2322" t="inlineStr">
        <is>
          <t>BBG01KGW8BK1 Equity</t>
        </is>
      </c>
      <c r="B2322" t="inlineStr">
        <is>
          <t>TSLA US 07/19/24 P270</t>
        </is>
      </c>
      <c r="C2322" t="inlineStr">
        <is>
          <t>2024-07-19</t>
        </is>
      </c>
      <c r="D2322" t="n">
        <v>270</v>
      </c>
      <c r="E2322" t="inlineStr">
        <is>
          <t>BBG01KGW8BK1</t>
        </is>
      </c>
    </row>
    <row r="2323">
      <c r="A2323" t="inlineStr">
        <is>
          <t>BBG01KXXNTZ8 Equity</t>
        </is>
      </c>
      <c r="B2323" t="inlineStr">
        <is>
          <t>TSLA US 08/16/24 P145</t>
        </is>
      </c>
      <c r="C2323" t="inlineStr">
        <is>
          <t>2024-08-16</t>
        </is>
      </c>
      <c r="D2323" t="n">
        <v>145</v>
      </c>
      <c r="E2323" t="inlineStr">
        <is>
          <t>BBG01KXXNTZ8</t>
        </is>
      </c>
    </row>
    <row r="2324">
      <c r="A2324" t="inlineStr">
        <is>
          <t>BBG01KXXNW45 Equity</t>
        </is>
      </c>
      <c r="B2324" t="inlineStr">
        <is>
          <t>TSLA US 08/16/24 P150</t>
        </is>
      </c>
      <c r="C2324" t="inlineStr">
        <is>
          <t>2024-08-16</t>
        </is>
      </c>
      <c r="D2324" t="n">
        <v>150</v>
      </c>
      <c r="E2324" t="inlineStr">
        <is>
          <t>BBG01KXXNW45</t>
        </is>
      </c>
    </row>
    <row r="2325">
      <c r="A2325" t="inlineStr">
        <is>
          <t>BBG01KXXNX98 Equity</t>
        </is>
      </c>
      <c r="B2325" t="inlineStr">
        <is>
          <t>TSLA US 08/16/24 P155</t>
        </is>
      </c>
      <c r="C2325" t="inlineStr">
        <is>
          <t>2024-08-16</t>
        </is>
      </c>
      <c r="D2325" t="n">
        <v>155</v>
      </c>
      <c r="E2325" t="inlineStr">
        <is>
          <t>BBG01KXXNX98</t>
        </is>
      </c>
    </row>
    <row r="2326">
      <c r="A2326" t="inlineStr">
        <is>
          <t>BBG01KXXNYH7 Equity</t>
        </is>
      </c>
      <c r="B2326" t="inlineStr">
        <is>
          <t>TSLA US 08/16/24 P160</t>
        </is>
      </c>
      <c r="C2326" t="inlineStr">
        <is>
          <t>2024-08-16</t>
        </is>
      </c>
      <c r="D2326" t="n">
        <v>160</v>
      </c>
      <c r="E2326" t="inlineStr">
        <is>
          <t>BBG01KXXNYH7</t>
        </is>
      </c>
    </row>
    <row r="2327">
      <c r="A2327" t="inlineStr">
        <is>
          <t>BBG01KXXNZN7 Equity</t>
        </is>
      </c>
      <c r="B2327" t="inlineStr">
        <is>
          <t>TSLA US 08/16/24 P165</t>
        </is>
      </c>
      <c r="C2327" t="inlineStr">
        <is>
          <t>2024-08-16</t>
        </is>
      </c>
      <c r="D2327" t="n">
        <v>165</v>
      </c>
      <c r="E2327" t="inlineStr">
        <is>
          <t>BBG01KXXNZN7</t>
        </is>
      </c>
    </row>
    <row r="2328">
      <c r="A2328" t="inlineStr">
        <is>
          <t>BBG01KXXP0T6 Equity</t>
        </is>
      </c>
      <c r="B2328" t="inlineStr">
        <is>
          <t>TSLA US 08/16/24 P170</t>
        </is>
      </c>
      <c r="C2328" t="inlineStr">
        <is>
          <t>2024-08-16</t>
        </is>
      </c>
      <c r="D2328" t="n">
        <v>170</v>
      </c>
      <c r="E2328" t="inlineStr">
        <is>
          <t>BBG01KXXP0T6</t>
        </is>
      </c>
    </row>
    <row r="2329">
      <c r="A2329" t="inlineStr">
        <is>
          <t>BBG01KXXP203 Equity</t>
        </is>
      </c>
      <c r="B2329" t="inlineStr">
        <is>
          <t>TSLA US 08/16/24 P175</t>
        </is>
      </c>
      <c r="C2329" t="inlineStr">
        <is>
          <t>2024-08-16</t>
        </is>
      </c>
      <c r="D2329" t="n">
        <v>175</v>
      </c>
      <c r="E2329" t="inlineStr">
        <is>
          <t>BBG01KXXP203</t>
        </is>
      </c>
    </row>
    <row r="2330">
      <c r="A2330" t="inlineStr">
        <is>
          <t>BBG01KXXP356 Equity</t>
        </is>
      </c>
      <c r="B2330" t="inlineStr">
        <is>
          <t>TSLA US 08/16/24 P180</t>
        </is>
      </c>
      <c r="C2330" t="inlineStr">
        <is>
          <t>2024-08-16</t>
        </is>
      </c>
      <c r="D2330" t="n">
        <v>180</v>
      </c>
      <c r="E2330" t="inlineStr">
        <is>
          <t>BBG01KXXP356</t>
        </is>
      </c>
    </row>
    <row r="2331">
      <c r="A2331" t="inlineStr">
        <is>
          <t>BBG01KXXP4B7 Equity</t>
        </is>
      </c>
      <c r="B2331" t="inlineStr">
        <is>
          <t>TSLA US 08/16/24 P185</t>
        </is>
      </c>
      <c r="C2331" t="inlineStr">
        <is>
          <t>2024-08-16</t>
        </is>
      </c>
      <c r="D2331" t="n">
        <v>185</v>
      </c>
      <c r="E2331" t="inlineStr">
        <is>
          <t>BBG01KXXP4B7</t>
        </is>
      </c>
    </row>
    <row r="2332">
      <c r="A2332" t="inlineStr">
        <is>
          <t>BBG01KXXP5J6 Equity</t>
        </is>
      </c>
      <c r="B2332" t="inlineStr">
        <is>
          <t>TSLA US 08/16/24 P190</t>
        </is>
      </c>
      <c r="C2332" t="inlineStr">
        <is>
          <t>2024-08-16</t>
        </is>
      </c>
      <c r="D2332" t="n">
        <v>190</v>
      </c>
      <c r="E2332" t="inlineStr">
        <is>
          <t>BBG01KXXP5J6</t>
        </is>
      </c>
    </row>
    <row r="2333">
      <c r="A2333" t="inlineStr">
        <is>
          <t>BBG01KXXP6P7 Equity</t>
        </is>
      </c>
      <c r="B2333" t="inlineStr">
        <is>
          <t>TSLA US 08/16/24 P195</t>
        </is>
      </c>
      <c r="C2333" t="inlineStr">
        <is>
          <t>2024-08-16</t>
        </is>
      </c>
      <c r="D2333" t="n">
        <v>195</v>
      </c>
      <c r="E2333" t="inlineStr">
        <is>
          <t>BBG01KXXP6P7</t>
        </is>
      </c>
    </row>
    <row r="2334">
      <c r="A2334" t="inlineStr">
        <is>
          <t>BBG01KXXP7W7 Equity</t>
        </is>
      </c>
      <c r="B2334" t="inlineStr">
        <is>
          <t>TSLA US 08/16/24 P200</t>
        </is>
      </c>
      <c r="C2334" t="inlineStr">
        <is>
          <t>2024-08-16</t>
        </is>
      </c>
      <c r="D2334" t="n">
        <v>200</v>
      </c>
      <c r="E2334" t="inlineStr">
        <is>
          <t>BBG01KXXP7W7</t>
        </is>
      </c>
    </row>
    <row r="2335">
      <c r="A2335" t="inlineStr">
        <is>
          <t>BBG01KXXP917 Equity</t>
        </is>
      </c>
      <c r="B2335" t="inlineStr">
        <is>
          <t>TSLA US 08/16/24 P205</t>
        </is>
      </c>
      <c r="C2335" t="inlineStr">
        <is>
          <t>2024-08-16</t>
        </is>
      </c>
      <c r="D2335" t="n">
        <v>205</v>
      </c>
      <c r="E2335" t="inlineStr">
        <is>
          <t>BBG01KXXP917</t>
        </is>
      </c>
    </row>
    <row r="2336">
      <c r="A2336" t="inlineStr">
        <is>
          <t>BBG01KXXPB67 Equity</t>
        </is>
      </c>
      <c r="B2336" t="inlineStr">
        <is>
          <t>TSLA US 08/16/24 P210</t>
        </is>
      </c>
      <c r="C2336" t="inlineStr">
        <is>
          <t>2024-08-16</t>
        </is>
      </c>
      <c r="D2336" t="n">
        <v>210</v>
      </c>
      <c r="E2336" t="inlineStr">
        <is>
          <t>BBG01KXXPB67</t>
        </is>
      </c>
    </row>
    <row r="2337">
      <c r="A2337" t="inlineStr">
        <is>
          <t>BBG01KXXPCD7 Equity</t>
        </is>
      </c>
      <c r="B2337" t="inlineStr">
        <is>
          <t>TSLA US 08/16/24 P215</t>
        </is>
      </c>
      <c r="C2337" t="inlineStr">
        <is>
          <t>2024-08-16</t>
        </is>
      </c>
      <c r="D2337" t="n">
        <v>215</v>
      </c>
      <c r="E2337" t="inlineStr">
        <is>
          <t>BBG01KXXPCD7</t>
        </is>
      </c>
    </row>
    <row r="2338">
      <c r="A2338" t="inlineStr">
        <is>
          <t>BBG01KXXPDK7 Equity</t>
        </is>
      </c>
      <c r="B2338" t="inlineStr">
        <is>
          <t>TSLA US 08/16/24 P220</t>
        </is>
      </c>
      <c r="C2338" t="inlineStr">
        <is>
          <t>2024-08-16</t>
        </is>
      </c>
      <c r="D2338" t="n">
        <v>220</v>
      </c>
      <c r="E2338" t="inlineStr">
        <is>
          <t>BBG01KXXPDK7</t>
        </is>
      </c>
    </row>
    <row r="2339">
      <c r="A2339" t="inlineStr">
        <is>
          <t>BBG01KXXPFQ6 Equity</t>
        </is>
      </c>
      <c r="B2339" t="inlineStr">
        <is>
          <t>TSLA US 08/16/24 P225</t>
        </is>
      </c>
      <c r="C2339" t="inlineStr">
        <is>
          <t>2024-08-16</t>
        </is>
      </c>
      <c r="D2339" t="n">
        <v>225</v>
      </c>
      <c r="E2339" t="inlineStr">
        <is>
          <t>BBG01KXXPFQ6</t>
        </is>
      </c>
    </row>
    <row r="2340">
      <c r="A2340" t="inlineStr">
        <is>
          <t>BBG01KXXPGX6 Equity</t>
        </is>
      </c>
      <c r="B2340" t="inlineStr">
        <is>
          <t>TSLA US 08/16/24 P230</t>
        </is>
      </c>
      <c r="C2340" t="inlineStr">
        <is>
          <t>2024-08-16</t>
        </is>
      </c>
      <c r="D2340" t="n">
        <v>230</v>
      </c>
      <c r="E2340" t="inlineStr">
        <is>
          <t>BBG01KXXPGX6</t>
        </is>
      </c>
    </row>
    <row r="2341">
      <c r="A2341" t="inlineStr">
        <is>
          <t>BBG01KXXPJ24 Equity</t>
        </is>
      </c>
      <c r="B2341" t="inlineStr">
        <is>
          <t>TSLA US 08/16/24 P235</t>
        </is>
      </c>
      <c r="C2341" t="inlineStr">
        <is>
          <t>2024-08-16</t>
        </is>
      </c>
      <c r="D2341" t="n">
        <v>235</v>
      </c>
      <c r="E2341" t="inlineStr">
        <is>
          <t>BBG01KXXPJ24</t>
        </is>
      </c>
    </row>
    <row r="2342">
      <c r="A2342" t="inlineStr">
        <is>
          <t>BBG01KXXPK76 Equity</t>
        </is>
      </c>
      <c r="B2342" t="inlineStr">
        <is>
          <t>TSLA US 08/16/24 P240</t>
        </is>
      </c>
      <c r="C2342" t="inlineStr">
        <is>
          <t>2024-08-16</t>
        </is>
      </c>
      <c r="D2342" t="n">
        <v>240</v>
      </c>
      <c r="E2342" t="inlineStr">
        <is>
          <t>BBG01KXXPK76</t>
        </is>
      </c>
    </row>
    <row r="2343">
      <c r="A2343" t="inlineStr">
        <is>
          <t>BBG01KXXPLF5 Equity</t>
        </is>
      </c>
      <c r="B2343" t="inlineStr">
        <is>
          <t>TSLA US 08/16/24 P245</t>
        </is>
      </c>
      <c r="C2343" t="inlineStr">
        <is>
          <t>2024-08-16</t>
        </is>
      </c>
      <c r="D2343" t="n">
        <v>245</v>
      </c>
      <c r="E2343" t="inlineStr">
        <is>
          <t>BBG01KXXPLF5</t>
        </is>
      </c>
    </row>
    <row r="2344">
      <c r="A2344" t="inlineStr">
        <is>
          <t>BBG01KXXPML6 Equity</t>
        </is>
      </c>
      <c r="B2344" t="inlineStr">
        <is>
          <t>TSLA US 08/16/24 P250</t>
        </is>
      </c>
      <c r="C2344" t="inlineStr">
        <is>
          <t>2024-08-16</t>
        </is>
      </c>
      <c r="D2344" t="n">
        <v>250</v>
      </c>
      <c r="E2344" t="inlineStr">
        <is>
          <t>BBG01KXXPML6</t>
        </is>
      </c>
    </row>
    <row r="2345">
      <c r="A2345" t="inlineStr">
        <is>
          <t>BBG01KXXPNS7 Equity</t>
        </is>
      </c>
      <c r="B2345" t="inlineStr">
        <is>
          <t>TSLA US 08/16/24 P255</t>
        </is>
      </c>
      <c r="C2345" t="inlineStr">
        <is>
          <t>2024-08-16</t>
        </is>
      </c>
      <c r="D2345" t="n">
        <v>255</v>
      </c>
      <c r="E2345" t="inlineStr">
        <is>
          <t>BBG01KXXPNS7</t>
        </is>
      </c>
    </row>
    <row r="2346">
      <c r="A2346" t="inlineStr">
        <is>
          <t>BBG01KXXPPY5 Equity</t>
        </is>
      </c>
      <c r="B2346" t="inlineStr">
        <is>
          <t>TSLA US 08/16/24 P260</t>
        </is>
      </c>
      <c r="C2346" t="inlineStr">
        <is>
          <t>2024-08-16</t>
        </is>
      </c>
      <c r="D2346" t="n">
        <v>260</v>
      </c>
      <c r="E2346" t="inlineStr">
        <is>
          <t>BBG01KXXPPY5</t>
        </is>
      </c>
    </row>
    <row r="2347">
      <c r="A2347" t="inlineStr">
        <is>
          <t>BBG01KXXPR35 Equity</t>
        </is>
      </c>
      <c r="B2347" t="inlineStr">
        <is>
          <t>TSLA US 08/16/24 P265</t>
        </is>
      </c>
      <c r="C2347" t="inlineStr">
        <is>
          <t>2024-08-16</t>
        </is>
      </c>
      <c r="D2347" t="n">
        <v>265</v>
      </c>
      <c r="E2347" t="inlineStr">
        <is>
          <t>BBG01KXXPR35</t>
        </is>
      </c>
    </row>
    <row r="2348">
      <c r="A2348" t="inlineStr">
        <is>
          <t>BBG01KXXPS97 Equity</t>
        </is>
      </c>
      <c r="B2348" t="inlineStr">
        <is>
          <t>TSLA US 08/16/24 P270</t>
        </is>
      </c>
      <c r="C2348" t="inlineStr">
        <is>
          <t>2024-08-16</t>
        </is>
      </c>
      <c r="D2348" t="n">
        <v>270</v>
      </c>
      <c r="E2348" t="inlineStr">
        <is>
          <t>BBG01KXXPS97</t>
        </is>
      </c>
    </row>
    <row r="2349">
      <c r="A2349" t="inlineStr">
        <is>
          <t>BBG01BYRX1X2 Equity</t>
        </is>
      </c>
      <c r="B2349" t="inlineStr">
        <is>
          <t>TSLA US 09/20/24 P145</t>
        </is>
      </c>
      <c r="C2349" t="inlineStr">
        <is>
          <t>2024-09-20</t>
        </is>
      </c>
      <c r="D2349" t="n">
        <v>145</v>
      </c>
      <c r="E2349" t="inlineStr">
        <is>
          <t>BBG01BYRX1X2</t>
        </is>
      </c>
    </row>
    <row r="2350">
      <c r="A2350" t="inlineStr">
        <is>
          <t>BBG01BYRX304 Equity</t>
        </is>
      </c>
      <c r="B2350" t="inlineStr">
        <is>
          <t>TSLA US 09/20/24 P150</t>
        </is>
      </c>
      <c r="C2350" t="inlineStr">
        <is>
          <t>2024-09-20</t>
        </is>
      </c>
      <c r="D2350" t="n">
        <v>150</v>
      </c>
      <c r="E2350" t="inlineStr">
        <is>
          <t>BBG01BYRX304</t>
        </is>
      </c>
    </row>
    <row r="2351">
      <c r="A2351" t="inlineStr">
        <is>
          <t>BBG01BYRX439 Equity</t>
        </is>
      </c>
      <c r="B2351" t="inlineStr">
        <is>
          <t>TSLA US 09/20/24 P155</t>
        </is>
      </c>
      <c r="C2351" t="inlineStr">
        <is>
          <t>2024-09-20</t>
        </is>
      </c>
      <c r="D2351" t="n">
        <v>155</v>
      </c>
      <c r="E2351" t="inlineStr">
        <is>
          <t>BBG01BYRX439</t>
        </is>
      </c>
    </row>
    <row r="2352">
      <c r="A2352" t="inlineStr">
        <is>
          <t>BBG01BYRX572 Equity</t>
        </is>
      </c>
      <c r="B2352" t="inlineStr">
        <is>
          <t>TSLA US 09/20/24 P160</t>
        </is>
      </c>
      <c r="C2352" t="inlineStr">
        <is>
          <t>2024-09-20</t>
        </is>
      </c>
      <c r="D2352" t="n">
        <v>160</v>
      </c>
      <c r="E2352" t="inlineStr">
        <is>
          <t>BBG01BYRX572</t>
        </is>
      </c>
    </row>
    <row r="2353">
      <c r="A2353" t="inlineStr">
        <is>
          <t>BBG01BYRX6B5 Equity</t>
        </is>
      </c>
      <c r="B2353" t="inlineStr">
        <is>
          <t>TSLA US 09/20/24 P165</t>
        </is>
      </c>
      <c r="C2353" t="inlineStr">
        <is>
          <t>2024-09-20</t>
        </is>
      </c>
      <c r="D2353" t="n">
        <v>165</v>
      </c>
      <c r="E2353" t="inlineStr">
        <is>
          <t>BBG01BYRX6B5</t>
        </is>
      </c>
    </row>
    <row r="2354">
      <c r="A2354" t="inlineStr">
        <is>
          <t>BBG01BYRX7F9 Equity</t>
        </is>
      </c>
      <c r="B2354" t="inlineStr">
        <is>
          <t>TSLA US 09/20/24 P170</t>
        </is>
      </c>
      <c r="C2354" t="inlineStr">
        <is>
          <t>2024-09-20</t>
        </is>
      </c>
      <c r="D2354" t="n">
        <v>170</v>
      </c>
      <c r="E2354" t="inlineStr">
        <is>
          <t>BBG01BYRX7F9</t>
        </is>
      </c>
    </row>
    <row r="2355">
      <c r="A2355" t="inlineStr">
        <is>
          <t>BBG01BYRX8L0 Equity</t>
        </is>
      </c>
      <c r="B2355" t="inlineStr">
        <is>
          <t>TSLA US 09/20/24 P175</t>
        </is>
      </c>
      <c r="C2355" t="inlineStr">
        <is>
          <t>2024-09-20</t>
        </is>
      </c>
      <c r="D2355" t="n">
        <v>175</v>
      </c>
      <c r="E2355" t="inlineStr">
        <is>
          <t>BBG01BYRX8L0</t>
        </is>
      </c>
    </row>
    <row r="2356">
      <c r="A2356" t="inlineStr">
        <is>
          <t>BBG01BYRX9P4 Equity</t>
        </is>
      </c>
      <c r="B2356" t="inlineStr">
        <is>
          <t>TSLA US 09/20/24 P180</t>
        </is>
      </c>
      <c r="C2356" t="inlineStr">
        <is>
          <t>2024-09-20</t>
        </is>
      </c>
      <c r="D2356" t="n">
        <v>180</v>
      </c>
      <c r="E2356" t="inlineStr">
        <is>
          <t>BBG01BYRX9P4</t>
        </is>
      </c>
    </row>
    <row r="2357">
      <c r="A2357" t="inlineStr">
        <is>
          <t>BBG01BYRXBS6 Equity</t>
        </is>
      </c>
      <c r="B2357" t="inlineStr">
        <is>
          <t>TSLA US 09/20/24 P185</t>
        </is>
      </c>
      <c r="C2357" t="inlineStr">
        <is>
          <t>2024-09-20</t>
        </is>
      </c>
      <c r="D2357" t="n">
        <v>185</v>
      </c>
      <c r="E2357" t="inlineStr">
        <is>
          <t>BBG01BYRXBS6</t>
        </is>
      </c>
    </row>
    <row r="2358">
      <c r="A2358" t="inlineStr">
        <is>
          <t>BBG01BYRXCX8 Equity</t>
        </is>
      </c>
      <c r="B2358" t="inlineStr">
        <is>
          <t>TSLA US 09/20/24 P190</t>
        </is>
      </c>
      <c r="C2358" t="inlineStr">
        <is>
          <t>2024-09-20</t>
        </is>
      </c>
      <c r="D2358" t="n">
        <v>190</v>
      </c>
      <c r="E2358" t="inlineStr">
        <is>
          <t>BBG01BYRXCX8</t>
        </is>
      </c>
    </row>
    <row r="2359">
      <c r="A2359" t="inlineStr">
        <is>
          <t>BBG01BYRXF07 Equity</t>
        </is>
      </c>
      <c r="B2359" t="inlineStr">
        <is>
          <t>TSLA US 09/20/24 P195</t>
        </is>
      </c>
      <c r="C2359" t="inlineStr">
        <is>
          <t>2024-09-20</t>
        </is>
      </c>
      <c r="D2359" t="n">
        <v>195</v>
      </c>
      <c r="E2359" t="inlineStr">
        <is>
          <t>BBG01BYRXF07</t>
        </is>
      </c>
    </row>
    <row r="2360">
      <c r="A2360" t="inlineStr">
        <is>
          <t>BBG01BYRXG32 Equity</t>
        </is>
      </c>
      <c r="B2360" t="inlineStr">
        <is>
          <t>TSLA US 09/20/24 P200</t>
        </is>
      </c>
      <c r="C2360" t="inlineStr">
        <is>
          <t>2024-09-20</t>
        </is>
      </c>
      <c r="D2360" t="n">
        <v>200</v>
      </c>
      <c r="E2360" t="inlineStr">
        <is>
          <t>BBG01BYRXG32</t>
        </is>
      </c>
    </row>
    <row r="2361">
      <c r="A2361" t="inlineStr">
        <is>
          <t>BBG01H73VJT0 Equity</t>
        </is>
      </c>
      <c r="B2361" t="inlineStr">
        <is>
          <t>TSLA US 09/20/24 P205</t>
        </is>
      </c>
      <c r="C2361" t="inlineStr">
        <is>
          <t>2024-09-20</t>
        </is>
      </c>
      <c r="D2361" t="n">
        <v>205</v>
      </c>
      <c r="E2361" t="inlineStr">
        <is>
          <t>BBG01H73VJT0</t>
        </is>
      </c>
    </row>
    <row r="2362">
      <c r="A2362" t="inlineStr">
        <is>
          <t>BBG01BYRXH76 Equity</t>
        </is>
      </c>
      <c r="B2362" t="inlineStr">
        <is>
          <t>TSLA US 09/20/24 P210</t>
        </is>
      </c>
      <c r="C2362" t="inlineStr">
        <is>
          <t>2024-09-20</t>
        </is>
      </c>
      <c r="D2362" t="n">
        <v>210</v>
      </c>
      <c r="E2362" t="inlineStr">
        <is>
          <t>BBG01BYRXH76</t>
        </is>
      </c>
    </row>
    <row r="2363">
      <c r="A2363" t="inlineStr">
        <is>
          <t>BBG01H73VKY1 Equity</t>
        </is>
      </c>
      <c r="B2363" t="inlineStr">
        <is>
          <t>TSLA US 09/20/24 P215</t>
        </is>
      </c>
      <c r="C2363" t="inlineStr">
        <is>
          <t>2024-09-20</t>
        </is>
      </c>
      <c r="D2363" t="n">
        <v>215</v>
      </c>
      <c r="E2363" t="inlineStr">
        <is>
          <t>BBG01H73VKY1</t>
        </is>
      </c>
    </row>
    <row r="2364">
      <c r="A2364" t="inlineStr">
        <is>
          <t>BBG01BYRXJB7 Equity</t>
        </is>
      </c>
      <c r="B2364" t="inlineStr">
        <is>
          <t>TSLA US 09/20/24 P220</t>
        </is>
      </c>
      <c r="C2364" t="inlineStr">
        <is>
          <t>2024-09-20</t>
        </is>
      </c>
      <c r="D2364" t="n">
        <v>220</v>
      </c>
      <c r="E2364" t="inlineStr">
        <is>
          <t>BBG01BYRXJB7</t>
        </is>
      </c>
    </row>
    <row r="2365">
      <c r="A2365" t="inlineStr">
        <is>
          <t>BBG01H73VM13 Equity</t>
        </is>
      </c>
      <c r="B2365" t="inlineStr">
        <is>
          <t>TSLA US 09/20/24 P225</t>
        </is>
      </c>
      <c r="C2365" t="inlineStr">
        <is>
          <t>2024-09-20</t>
        </is>
      </c>
      <c r="D2365" t="n">
        <v>225</v>
      </c>
      <c r="E2365" t="inlineStr">
        <is>
          <t>BBG01H73VM13</t>
        </is>
      </c>
    </row>
    <row r="2366">
      <c r="A2366" t="inlineStr">
        <is>
          <t>BBG01BYRXKG9 Equity</t>
        </is>
      </c>
      <c r="B2366" t="inlineStr">
        <is>
          <t>TSLA US 09/20/24 P230</t>
        </is>
      </c>
      <c r="C2366" t="inlineStr">
        <is>
          <t>2024-09-20</t>
        </is>
      </c>
      <c r="D2366" t="n">
        <v>230</v>
      </c>
      <c r="E2366" t="inlineStr">
        <is>
          <t>BBG01BYRXKG9</t>
        </is>
      </c>
    </row>
    <row r="2367">
      <c r="A2367" t="inlineStr">
        <is>
          <t>BBG01H73VN48 Equity</t>
        </is>
      </c>
      <c r="B2367" t="inlineStr">
        <is>
          <t>TSLA US 09/20/24 P235</t>
        </is>
      </c>
      <c r="C2367" t="inlineStr">
        <is>
          <t>2024-09-20</t>
        </is>
      </c>
      <c r="D2367" t="n">
        <v>235</v>
      </c>
      <c r="E2367" t="inlineStr">
        <is>
          <t>BBG01H73VN48</t>
        </is>
      </c>
    </row>
    <row r="2368">
      <c r="A2368" t="inlineStr">
        <is>
          <t>BBG01BYRXLK2 Equity</t>
        </is>
      </c>
      <c r="B2368" t="inlineStr">
        <is>
          <t>TSLA US 09/20/24 P240</t>
        </is>
      </c>
      <c r="C2368" t="inlineStr">
        <is>
          <t>2024-09-20</t>
        </is>
      </c>
      <c r="D2368" t="n">
        <v>240</v>
      </c>
      <c r="E2368" t="inlineStr">
        <is>
          <t>BBG01BYRXLK2</t>
        </is>
      </c>
    </row>
    <row r="2369">
      <c r="A2369" t="inlineStr">
        <is>
          <t>BBG01H73VP98 Equity</t>
        </is>
      </c>
      <c r="B2369" t="inlineStr">
        <is>
          <t>TSLA US 09/20/24 P245</t>
        </is>
      </c>
      <c r="C2369" t="inlineStr">
        <is>
          <t>2024-09-20</t>
        </is>
      </c>
      <c r="D2369" t="n">
        <v>245</v>
      </c>
      <c r="E2369" t="inlineStr">
        <is>
          <t>BBG01H73VP98</t>
        </is>
      </c>
    </row>
    <row r="2370">
      <c r="A2370" t="inlineStr">
        <is>
          <t>BBG01BYRXMN7 Equity</t>
        </is>
      </c>
      <c r="B2370" t="inlineStr">
        <is>
          <t>TSLA US 09/20/24 P250</t>
        </is>
      </c>
      <c r="C2370" t="inlineStr">
        <is>
          <t>2024-09-20</t>
        </is>
      </c>
      <c r="D2370" t="n">
        <v>250</v>
      </c>
      <c r="E2370" t="inlineStr">
        <is>
          <t>BBG01BYRXMN7</t>
        </is>
      </c>
    </row>
    <row r="2371">
      <c r="A2371" t="inlineStr">
        <is>
          <t>BBG01H73VQD1 Equity</t>
        </is>
      </c>
      <c r="B2371" t="inlineStr">
        <is>
          <t>TSLA US 09/20/24 P255</t>
        </is>
      </c>
      <c r="C2371" t="inlineStr">
        <is>
          <t>2024-09-20</t>
        </is>
      </c>
      <c r="D2371" t="n">
        <v>255</v>
      </c>
      <c r="E2371" t="inlineStr">
        <is>
          <t>BBG01H73VQD1</t>
        </is>
      </c>
    </row>
    <row r="2372">
      <c r="A2372" t="inlineStr">
        <is>
          <t>BBG01BYRXNT9 Equity</t>
        </is>
      </c>
      <c r="B2372" t="inlineStr">
        <is>
          <t>TSLA US 09/20/24 P260</t>
        </is>
      </c>
      <c r="C2372" t="inlineStr">
        <is>
          <t>2024-09-20</t>
        </is>
      </c>
      <c r="D2372" t="n">
        <v>260</v>
      </c>
      <c r="E2372" t="inlineStr">
        <is>
          <t>BBG01BYRXNT9</t>
        </is>
      </c>
    </row>
    <row r="2373">
      <c r="A2373" t="inlineStr">
        <is>
          <t>BBG01H73VRH5 Equity</t>
        </is>
      </c>
      <c r="B2373" t="inlineStr">
        <is>
          <t>TSLA US 09/20/24 P265</t>
        </is>
      </c>
      <c r="C2373" t="inlineStr">
        <is>
          <t>2024-09-20</t>
        </is>
      </c>
      <c r="D2373" t="n">
        <v>265</v>
      </c>
      <c r="E2373" t="inlineStr">
        <is>
          <t>BBG01H73VRH5</t>
        </is>
      </c>
    </row>
    <row r="2374">
      <c r="A2374" t="inlineStr">
        <is>
          <t>BBG01BYRXPX9 Equity</t>
        </is>
      </c>
      <c r="B2374" t="inlineStr">
        <is>
          <t>TSLA US 09/20/24 P270</t>
        </is>
      </c>
      <c r="C2374" t="inlineStr">
        <is>
          <t>2024-09-20</t>
        </is>
      </c>
      <c r="D2374" t="n">
        <v>270</v>
      </c>
      <c r="E2374" t="inlineStr">
        <is>
          <t>BBG01BYRXPX9</t>
        </is>
      </c>
    </row>
    <row r="2375">
      <c r="A2375" t="inlineStr">
        <is>
          <t>BBG01LCVFCZ9 Equity</t>
        </is>
      </c>
      <c r="B2375" t="inlineStr">
        <is>
          <t>TSLA US 10/18/24 P170</t>
        </is>
      </c>
      <c r="C2375" t="inlineStr">
        <is>
          <t>2024-10-18</t>
        </is>
      </c>
      <c r="D2375" t="n">
        <v>170</v>
      </c>
      <c r="E2375" t="inlineStr">
        <is>
          <t>BBG01LCVFCZ9</t>
        </is>
      </c>
    </row>
    <row r="2376">
      <c r="A2376" t="inlineStr">
        <is>
          <t>BBG01LCVFF46 Equity</t>
        </is>
      </c>
      <c r="B2376" t="inlineStr">
        <is>
          <t>TSLA US 10/18/24 P175</t>
        </is>
      </c>
      <c r="C2376" t="inlineStr">
        <is>
          <t>2024-10-18</t>
        </is>
      </c>
      <c r="D2376" t="n">
        <v>175</v>
      </c>
      <c r="E2376" t="inlineStr">
        <is>
          <t>BBG01LCVFF46</t>
        </is>
      </c>
    </row>
    <row r="2377">
      <c r="A2377" t="inlineStr">
        <is>
          <t>BBG01LCVFG99 Equity</t>
        </is>
      </c>
      <c r="B2377" t="inlineStr">
        <is>
          <t>TSLA US 10/18/24 P180</t>
        </is>
      </c>
      <c r="C2377" t="inlineStr">
        <is>
          <t>2024-10-18</t>
        </is>
      </c>
      <c r="D2377" t="n">
        <v>180</v>
      </c>
      <c r="E2377" t="inlineStr">
        <is>
          <t>BBG01LCVFG99</t>
        </is>
      </c>
    </row>
    <row r="2378">
      <c r="A2378" t="inlineStr">
        <is>
          <t>BBG01LCVFHH8 Equity</t>
        </is>
      </c>
      <c r="B2378" t="inlineStr">
        <is>
          <t>TSLA US 10/18/24 P185</t>
        </is>
      </c>
      <c r="C2378" t="inlineStr">
        <is>
          <t>2024-10-18</t>
        </is>
      </c>
      <c r="D2378" t="n">
        <v>185</v>
      </c>
      <c r="E2378" t="inlineStr">
        <is>
          <t>BBG01LCVFHH8</t>
        </is>
      </c>
    </row>
    <row r="2379">
      <c r="A2379" t="inlineStr">
        <is>
          <t>BBG01LCVFJN7 Equity</t>
        </is>
      </c>
      <c r="B2379" t="inlineStr">
        <is>
          <t>TSLA US 10/18/24 P190</t>
        </is>
      </c>
      <c r="C2379" t="inlineStr">
        <is>
          <t>2024-10-18</t>
        </is>
      </c>
      <c r="D2379" t="n">
        <v>190</v>
      </c>
      <c r="E2379" t="inlineStr">
        <is>
          <t>BBG01LCVFJN7</t>
        </is>
      </c>
    </row>
    <row r="2380">
      <c r="A2380" t="inlineStr">
        <is>
          <t>BBG01LCVFKT8 Equity</t>
        </is>
      </c>
      <c r="B2380" t="inlineStr">
        <is>
          <t>TSLA US 10/18/24 P195</t>
        </is>
      </c>
      <c r="C2380" t="inlineStr">
        <is>
          <t>2024-10-18</t>
        </is>
      </c>
      <c r="D2380" t="n">
        <v>195</v>
      </c>
      <c r="E2380" t="inlineStr">
        <is>
          <t>BBG01LCVFKT8</t>
        </is>
      </c>
    </row>
    <row r="2381">
      <c r="A2381" t="inlineStr">
        <is>
          <t>BBG01LCVFM05 Equity</t>
        </is>
      </c>
      <c r="B2381" t="inlineStr">
        <is>
          <t>TSLA US 10/18/24 P200</t>
        </is>
      </c>
      <c r="C2381" t="inlineStr">
        <is>
          <t>2024-10-18</t>
        </is>
      </c>
      <c r="D2381" t="n">
        <v>200</v>
      </c>
      <c r="E2381" t="inlineStr">
        <is>
          <t>BBG01LCVFM05</t>
        </is>
      </c>
    </row>
    <row r="2382">
      <c r="A2382" t="inlineStr">
        <is>
          <t>BBG01LCVFN58 Equity</t>
        </is>
      </c>
      <c r="B2382" t="inlineStr">
        <is>
          <t>TSLA US 10/18/24 P205</t>
        </is>
      </c>
      <c r="C2382" t="inlineStr">
        <is>
          <t>2024-10-18</t>
        </is>
      </c>
      <c r="D2382" t="n">
        <v>205</v>
      </c>
      <c r="E2382" t="inlineStr">
        <is>
          <t>BBG01LCVFN58</t>
        </is>
      </c>
    </row>
    <row r="2383">
      <c r="A2383" t="inlineStr">
        <is>
          <t>BBG01LCVFPC5 Equity</t>
        </is>
      </c>
      <c r="B2383" t="inlineStr">
        <is>
          <t>TSLA US 10/18/24 P210</t>
        </is>
      </c>
      <c r="C2383" t="inlineStr">
        <is>
          <t>2024-10-18</t>
        </is>
      </c>
      <c r="D2383" t="n">
        <v>210</v>
      </c>
      <c r="E2383" t="inlineStr">
        <is>
          <t>BBG01LCVFPC5</t>
        </is>
      </c>
    </row>
    <row r="2384">
      <c r="A2384" t="inlineStr">
        <is>
          <t>BBG01LCVFQJ6 Equity</t>
        </is>
      </c>
      <c r="B2384" t="inlineStr">
        <is>
          <t>TSLA US 10/18/24 P215</t>
        </is>
      </c>
      <c r="C2384" t="inlineStr">
        <is>
          <t>2024-10-18</t>
        </is>
      </c>
      <c r="D2384" t="n">
        <v>215</v>
      </c>
      <c r="E2384" t="inlineStr">
        <is>
          <t>BBG01LCVFQJ6</t>
        </is>
      </c>
    </row>
    <row r="2385">
      <c r="A2385" t="inlineStr">
        <is>
          <t>BBG01PZD2986 Equity</t>
        </is>
      </c>
      <c r="B2385" t="inlineStr">
        <is>
          <t>TSLA US 10/18/24 P217.5</t>
        </is>
      </c>
      <c r="C2385" t="inlineStr">
        <is>
          <t>2024-10-18</t>
        </is>
      </c>
      <c r="D2385" t="n">
        <v>217.5</v>
      </c>
      <c r="E2385" t="inlineStr">
        <is>
          <t>BBG01PZD2986</t>
        </is>
      </c>
    </row>
    <row r="2386">
      <c r="A2386" t="inlineStr">
        <is>
          <t>BBG01LCVFRP7 Equity</t>
        </is>
      </c>
      <c r="B2386" t="inlineStr">
        <is>
          <t>TSLA US 10/18/24 P220</t>
        </is>
      </c>
      <c r="C2386" t="inlineStr">
        <is>
          <t>2024-10-18</t>
        </is>
      </c>
      <c r="D2386" t="n">
        <v>220</v>
      </c>
      <c r="E2386" t="inlineStr">
        <is>
          <t>BBG01LCVFRP7</t>
        </is>
      </c>
    </row>
    <row r="2387">
      <c r="A2387" t="inlineStr">
        <is>
          <t>BBG01PZD0CG2 Equity</t>
        </is>
      </c>
      <c r="B2387" t="inlineStr">
        <is>
          <t>TSLA US 10/18/24 P222.5</t>
        </is>
      </c>
      <c r="C2387" t="inlineStr">
        <is>
          <t>2024-10-18</t>
        </is>
      </c>
      <c r="D2387" t="n">
        <v>222.5</v>
      </c>
      <c r="E2387" t="inlineStr">
        <is>
          <t>BBG01PZD0CG2</t>
        </is>
      </c>
    </row>
    <row r="2388">
      <c r="A2388" t="inlineStr">
        <is>
          <t>BBG01LCVFSW7 Equity</t>
        </is>
      </c>
      <c r="B2388" t="inlineStr">
        <is>
          <t>TSLA US 10/18/24 P225</t>
        </is>
      </c>
      <c r="C2388" t="inlineStr">
        <is>
          <t>2024-10-18</t>
        </is>
      </c>
      <c r="D2388" t="n">
        <v>225</v>
      </c>
      <c r="E2388" t="inlineStr">
        <is>
          <t>BBG01LCVFSW7</t>
        </is>
      </c>
    </row>
    <row r="2389">
      <c r="A2389" t="inlineStr">
        <is>
          <t>BBG01PZD28N1 Equity</t>
        </is>
      </c>
      <c r="B2389" t="inlineStr">
        <is>
          <t>TSLA US 10/18/24 P227.5</t>
        </is>
      </c>
      <c r="C2389" t="inlineStr">
        <is>
          <t>2024-10-18</t>
        </is>
      </c>
      <c r="D2389" t="n">
        <v>227.5</v>
      </c>
      <c r="E2389" t="inlineStr">
        <is>
          <t>BBG01PZD28N1</t>
        </is>
      </c>
    </row>
    <row r="2390">
      <c r="A2390" t="inlineStr">
        <is>
          <t>BBG01LCVFV14 Equity</t>
        </is>
      </c>
      <c r="B2390" t="inlineStr">
        <is>
          <t>TSLA US 10/18/24 P230</t>
        </is>
      </c>
      <c r="C2390" t="inlineStr">
        <is>
          <t>2024-10-18</t>
        </is>
      </c>
      <c r="D2390" t="n">
        <v>230</v>
      </c>
      <c r="E2390" t="inlineStr">
        <is>
          <t>BBG01LCVFV14</t>
        </is>
      </c>
    </row>
    <row r="2391">
      <c r="A2391" t="inlineStr">
        <is>
          <t>BBG01PZD0D25 Equity</t>
        </is>
      </c>
      <c r="B2391" t="inlineStr">
        <is>
          <t>TSLA US 10/18/24 P232.5</t>
        </is>
      </c>
      <c r="C2391" t="inlineStr">
        <is>
          <t>2024-10-18</t>
        </is>
      </c>
      <c r="D2391" t="n">
        <v>232.5</v>
      </c>
      <c r="E2391" t="inlineStr">
        <is>
          <t>BBG01PZD0D25</t>
        </is>
      </c>
    </row>
    <row r="2392">
      <c r="A2392" t="inlineStr">
        <is>
          <t>BBG01LCVFW67 Equity</t>
        </is>
      </c>
      <c r="B2392" t="inlineStr">
        <is>
          <t>TSLA US 10/18/24 P235</t>
        </is>
      </c>
      <c r="C2392" t="inlineStr">
        <is>
          <t>2024-10-18</t>
        </is>
      </c>
      <c r="D2392" t="n">
        <v>235</v>
      </c>
      <c r="E2392" t="inlineStr">
        <is>
          <t>BBG01LCVFW67</t>
        </is>
      </c>
    </row>
    <row r="2393">
      <c r="A2393" t="inlineStr">
        <is>
          <t>BBG01PZD1S94 Equity</t>
        </is>
      </c>
      <c r="B2393" t="inlineStr">
        <is>
          <t>TSLA US 10/18/24 P237.5</t>
        </is>
      </c>
      <c r="C2393" t="inlineStr">
        <is>
          <t>2024-10-18</t>
        </is>
      </c>
      <c r="D2393" t="n">
        <v>237.5</v>
      </c>
      <c r="E2393" t="inlineStr">
        <is>
          <t>BBG01PZD1S94</t>
        </is>
      </c>
    </row>
    <row r="2394">
      <c r="A2394" t="inlineStr">
        <is>
          <t>BBG01LCVFXD7 Equity</t>
        </is>
      </c>
      <c r="B2394" t="inlineStr">
        <is>
          <t>TSLA US 10/18/24 P240</t>
        </is>
      </c>
      <c r="C2394" t="inlineStr">
        <is>
          <t>2024-10-18</t>
        </is>
      </c>
      <c r="D2394" t="n">
        <v>240</v>
      </c>
      <c r="E2394" t="inlineStr">
        <is>
          <t>BBG01LCVFXD7</t>
        </is>
      </c>
    </row>
    <row r="2395">
      <c r="A2395" t="inlineStr">
        <is>
          <t>BBG01PZD29W9 Equity</t>
        </is>
      </c>
      <c r="B2395" t="inlineStr">
        <is>
          <t>TSLA US 10/18/24 P242.5</t>
        </is>
      </c>
      <c r="C2395" t="inlineStr">
        <is>
          <t>2024-10-18</t>
        </is>
      </c>
      <c r="D2395" t="n">
        <v>242.5</v>
      </c>
      <c r="E2395" t="inlineStr">
        <is>
          <t>BBG01PZD29W9</t>
        </is>
      </c>
    </row>
    <row r="2396">
      <c r="A2396" t="inlineStr">
        <is>
          <t>BBG01LCVFYK7 Equity</t>
        </is>
      </c>
      <c r="B2396" t="inlineStr">
        <is>
          <t>TSLA US 10/18/24 P245</t>
        </is>
      </c>
      <c r="C2396" t="inlineStr">
        <is>
          <t>2024-10-18</t>
        </is>
      </c>
      <c r="D2396" t="n">
        <v>245</v>
      </c>
      <c r="E2396" t="inlineStr">
        <is>
          <t>BBG01LCVFYK7</t>
        </is>
      </c>
    </row>
    <row r="2397">
      <c r="A2397" t="inlineStr">
        <is>
          <t>BBG01PZD1SX7 Equity</t>
        </is>
      </c>
      <c r="B2397" t="inlineStr">
        <is>
          <t>TSLA US 10/18/24 P247.5</t>
        </is>
      </c>
      <c r="C2397" t="inlineStr">
        <is>
          <t>2024-10-18</t>
        </is>
      </c>
      <c r="D2397" t="n">
        <v>247.5</v>
      </c>
      <c r="E2397" t="inlineStr">
        <is>
          <t>BBG01PZD1SX7</t>
        </is>
      </c>
    </row>
    <row r="2398">
      <c r="A2398" t="inlineStr">
        <is>
          <t>BBG01LCVFZQ8 Equity</t>
        </is>
      </c>
      <c r="B2398" t="inlineStr">
        <is>
          <t>TSLA US 10/18/24 P250</t>
        </is>
      </c>
      <c r="C2398" t="inlineStr">
        <is>
          <t>2024-10-18</t>
        </is>
      </c>
      <c r="D2398" t="n">
        <v>250</v>
      </c>
      <c r="E2398" t="inlineStr">
        <is>
          <t>BBG01LCVFZQ8</t>
        </is>
      </c>
    </row>
    <row r="2399">
      <c r="A2399" t="inlineStr">
        <is>
          <t>BBG01PZD2BH1 Equity</t>
        </is>
      </c>
      <c r="B2399" t="inlineStr">
        <is>
          <t>TSLA US 10/18/24 P252.5</t>
        </is>
      </c>
      <c r="C2399" t="inlineStr">
        <is>
          <t>2024-10-18</t>
        </is>
      </c>
      <c r="D2399" t="n">
        <v>252.5</v>
      </c>
      <c r="E2399" t="inlineStr">
        <is>
          <t>BBG01PZD2BH1</t>
        </is>
      </c>
    </row>
    <row r="2400">
      <c r="A2400" t="inlineStr">
        <is>
          <t>BBG01LCVG0X6 Equity</t>
        </is>
      </c>
      <c r="B2400" t="inlineStr">
        <is>
          <t>TSLA US 10/18/24 P255</t>
        </is>
      </c>
      <c r="C2400" t="inlineStr">
        <is>
          <t>2024-10-18</t>
        </is>
      </c>
      <c r="D2400" t="n">
        <v>255</v>
      </c>
      <c r="E2400" t="inlineStr">
        <is>
          <t>BBG01LCVG0X6</t>
        </is>
      </c>
    </row>
    <row r="2401">
      <c r="A2401" t="inlineStr">
        <is>
          <t>BBG01PZD1RP8 Equity</t>
        </is>
      </c>
      <c r="B2401" t="inlineStr">
        <is>
          <t>TSLA US 10/18/24 P257.5</t>
        </is>
      </c>
      <c r="C2401" t="inlineStr">
        <is>
          <t>2024-10-18</t>
        </is>
      </c>
      <c r="D2401" t="n">
        <v>257.5</v>
      </c>
      <c r="E2401" t="inlineStr">
        <is>
          <t>BBG01PZD1RP8</t>
        </is>
      </c>
    </row>
    <row r="2402">
      <c r="A2402" t="inlineStr">
        <is>
          <t>BBG01LCVG226 Equity</t>
        </is>
      </c>
      <c r="B2402" t="inlineStr">
        <is>
          <t>TSLA US 10/18/24 P260</t>
        </is>
      </c>
      <c r="C2402" t="inlineStr">
        <is>
          <t>2024-10-18</t>
        </is>
      </c>
      <c r="D2402" t="n">
        <v>260</v>
      </c>
      <c r="E2402" t="inlineStr">
        <is>
          <t>BBG01LCVG226</t>
        </is>
      </c>
    </row>
    <row r="2403">
      <c r="A2403" t="inlineStr">
        <is>
          <t>BBG01LCVG388 Equity</t>
        </is>
      </c>
      <c r="B2403" t="inlineStr">
        <is>
          <t>TSLA US 10/18/24 P265</t>
        </is>
      </c>
      <c r="C2403" t="inlineStr">
        <is>
          <t>2024-10-18</t>
        </is>
      </c>
      <c r="D2403" t="n">
        <v>265</v>
      </c>
      <c r="E2403" t="inlineStr">
        <is>
          <t>BBG01LCVG388</t>
        </is>
      </c>
    </row>
    <row r="2404">
      <c r="A2404" t="inlineStr">
        <is>
          <t>BBG01LCVG4F8 Equity</t>
        </is>
      </c>
      <c r="B2404" t="inlineStr">
        <is>
          <t>TSLA US 10/18/24 P270</t>
        </is>
      </c>
      <c r="C2404" t="inlineStr">
        <is>
          <t>2024-10-18</t>
        </is>
      </c>
      <c r="D2404" t="n">
        <v>270</v>
      </c>
      <c r="E2404" t="inlineStr">
        <is>
          <t>BBG01LCVG4F8</t>
        </is>
      </c>
    </row>
    <row r="2405">
      <c r="A2405" t="inlineStr">
        <is>
          <t>BBG01LCVG5L8 Equity</t>
        </is>
      </c>
      <c r="B2405" t="inlineStr">
        <is>
          <t>TSLA US 10/18/24 P275</t>
        </is>
      </c>
      <c r="C2405" t="inlineStr">
        <is>
          <t>2024-10-18</t>
        </is>
      </c>
      <c r="D2405" t="n">
        <v>275</v>
      </c>
      <c r="E2405" t="inlineStr">
        <is>
          <t>BBG01LCVG5L8</t>
        </is>
      </c>
    </row>
    <row r="2406">
      <c r="A2406" t="inlineStr">
        <is>
          <t>BBG01LCVG6T8 Equity</t>
        </is>
      </c>
      <c r="B2406" t="inlineStr">
        <is>
          <t>TSLA US 10/18/24 P280</t>
        </is>
      </c>
      <c r="C2406" t="inlineStr">
        <is>
          <t>2024-10-18</t>
        </is>
      </c>
      <c r="D2406" t="n">
        <v>280</v>
      </c>
      <c r="E2406" t="inlineStr">
        <is>
          <t>BBG01LCVG6T8</t>
        </is>
      </c>
    </row>
    <row r="2407">
      <c r="A2407" t="inlineStr">
        <is>
          <t>BBG01LCVG7Z9 Equity</t>
        </is>
      </c>
      <c r="B2407" t="inlineStr">
        <is>
          <t>TSLA US 10/18/24 P285</t>
        </is>
      </c>
      <c r="C2407" t="inlineStr">
        <is>
          <t>2024-10-18</t>
        </is>
      </c>
      <c r="D2407" t="n">
        <v>285</v>
      </c>
      <c r="E2407" t="inlineStr">
        <is>
          <t>BBG01LCVG7Z9</t>
        </is>
      </c>
    </row>
    <row r="2408">
      <c r="A2408" t="inlineStr">
        <is>
          <t>BBG01LCVG949 Equity</t>
        </is>
      </c>
      <c r="B2408" t="inlineStr">
        <is>
          <t>TSLA US 10/18/24 P290</t>
        </is>
      </c>
      <c r="C2408" t="inlineStr">
        <is>
          <t>2024-10-18</t>
        </is>
      </c>
      <c r="D2408" t="n">
        <v>290</v>
      </c>
      <c r="E2408" t="inlineStr">
        <is>
          <t>BBG01LCVG949</t>
        </is>
      </c>
    </row>
    <row r="2409">
      <c r="A2409" t="inlineStr">
        <is>
          <t>BBG01LCVGBC5 Equity</t>
        </is>
      </c>
      <c r="B2409" t="inlineStr">
        <is>
          <t>TSLA US 10/18/24 P295</t>
        </is>
      </c>
      <c r="C2409" t="inlineStr">
        <is>
          <t>2024-10-18</t>
        </is>
      </c>
      <c r="D2409" t="n">
        <v>295</v>
      </c>
      <c r="E2409" t="inlineStr">
        <is>
          <t>BBG01LCVGBC5</t>
        </is>
      </c>
    </row>
    <row r="2410">
      <c r="A2410" t="inlineStr">
        <is>
          <t>BBG01LCVGCJ6 Equity</t>
        </is>
      </c>
      <c r="B2410" t="inlineStr">
        <is>
          <t>TSLA US 10/18/24 P300</t>
        </is>
      </c>
      <c r="C2410" t="inlineStr">
        <is>
          <t>2024-10-18</t>
        </is>
      </c>
      <c r="D2410" t="n">
        <v>300</v>
      </c>
      <c r="E2410" t="inlineStr">
        <is>
          <t>BBG01LCVGCJ6</t>
        </is>
      </c>
    </row>
    <row r="2411">
      <c r="A2411" t="inlineStr">
        <is>
          <t>BBG01LCVGDP7 Equity</t>
        </is>
      </c>
      <c r="B2411" t="inlineStr">
        <is>
          <t>TSLA US 10/18/24 P305</t>
        </is>
      </c>
      <c r="C2411" t="inlineStr">
        <is>
          <t>2024-10-18</t>
        </is>
      </c>
      <c r="D2411" t="n">
        <v>305</v>
      </c>
      <c r="E2411" t="inlineStr">
        <is>
          <t>BBG01LCVGDP7</t>
        </is>
      </c>
    </row>
    <row r="2412">
      <c r="A2412" t="inlineStr">
        <is>
          <t>BBG01LCVGFX3 Equity</t>
        </is>
      </c>
      <c r="B2412" t="inlineStr">
        <is>
          <t>TSLA US 10/18/24 P310</t>
        </is>
      </c>
      <c r="C2412" t="inlineStr">
        <is>
          <t>2024-10-18</t>
        </is>
      </c>
      <c r="D2412" t="n">
        <v>310</v>
      </c>
      <c r="E2412" t="inlineStr">
        <is>
          <t>BBG01LCVGFX3</t>
        </is>
      </c>
    </row>
    <row r="2413">
      <c r="A2413" t="inlineStr">
        <is>
          <t>BBG01LCVGH23 Equity</t>
        </is>
      </c>
      <c r="B2413" t="inlineStr">
        <is>
          <t>TSLA US 10/18/24 P315</t>
        </is>
      </c>
      <c r="C2413" t="inlineStr">
        <is>
          <t>2024-10-18</t>
        </is>
      </c>
      <c r="D2413" t="n">
        <v>315</v>
      </c>
      <c r="E2413" t="inlineStr">
        <is>
          <t>BBG01LCVGH23</t>
        </is>
      </c>
    </row>
    <row r="2414">
      <c r="A2414" t="inlineStr">
        <is>
          <t>BBG01LCVGJB9 Equity</t>
        </is>
      </c>
      <c r="B2414" t="inlineStr">
        <is>
          <t>TSLA US 10/18/24 P320</t>
        </is>
      </c>
      <c r="C2414" t="inlineStr">
        <is>
          <t>2024-10-18</t>
        </is>
      </c>
      <c r="D2414" t="n">
        <v>320</v>
      </c>
      <c r="E2414" t="inlineStr">
        <is>
          <t>BBG01LCVGJB9</t>
        </is>
      </c>
    </row>
    <row r="2415">
      <c r="A2415" t="inlineStr">
        <is>
          <t>BBG01LCVGKH0 Equity</t>
        </is>
      </c>
      <c r="B2415" t="inlineStr">
        <is>
          <t>TSLA US 10/18/24 P325</t>
        </is>
      </c>
      <c r="C2415" t="inlineStr">
        <is>
          <t>2024-10-18</t>
        </is>
      </c>
      <c r="D2415" t="n">
        <v>325</v>
      </c>
      <c r="E2415" t="inlineStr">
        <is>
          <t>BBG01LCVGKH0</t>
        </is>
      </c>
    </row>
    <row r="2416">
      <c r="A2416" t="inlineStr">
        <is>
          <t>BBG01LCVGLN1 Equity</t>
        </is>
      </c>
      <c r="B2416" t="inlineStr">
        <is>
          <t>TSLA US 10/18/24 P330</t>
        </is>
      </c>
      <c r="C2416" t="inlineStr">
        <is>
          <t>2024-10-18</t>
        </is>
      </c>
      <c r="D2416" t="n">
        <v>330</v>
      </c>
      <c r="E2416" t="inlineStr">
        <is>
          <t>BBG01LCVGLN1</t>
        </is>
      </c>
    </row>
    <row r="2417">
      <c r="A2417" t="inlineStr">
        <is>
          <t>BBG01LCVGMX8 Equity</t>
        </is>
      </c>
      <c r="B2417" t="inlineStr">
        <is>
          <t>TSLA US 10/18/24 P335</t>
        </is>
      </c>
      <c r="C2417" t="inlineStr">
        <is>
          <t>2024-10-18</t>
        </is>
      </c>
      <c r="D2417" t="n">
        <v>335</v>
      </c>
      <c r="E2417" t="inlineStr">
        <is>
          <t>BBG01LCVGMX8</t>
        </is>
      </c>
    </row>
    <row r="2418">
      <c r="A2418" t="inlineStr">
        <is>
          <t>BBG01L3NCZ98 Equity</t>
        </is>
      </c>
      <c r="B2418" t="inlineStr">
        <is>
          <t>TSLA US 11/15/24 P170</t>
        </is>
      </c>
      <c r="C2418" t="inlineStr">
        <is>
          <t>2024-11-15</t>
        </is>
      </c>
      <c r="D2418" t="n">
        <v>170</v>
      </c>
      <c r="E2418" t="inlineStr">
        <is>
          <t>BBG01L3NCZ98</t>
        </is>
      </c>
    </row>
    <row r="2419">
      <c r="A2419" t="inlineStr">
        <is>
          <t>BBG01L3ND0H5 Equity</t>
        </is>
      </c>
      <c r="B2419" t="inlineStr">
        <is>
          <t>TSLA US 11/15/24 P175</t>
        </is>
      </c>
      <c r="C2419" t="inlineStr">
        <is>
          <t>2024-11-15</t>
        </is>
      </c>
      <c r="D2419" t="n">
        <v>175</v>
      </c>
      <c r="E2419" t="inlineStr">
        <is>
          <t>BBG01L3ND0H5</t>
        </is>
      </c>
    </row>
    <row r="2420">
      <c r="A2420" t="inlineStr">
        <is>
          <t>BBG01L3ND1N6 Equity</t>
        </is>
      </c>
      <c r="B2420" t="inlineStr">
        <is>
          <t>TSLA US 11/15/24 P180</t>
        </is>
      </c>
      <c r="C2420" t="inlineStr">
        <is>
          <t>2024-11-15</t>
        </is>
      </c>
      <c r="D2420" t="n">
        <v>180</v>
      </c>
      <c r="E2420" t="inlineStr">
        <is>
          <t>BBG01L3ND1N6</t>
        </is>
      </c>
    </row>
    <row r="2421">
      <c r="A2421" t="inlineStr">
        <is>
          <t>BBG01L3ND2T8 Equity</t>
        </is>
      </c>
      <c r="B2421" t="inlineStr">
        <is>
          <t>TSLA US 11/15/24 P185</t>
        </is>
      </c>
      <c r="C2421" t="inlineStr">
        <is>
          <t>2024-11-15</t>
        </is>
      </c>
      <c r="D2421" t="n">
        <v>185</v>
      </c>
      <c r="E2421" t="inlineStr">
        <is>
          <t>BBG01L3ND2T8</t>
        </is>
      </c>
    </row>
    <row r="2422">
      <c r="A2422" t="inlineStr">
        <is>
          <t>BBG01L3ND414 Equity</t>
        </is>
      </c>
      <c r="B2422" t="inlineStr">
        <is>
          <t>TSLA US 11/15/24 P190</t>
        </is>
      </c>
      <c r="C2422" t="inlineStr">
        <is>
          <t>2024-11-15</t>
        </is>
      </c>
      <c r="D2422" t="n">
        <v>190</v>
      </c>
      <c r="E2422" t="inlineStr">
        <is>
          <t>BBG01L3ND414</t>
        </is>
      </c>
    </row>
    <row r="2423">
      <c r="A2423" t="inlineStr">
        <is>
          <t>BBG01L3ND566 Equity</t>
        </is>
      </c>
      <c r="B2423" t="inlineStr">
        <is>
          <t>TSLA US 11/15/24 P195</t>
        </is>
      </c>
      <c r="C2423" t="inlineStr">
        <is>
          <t>2024-11-15</t>
        </is>
      </c>
      <c r="D2423" t="n">
        <v>195</v>
      </c>
      <c r="E2423" t="inlineStr">
        <is>
          <t>BBG01L3ND566</t>
        </is>
      </c>
    </row>
    <row r="2424">
      <c r="A2424" t="inlineStr">
        <is>
          <t>BBG01L3ND6C7 Equity</t>
        </is>
      </c>
      <c r="B2424" t="inlineStr">
        <is>
          <t>TSLA US 11/15/24 P200</t>
        </is>
      </c>
      <c r="C2424" t="inlineStr">
        <is>
          <t>2024-11-15</t>
        </is>
      </c>
      <c r="D2424" t="n">
        <v>200</v>
      </c>
      <c r="E2424" t="inlineStr">
        <is>
          <t>BBG01L3ND6C7</t>
        </is>
      </c>
    </row>
    <row r="2425">
      <c r="A2425" t="inlineStr">
        <is>
          <t>BBG01L3ND7K6 Equity</t>
        </is>
      </c>
      <c r="B2425" t="inlineStr">
        <is>
          <t>TSLA US 11/15/24 P205</t>
        </is>
      </c>
      <c r="C2425" t="inlineStr">
        <is>
          <t>2024-11-15</t>
        </is>
      </c>
      <c r="D2425" t="n">
        <v>205</v>
      </c>
      <c r="E2425" t="inlineStr">
        <is>
          <t>BBG01L3ND7K6</t>
        </is>
      </c>
    </row>
    <row r="2426">
      <c r="A2426" t="inlineStr">
        <is>
          <t>BBG01L3ND8Q8 Equity</t>
        </is>
      </c>
      <c r="B2426" t="inlineStr">
        <is>
          <t>TSLA US 11/15/24 P210</t>
        </is>
      </c>
      <c r="C2426" t="inlineStr">
        <is>
          <t>2024-11-15</t>
        </is>
      </c>
      <c r="D2426" t="n">
        <v>210</v>
      </c>
      <c r="E2426" t="inlineStr">
        <is>
          <t>BBG01L3ND8Q8</t>
        </is>
      </c>
    </row>
    <row r="2427">
      <c r="A2427" t="inlineStr">
        <is>
          <t>BBG01L3ND9X8 Equity</t>
        </is>
      </c>
      <c r="B2427" t="inlineStr">
        <is>
          <t>TSLA US 11/15/24 P215</t>
        </is>
      </c>
      <c r="C2427" t="inlineStr">
        <is>
          <t>2024-11-15</t>
        </is>
      </c>
      <c r="D2427" t="n">
        <v>215</v>
      </c>
      <c r="E2427" t="inlineStr">
        <is>
          <t>BBG01L3ND9X8</t>
        </is>
      </c>
    </row>
    <row r="2428">
      <c r="A2428" t="inlineStr">
        <is>
          <t>BBG01L3NDC25 Equity</t>
        </is>
      </c>
      <c r="B2428" t="inlineStr">
        <is>
          <t>TSLA US 11/15/24 P220</t>
        </is>
      </c>
      <c r="C2428" t="inlineStr">
        <is>
          <t>2024-11-15</t>
        </is>
      </c>
      <c r="D2428" t="n">
        <v>220</v>
      </c>
      <c r="E2428" t="inlineStr">
        <is>
          <t>BBG01L3NDC25</t>
        </is>
      </c>
    </row>
    <row r="2429">
      <c r="A2429" t="inlineStr">
        <is>
          <t>BBG01L3NDD78 Equity</t>
        </is>
      </c>
      <c r="B2429" t="inlineStr">
        <is>
          <t>TSLA US 11/15/24 P225</t>
        </is>
      </c>
      <c r="C2429" t="inlineStr">
        <is>
          <t>2024-11-15</t>
        </is>
      </c>
      <c r="D2429" t="n">
        <v>225</v>
      </c>
      <c r="E2429" t="inlineStr">
        <is>
          <t>BBG01L3NDD78</t>
        </is>
      </c>
    </row>
    <row r="2430">
      <c r="A2430" t="inlineStr">
        <is>
          <t>BBG01L3NDFF4 Equity</t>
        </is>
      </c>
      <c r="B2430" t="inlineStr">
        <is>
          <t>TSLA US 11/15/24 P230</t>
        </is>
      </c>
      <c r="C2430" t="inlineStr">
        <is>
          <t>2024-11-15</t>
        </is>
      </c>
      <c r="D2430" t="n">
        <v>230</v>
      </c>
      <c r="E2430" t="inlineStr">
        <is>
          <t>BBG01L3NDFF4</t>
        </is>
      </c>
    </row>
    <row r="2431">
      <c r="A2431" t="inlineStr">
        <is>
          <t>BBG01L3NDGL5 Equity</t>
        </is>
      </c>
      <c r="B2431" t="inlineStr">
        <is>
          <t>TSLA US 11/15/24 P235</t>
        </is>
      </c>
      <c r="C2431" t="inlineStr">
        <is>
          <t>2024-11-15</t>
        </is>
      </c>
      <c r="D2431" t="n">
        <v>235</v>
      </c>
      <c r="E2431" t="inlineStr">
        <is>
          <t>BBG01L3NDGL5</t>
        </is>
      </c>
    </row>
    <row r="2432">
      <c r="A2432" t="inlineStr">
        <is>
          <t>BBG01L3NDHR7 Equity</t>
        </is>
      </c>
      <c r="B2432" t="inlineStr">
        <is>
          <t>TSLA US 11/15/24 P240</t>
        </is>
      </c>
      <c r="C2432" t="inlineStr">
        <is>
          <t>2024-11-15</t>
        </is>
      </c>
      <c r="D2432" t="n">
        <v>240</v>
      </c>
      <c r="E2432" t="inlineStr">
        <is>
          <t>BBG01L3NDHR7</t>
        </is>
      </c>
    </row>
    <row r="2433">
      <c r="A2433" t="inlineStr">
        <is>
          <t>BBG01L3NDJY5 Equity</t>
        </is>
      </c>
      <c r="B2433" t="inlineStr">
        <is>
          <t>TSLA US 11/15/24 P245</t>
        </is>
      </c>
      <c r="C2433" t="inlineStr">
        <is>
          <t>2024-11-15</t>
        </is>
      </c>
      <c r="D2433" t="n">
        <v>245</v>
      </c>
      <c r="E2433" t="inlineStr">
        <is>
          <t>BBG01L3NDJY5</t>
        </is>
      </c>
    </row>
    <row r="2434">
      <c r="A2434" t="inlineStr">
        <is>
          <t>BBG01L3NDL34 Equity</t>
        </is>
      </c>
      <c r="B2434" t="inlineStr">
        <is>
          <t>TSLA US 11/15/24 P250</t>
        </is>
      </c>
      <c r="C2434" t="inlineStr">
        <is>
          <t>2024-11-15</t>
        </is>
      </c>
      <c r="D2434" t="n">
        <v>250</v>
      </c>
      <c r="E2434" t="inlineStr">
        <is>
          <t>BBG01L3NDL34</t>
        </is>
      </c>
    </row>
    <row r="2435">
      <c r="A2435" t="inlineStr">
        <is>
          <t>BBG01L3NDM87 Equity</t>
        </is>
      </c>
      <c r="B2435" t="inlineStr">
        <is>
          <t>TSLA US 11/15/24 P255</t>
        </is>
      </c>
      <c r="C2435" t="inlineStr">
        <is>
          <t>2024-11-15</t>
        </is>
      </c>
      <c r="D2435" t="n">
        <v>255</v>
      </c>
      <c r="E2435" t="inlineStr">
        <is>
          <t>BBG01L3NDM87</t>
        </is>
      </c>
    </row>
    <row r="2436">
      <c r="A2436" t="inlineStr">
        <is>
          <t>BBG01L3NDNG6 Equity</t>
        </is>
      </c>
      <c r="B2436" t="inlineStr">
        <is>
          <t>TSLA US 11/15/24 P260</t>
        </is>
      </c>
      <c r="C2436" t="inlineStr">
        <is>
          <t>2024-11-15</t>
        </is>
      </c>
      <c r="D2436" t="n">
        <v>260</v>
      </c>
      <c r="E2436" t="inlineStr">
        <is>
          <t>BBG01L3NDNG6</t>
        </is>
      </c>
    </row>
    <row r="2437">
      <c r="A2437" t="inlineStr">
        <is>
          <t>BBG01L3NDPM4 Equity</t>
        </is>
      </c>
      <c r="B2437" t="inlineStr">
        <is>
          <t>TSLA US 11/15/24 P265</t>
        </is>
      </c>
      <c r="C2437" t="inlineStr">
        <is>
          <t>2024-11-15</t>
        </is>
      </c>
      <c r="D2437" t="n">
        <v>265</v>
      </c>
      <c r="E2437" t="inlineStr">
        <is>
          <t>BBG01L3NDPM4</t>
        </is>
      </c>
    </row>
    <row r="2438">
      <c r="A2438" t="inlineStr">
        <is>
          <t>BBG01L3NDQT5 Equity</t>
        </is>
      </c>
      <c r="B2438" t="inlineStr">
        <is>
          <t>TSLA US 11/15/24 P270</t>
        </is>
      </c>
      <c r="C2438" t="inlineStr">
        <is>
          <t>2024-11-15</t>
        </is>
      </c>
      <c r="D2438" t="n">
        <v>270</v>
      </c>
      <c r="E2438" t="inlineStr">
        <is>
          <t>BBG01L3NDQT5</t>
        </is>
      </c>
    </row>
    <row r="2439">
      <c r="A2439" t="inlineStr">
        <is>
          <t>BBG01L3NDRZ6 Equity</t>
        </is>
      </c>
      <c r="B2439" t="inlineStr">
        <is>
          <t>TSLA US 11/15/24 P275</t>
        </is>
      </c>
      <c r="C2439" t="inlineStr">
        <is>
          <t>2024-11-15</t>
        </is>
      </c>
      <c r="D2439" t="n">
        <v>275</v>
      </c>
      <c r="E2439" t="inlineStr">
        <is>
          <t>BBG01L3NDRZ6</t>
        </is>
      </c>
    </row>
    <row r="2440">
      <c r="A2440" t="inlineStr">
        <is>
          <t>BBG01L3NDT46 Equity</t>
        </is>
      </c>
      <c r="B2440" t="inlineStr">
        <is>
          <t>TSLA US 11/15/24 P280</t>
        </is>
      </c>
      <c r="C2440" t="inlineStr">
        <is>
          <t>2024-11-15</t>
        </is>
      </c>
      <c r="D2440" t="n">
        <v>280</v>
      </c>
      <c r="E2440" t="inlineStr">
        <is>
          <t>BBG01L3NDT46</t>
        </is>
      </c>
    </row>
    <row r="2441">
      <c r="A2441" t="inlineStr">
        <is>
          <t>BBG01L3NDVB3 Equity</t>
        </is>
      </c>
      <c r="B2441" t="inlineStr">
        <is>
          <t>TSLA US 11/15/24 P285</t>
        </is>
      </c>
      <c r="C2441" t="inlineStr">
        <is>
          <t>2024-11-15</t>
        </is>
      </c>
      <c r="D2441" t="n">
        <v>285</v>
      </c>
      <c r="E2441" t="inlineStr">
        <is>
          <t>BBG01L3NDVB3</t>
        </is>
      </c>
    </row>
    <row r="2442">
      <c r="A2442" t="inlineStr">
        <is>
          <t>BBG01L3NDWH5 Equity</t>
        </is>
      </c>
      <c r="B2442" t="inlineStr">
        <is>
          <t>TSLA US 11/15/24 P290</t>
        </is>
      </c>
      <c r="C2442" t="inlineStr">
        <is>
          <t>2024-11-15</t>
        </is>
      </c>
      <c r="D2442" t="n">
        <v>290</v>
      </c>
      <c r="E2442" t="inlineStr">
        <is>
          <t>BBG01L3NDWH5</t>
        </is>
      </c>
    </row>
    <row r="2443">
      <c r="A2443" t="inlineStr">
        <is>
          <t>BBG01L3NDXN6 Equity</t>
        </is>
      </c>
      <c r="B2443" t="inlineStr">
        <is>
          <t>TSLA US 11/15/24 P295</t>
        </is>
      </c>
      <c r="C2443" t="inlineStr">
        <is>
          <t>2024-11-15</t>
        </is>
      </c>
      <c r="D2443" t="n">
        <v>295</v>
      </c>
      <c r="E2443" t="inlineStr">
        <is>
          <t>BBG01L3NDXN6</t>
        </is>
      </c>
    </row>
    <row r="2444">
      <c r="A2444" t="inlineStr">
        <is>
          <t>BBG01L3NDYV5 Equity</t>
        </is>
      </c>
      <c r="B2444" t="inlineStr">
        <is>
          <t>TSLA US 11/15/24 P300</t>
        </is>
      </c>
      <c r="C2444" t="inlineStr">
        <is>
          <t>2024-11-15</t>
        </is>
      </c>
      <c r="D2444" t="n">
        <v>300</v>
      </c>
      <c r="E2444" t="inlineStr">
        <is>
          <t>BBG01L3NDYV5</t>
        </is>
      </c>
    </row>
    <row r="2445">
      <c r="A2445" t="inlineStr">
        <is>
          <t>BBG01L3NF001 Equity</t>
        </is>
      </c>
      <c r="B2445" t="inlineStr">
        <is>
          <t>TSLA US 11/15/24 P305</t>
        </is>
      </c>
      <c r="C2445" t="inlineStr">
        <is>
          <t>2024-11-15</t>
        </is>
      </c>
      <c r="D2445" t="n">
        <v>305</v>
      </c>
      <c r="E2445" t="inlineStr">
        <is>
          <t>BBG01L3NF001</t>
        </is>
      </c>
    </row>
    <row r="2446">
      <c r="A2446" t="inlineStr">
        <is>
          <t>BBG01L3NF154 Equity</t>
        </is>
      </c>
      <c r="B2446" t="inlineStr">
        <is>
          <t>TSLA US 11/15/24 P310</t>
        </is>
      </c>
      <c r="C2446" t="inlineStr">
        <is>
          <t>2024-11-15</t>
        </is>
      </c>
      <c r="D2446" t="n">
        <v>310</v>
      </c>
      <c r="E2446" t="inlineStr">
        <is>
          <t>BBG01L3NF154</t>
        </is>
      </c>
    </row>
    <row r="2447">
      <c r="A2447" t="inlineStr">
        <is>
          <t>BBG01L3NF2C4 Equity</t>
        </is>
      </c>
      <c r="B2447" t="inlineStr">
        <is>
          <t>TSLA US 11/15/24 P315</t>
        </is>
      </c>
      <c r="C2447" t="inlineStr">
        <is>
          <t>2024-11-15</t>
        </is>
      </c>
      <c r="D2447" t="n">
        <v>315</v>
      </c>
      <c r="E2447" t="inlineStr">
        <is>
          <t>BBG01L3NF2C4</t>
        </is>
      </c>
    </row>
    <row r="2448">
      <c r="A2448" t="inlineStr">
        <is>
          <t>BBG01L3NF3J5 Equity</t>
        </is>
      </c>
      <c r="B2448" t="inlineStr">
        <is>
          <t>TSLA US 11/15/24 P320</t>
        </is>
      </c>
      <c r="C2448" t="inlineStr">
        <is>
          <t>2024-11-15</t>
        </is>
      </c>
      <c r="D2448" t="n">
        <v>320</v>
      </c>
      <c r="E2448" t="inlineStr">
        <is>
          <t>BBG01L3NF3J5</t>
        </is>
      </c>
    </row>
    <row r="2449">
      <c r="A2449" t="inlineStr">
        <is>
          <t>BBG01L3NF4R4 Equity</t>
        </is>
      </c>
      <c r="B2449" t="inlineStr">
        <is>
          <t>TSLA US 11/15/24 P325</t>
        </is>
      </c>
      <c r="C2449" t="inlineStr">
        <is>
          <t>2024-11-15</t>
        </is>
      </c>
      <c r="D2449" t="n">
        <v>325</v>
      </c>
      <c r="E2449" t="inlineStr">
        <is>
          <t>BBG01L3NF4R4</t>
        </is>
      </c>
    </row>
    <row r="2450">
      <c r="A2450" t="inlineStr">
        <is>
          <t>BBG01L3NF5X4 Equity</t>
        </is>
      </c>
      <c r="B2450" t="inlineStr">
        <is>
          <t>TSLA US 11/15/24 P330</t>
        </is>
      </c>
      <c r="C2450" t="inlineStr">
        <is>
          <t>2024-11-15</t>
        </is>
      </c>
      <c r="D2450" t="n">
        <v>330</v>
      </c>
      <c r="E2450" t="inlineStr">
        <is>
          <t>BBG01L3NF5X4</t>
        </is>
      </c>
    </row>
    <row r="2451">
      <c r="A2451" t="inlineStr">
        <is>
          <t>BBG01L3NF724 Equity</t>
        </is>
      </c>
      <c r="B2451" t="inlineStr">
        <is>
          <t>TSLA US 11/15/24 P335</t>
        </is>
      </c>
      <c r="C2451" t="inlineStr">
        <is>
          <t>2024-11-15</t>
        </is>
      </c>
      <c r="D2451" t="n">
        <v>335</v>
      </c>
      <c r="E2451" t="inlineStr">
        <is>
          <t>BBG01L3NF724</t>
        </is>
      </c>
    </row>
    <row r="2452">
      <c r="A2452" t="inlineStr">
        <is>
          <t>BBG01KZYMK93 Equity</t>
        </is>
      </c>
      <c r="B2452" t="inlineStr">
        <is>
          <t>TSLA US 12/20/24 P170</t>
        </is>
      </c>
      <c r="C2452" t="inlineStr">
        <is>
          <t>2024-12-20</t>
        </is>
      </c>
      <c r="D2452" t="n">
        <v>170</v>
      </c>
      <c r="E2452" t="inlineStr">
        <is>
          <t>BBG01KZYMK93</t>
        </is>
      </c>
    </row>
    <row r="2453">
      <c r="A2453" t="inlineStr">
        <is>
          <t>BBG01KZYMLG3 Equity</t>
        </is>
      </c>
      <c r="B2453" t="inlineStr">
        <is>
          <t>TSLA US 12/20/24 P175</t>
        </is>
      </c>
      <c r="C2453" t="inlineStr">
        <is>
          <t>2024-12-20</t>
        </is>
      </c>
      <c r="D2453" t="n">
        <v>175</v>
      </c>
      <c r="E2453" t="inlineStr">
        <is>
          <t>BBG01KZYMLG3</t>
        </is>
      </c>
    </row>
    <row r="2454">
      <c r="A2454" t="inlineStr">
        <is>
          <t>BBG01KZYMMN3 Equity</t>
        </is>
      </c>
      <c r="B2454" t="inlineStr">
        <is>
          <t>TSLA US 12/20/24 P180</t>
        </is>
      </c>
      <c r="C2454" t="inlineStr">
        <is>
          <t>2024-12-20</t>
        </is>
      </c>
      <c r="D2454" t="n">
        <v>180</v>
      </c>
      <c r="E2454" t="inlineStr">
        <is>
          <t>BBG01KZYMMN3</t>
        </is>
      </c>
    </row>
    <row r="2455">
      <c r="A2455" t="inlineStr">
        <is>
          <t>BBG01KZYMNT5 Equity</t>
        </is>
      </c>
      <c r="B2455" t="inlineStr">
        <is>
          <t>TSLA US 12/20/24 P185</t>
        </is>
      </c>
      <c r="C2455" t="inlineStr">
        <is>
          <t>2024-12-20</t>
        </is>
      </c>
      <c r="D2455" t="n">
        <v>185</v>
      </c>
      <c r="E2455" t="inlineStr">
        <is>
          <t>BBG01KZYMNT5</t>
        </is>
      </c>
    </row>
    <row r="2456">
      <c r="A2456" t="inlineStr">
        <is>
          <t>BBG01KZYMPZ3 Equity</t>
        </is>
      </c>
      <c r="B2456" t="inlineStr">
        <is>
          <t>TSLA US 12/20/24 P190</t>
        </is>
      </c>
      <c r="C2456" t="inlineStr">
        <is>
          <t>2024-12-20</t>
        </is>
      </c>
      <c r="D2456" t="n">
        <v>190</v>
      </c>
      <c r="E2456" t="inlineStr">
        <is>
          <t>BBG01KZYMPZ3</t>
        </is>
      </c>
    </row>
    <row r="2457">
      <c r="A2457" t="inlineStr">
        <is>
          <t>BBG01KZYMR52 Equity</t>
        </is>
      </c>
      <c r="B2457" t="inlineStr">
        <is>
          <t>TSLA US 12/20/24 P195</t>
        </is>
      </c>
      <c r="C2457" t="inlineStr">
        <is>
          <t>2024-12-20</t>
        </is>
      </c>
      <c r="D2457" t="n">
        <v>195</v>
      </c>
      <c r="E2457" t="inlineStr">
        <is>
          <t>BBG01KZYMR52</t>
        </is>
      </c>
    </row>
    <row r="2458">
      <c r="A2458" t="inlineStr">
        <is>
          <t>BBG01KZYMSB3 Equity</t>
        </is>
      </c>
      <c r="B2458" t="inlineStr">
        <is>
          <t>TSLA US 12/20/24 P200</t>
        </is>
      </c>
      <c r="C2458" t="inlineStr">
        <is>
          <t>2024-12-20</t>
        </is>
      </c>
      <c r="D2458" t="n">
        <v>200</v>
      </c>
      <c r="E2458" t="inlineStr">
        <is>
          <t>BBG01KZYMSB3</t>
        </is>
      </c>
    </row>
    <row r="2459">
      <c r="A2459" t="inlineStr">
        <is>
          <t>BBG01M58LTP3 Equity</t>
        </is>
      </c>
      <c r="B2459" t="inlineStr">
        <is>
          <t>TSLA US 12/20/24 P205</t>
        </is>
      </c>
      <c r="C2459" t="inlineStr">
        <is>
          <t>2024-12-20</t>
        </is>
      </c>
      <c r="D2459" t="n">
        <v>205</v>
      </c>
      <c r="E2459" t="inlineStr">
        <is>
          <t>BBG01M58LTP3</t>
        </is>
      </c>
    </row>
    <row r="2460">
      <c r="A2460" t="inlineStr">
        <is>
          <t>BBG01KZYMTH5 Equity</t>
        </is>
      </c>
      <c r="B2460" t="inlineStr">
        <is>
          <t>TSLA US 12/20/24 P210</t>
        </is>
      </c>
      <c r="C2460" t="inlineStr">
        <is>
          <t>2024-12-20</t>
        </is>
      </c>
      <c r="D2460" t="n">
        <v>210</v>
      </c>
      <c r="E2460" t="inlineStr">
        <is>
          <t>BBG01KZYMTH5</t>
        </is>
      </c>
    </row>
    <row r="2461">
      <c r="A2461" t="inlineStr">
        <is>
          <t>BBG01M58LVW0 Equity</t>
        </is>
      </c>
      <c r="B2461" t="inlineStr">
        <is>
          <t>TSLA US 12/20/24 P215</t>
        </is>
      </c>
      <c r="C2461" t="inlineStr">
        <is>
          <t>2024-12-20</t>
        </is>
      </c>
      <c r="D2461" t="n">
        <v>215</v>
      </c>
      <c r="E2461" t="inlineStr">
        <is>
          <t>BBG01M58LVW0</t>
        </is>
      </c>
    </row>
    <row r="2462">
      <c r="A2462" t="inlineStr">
        <is>
          <t>BBG01KZYMVP1 Equity</t>
        </is>
      </c>
      <c r="B2462" t="inlineStr">
        <is>
          <t>TSLA US 12/20/24 P220</t>
        </is>
      </c>
      <c r="C2462" t="inlineStr">
        <is>
          <t>2024-12-20</t>
        </is>
      </c>
      <c r="D2462" t="n">
        <v>220</v>
      </c>
      <c r="E2462" t="inlineStr">
        <is>
          <t>BBG01KZYMVP1</t>
        </is>
      </c>
    </row>
    <row r="2463">
      <c r="A2463" t="inlineStr">
        <is>
          <t>BBG01M58LX10 Equity</t>
        </is>
      </c>
      <c r="B2463" t="inlineStr">
        <is>
          <t>TSLA US 12/20/24 P225</t>
        </is>
      </c>
      <c r="C2463" t="inlineStr">
        <is>
          <t>2024-12-20</t>
        </is>
      </c>
      <c r="D2463" t="n">
        <v>225</v>
      </c>
      <c r="E2463" t="inlineStr">
        <is>
          <t>BBG01M58LX10</t>
        </is>
      </c>
    </row>
    <row r="2464">
      <c r="A2464" t="inlineStr">
        <is>
          <t>BBG01KZYMWV2 Equity</t>
        </is>
      </c>
      <c r="B2464" t="inlineStr">
        <is>
          <t>TSLA US 12/20/24 P230</t>
        </is>
      </c>
      <c r="C2464" t="inlineStr">
        <is>
          <t>2024-12-20</t>
        </is>
      </c>
      <c r="D2464" t="n">
        <v>230</v>
      </c>
      <c r="E2464" t="inlineStr">
        <is>
          <t>BBG01KZYMWV2</t>
        </is>
      </c>
    </row>
    <row r="2465">
      <c r="A2465" t="inlineStr">
        <is>
          <t>BBG01M58LY72 Equity</t>
        </is>
      </c>
      <c r="B2465" t="inlineStr">
        <is>
          <t>TSLA US 12/20/24 P235</t>
        </is>
      </c>
      <c r="C2465" t="inlineStr">
        <is>
          <t>2024-12-20</t>
        </is>
      </c>
      <c r="D2465" t="n">
        <v>235</v>
      </c>
      <c r="E2465" t="inlineStr">
        <is>
          <t>BBG01M58LY72</t>
        </is>
      </c>
    </row>
    <row r="2466">
      <c r="A2466" t="inlineStr">
        <is>
          <t>BBG01KZYMY02 Equity</t>
        </is>
      </c>
      <c r="B2466" t="inlineStr">
        <is>
          <t>TSLA US 12/20/24 P240</t>
        </is>
      </c>
      <c r="C2466" t="inlineStr">
        <is>
          <t>2024-12-20</t>
        </is>
      </c>
      <c r="D2466" t="n">
        <v>240</v>
      </c>
      <c r="E2466" t="inlineStr">
        <is>
          <t>BBG01KZYMY02</t>
        </is>
      </c>
    </row>
    <row r="2467">
      <c r="A2467" t="inlineStr">
        <is>
          <t>BBG01M58LZD2 Equity</t>
        </is>
      </c>
      <c r="B2467" t="inlineStr">
        <is>
          <t>TSLA US 12/20/24 P245</t>
        </is>
      </c>
      <c r="C2467" t="inlineStr">
        <is>
          <t>2024-12-20</t>
        </is>
      </c>
      <c r="D2467" t="n">
        <v>245</v>
      </c>
      <c r="E2467" t="inlineStr">
        <is>
          <t>BBG01M58LZD2</t>
        </is>
      </c>
    </row>
    <row r="2468">
      <c r="A2468" t="inlineStr">
        <is>
          <t>BBG01KZYMZ63 Equity</t>
        </is>
      </c>
      <c r="B2468" t="inlineStr">
        <is>
          <t>TSLA US 12/20/24 P250</t>
        </is>
      </c>
      <c r="C2468" t="inlineStr">
        <is>
          <t>2024-12-20</t>
        </is>
      </c>
      <c r="D2468" t="n">
        <v>250</v>
      </c>
      <c r="E2468" t="inlineStr">
        <is>
          <t>BBG01KZYMZ63</t>
        </is>
      </c>
    </row>
    <row r="2469">
      <c r="A2469" t="inlineStr">
        <is>
          <t>BBG01MJ2XPM9 Equity</t>
        </is>
      </c>
      <c r="B2469" t="inlineStr">
        <is>
          <t>TSLA US 12/20/24 P255</t>
        </is>
      </c>
      <c r="C2469" t="inlineStr">
        <is>
          <t>2024-12-20</t>
        </is>
      </c>
      <c r="D2469" t="n">
        <v>255</v>
      </c>
      <c r="E2469" t="inlineStr">
        <is>
          <t>BBG01MJ2XPM9</t>
        </is>
      </c>
    </row>
    <row r="2470">
      <c r="A2470" t="inlineStr">
        <is>
          <t>BBG01KZYN0C2 Equity</t>
        </is>
      </c>
      <c r="B2470" t="inlineStr">
        <is>
          <t>TSLA US 12/20/24 P260</t>
        </is>
      </c>
      <c r="C2470" t="inlineStr">
        <is>
          <t>2024-12-20</t>
        </is>
      </c>
      <c r="D2470" t="n">
        <v>260</v>
      </c>
      <c r="E2470" t="inlineStr">
        <is>
          <t>BBG01KZYN0C2</t>
        </is>
      </c>
    </row>
    <row r="2471">
      <c r="A2471" t="inlineStr">
        <is>
          <t>BBG01Q04LSQ9 Equity</t>
        </is>
      </c>
      <c r="B2471" t="inlineStr">
        <is>
          <t>TSLA US 12/20/24 P265</t>
        </is>
      </c>
      <c r="C2471" t="inlineStr">
        <is>
          <t>2024-12-20</t>
        </is>
      </c>
      <c r="D2471" t="n">
        <v>265</v>
      </c>
      <c r="E2471" t="inlineStr">
        <is>
          <t>BBG01Q04LSQ9</t>
        </is>
      </c>
    </row>
    <row r="2472">
      <c r="A2472" t="inlineStr">
        <is>
          <t>BBG01KZYN1K1 Equity</t>
        </is>
      </c>
      <c r="B2472" t="inlineStr">
        <is>
          <t>TSLA US 12/20/24 P270</t>
        </is>
      </c>
      <c r="C2472" t="inlineStr">
        <is>
          <t>2024-12-20</t>
        </is>
      </c>
      <c r="D2472" t="n">
        <v>270</v>
      </c>
      <c r="E2472" t="inlineStr">
        <is>
          <t>BBG01KZYN1K1</t>
        </is>
      </c>
    </row>
    <row r="2473">
      <c r="A2473" t="inlineStr">
        <is>
          <t>BBG01Q04LTY8 Equity</t>
        </is>
      </c>
      <c r="B2473" t="inlineStr">
        <is>
          <t>TSLA US 12/20/24 P275</t>
        </is>
      </c>
      <c r="C2473" t="inlineStr">
        <is>
          <t>2024-12-20</t>
        </is>
      </c>
      <c r="D2473" t="n">
        <v>275</v>
      </c>
      <c r="E2473" t="inlineStr">
        <is>
          <t>BBG01Q04LTY8</t>
        </is>
      </c>
    </row>
    <row r="2474">
      <c r="A2474" t="inlineStr">
        <is>
          <t>BBG01KZYN2Q3 Equity</t>
        </is>
      </c>
      <c r="B2474" t="inlineStr">
        <is>
          <t>TSLA US 12/20/24 P280</t>
        </is>
      </c>
      <c r="C2474" t="inlineStr">
        <is>
          <t>2024-12-20</t>
        </is>
      </c>
      <c r="D2474" t="n">
        <v>280</v>
      </c>
      <c r="E2474" t="inlineStr">
        <is>
          <t>BBG01KZYN2Q3</t>
        </is>
      </c>
    </row>
    <row r="2475">
      <c r="A2475" t="inlineStr">
        <is>
          <t>BBG01Q04M4V5 Equity</t>
        </is>
      </c>
      <c r="B2475" t="inlineStr">
        <is>
          <t>TSLA US 12/20/24 P285</t>
        </is>
      </c>
      <c r="C2475" t="inlineStr">
        <is>
          <t>2024-12-20</t>
        </is>
      </c>
      <c r="D2475" t="n">
        <v>285</v>
      </c>
      <c r="E2475" t="inlineStr">
        <is>
          <t>BBG01Q04M4V5</t>
        </is>
      </c>
    </row>
    <row r="2476">
      <c r="A2476" t="inlineStr">
        <is>
          <t>BBG01KZYN3W4 Equity</t>
        </is>
      </c>
      <c r="B2476" t="inlineStr">
        <is>
          <t>TSLA US 12/20/24 P290</t>
        </is>
      </c>
      <c r="C2476" t="inlineStr">
        <is>
          <t>2024-12-20</t>
        </is>
      </c>
      <c r="D2476" t="n">
        <v>290</v>
      </c>
      <c r="E2476" t="inlineStr">
        <is>
          <t>BBG01KZYN3W4</t>
        </is>
      </c>
    </row>
    <row r="2477">
      <c r="A2477" t="inlineStr">
        <is>
          <t>BBG01Q04M3M7 Equity</t>
        </is>
      </c>
      <c r="B2477" t="inlineStr">
        <is>
          <t>TSLA US 12/20/24 P295</t>
        </is>
      </c>
      <c r="C2477" t="inlineStr">
        <is>
          <t>2024-12-20</t>
        </is>
      </c>
      <c r="D2477" t="n">
        <v>295</v>
      </c>
      <c r="E2477" t="inlineStr">
        <is>
          <t>BBG01Q04M3M7</t>
        </is>
      </c>
    </row>
    <row r="2478">
      <c r="A2478" t="inlineStr">
        <is>
          <t>BBG01KZYN522 Equity</t>
        </is>
      </c>
      <c r="B2478" t="inlineStr">
        <is>
          <t>TSLA US 12/20/24 P300</t>
        </is>
      </c>
      <c r="C2478" t="inlineStr">
        <is>
          <t>2024-12-20</t>
        </is>
      </c>
      <c r="D2478" t="n">
        <v>300</v>
      </c>
      <c r="E2478" t="inlineStr">
        <is>
          <t>BBG01KZYN522</t>
        </is>
      </c>
    </row>
    <row r="2479">
      <c r="A2479" t="inlineStr">
        <is>
          <t>BBG01Q04M472 Equity</t>
        </is>
      </c>
      <c r="B2479" t="inlineStr">
        <is>
          <t>TSLA US 12/20/24 P305</t>
        </is>
      </c>
      <c r="C2479" t="inlineStr">
        <is>
          <t>2024-12-20</t>
        </is>
      </c>
      <c r="D2479" t="n">
        <v>305</v>
      </c>
      <c r="E2479" t="inlineStr">
        <is>
          <t>BBG01Q04M472</t>
        </is>
      </c>
    </row>
    <row r="2480">
      <c r="A2480" t="inlineStr">
        <is>
          <t>BBG01KZYN675 Equity</t>
        </is>
      </c>
      <c r="B2480" t="inlineStr">
        <is>
          <t>TSLA US 12/20/24 P310</t>
        </is>
      </c>
      <c r="C2480" t="inlineStr">
        <is>
          <t>2024-12-20</t>
        </is>
      </c>
      <c r="D2480" t="n">
        <v>310</v>
      </c>
      <c r="E2480" t="inlineStr">
        <is>
          <t>BBG01KZYN675</t>
        </is>
      </c>
    </row>
    <row r="2481">
      <c r="A2481" t="inlineStr">
        <is>
          <t>BBG01Q04M301 Equity</t>
        </is>
      </c>
      <c r="B2481" t="inlineStr">
        <is>
          <t>TSLA US 12/20/24 P315</t>
        </is>
      </c>
      <c r="C2481" t="inlineStr">
        <is>
          <t>2024-12-20</t>
        </is>
      </c>
      <c r="D2481" t="n">
        <v>315</v>
      </c>
      <c r="E2481" t="inlineStr">
        <is>
          <t>BBG01Q04M301</t>
        </is>
      </c>
    </row>
    <row r="2482">
      <c r="A2482" t="inlineStr">
        <is>
          <t>BBG01KZYN7D6 Equity</t>
        </is>
      </c>
      <c r="B2482" t="inlineStr">
        <is>
          <t>TSLA US 12/20/24 P320</t>
        </is>
      </c>
      <c r="C2482" t="inlineStr">
        <is>
          <t>2024-12-20</t>
        </is>
      </c>
      <c r="D2482" t="n">
        <v>320</v>
      </c>
      <c r="E2482" t="inlineStr">
        <is>
          <t>BBG01KZYN7D6</t>
        </is>
      </c>
    </row>
    <row r="2483">
      <c r="A2483" t="inlineStr">
        <is>
          <t>BBG01Q04M2D9 Equity</t>
        </is>
      </c>
      <c r="B2483" t="inlineStr">
        <is>
          <t>TSLA US 12/20/24 P325</t>
        </is>
      </c>
      <c r="C2483" t="inlineStr">
        <is>
          <t>2024-12-20</t>
        </is>
      </c>
      <c r="D2483" t="n">
        <v>325</v>
      </c>
      <c r="E2483" t="inlineStr">
        <is>
          <t>BBG01Q04M2D9</t>
        </is>
      </c>
    </row>
    <row r="2484">
      <c r="A2484" t="inlineStr">
        <is>
          <t>BBG01KZYN8L5 Equity</t>
        </is>
      </c>
      <c r="B2484" t="inlineStr">
        <is>
          <t>TSLA US 12/20/24 P330</t>
        </is>
      </c>
      <c r="C2484" t="inlineStr">
        <is>
          <t>2024-12-20</t>
        </is>
      </c>
      <c r="D2484" t="n">
        <v>330</v>
      </c>
      <c r="E2484" t="inlineStr">
        <is>
          <t>BBG01KZYN8L5</t>
        </is>
      </c>
    </row>
    <row r="2485">
      <c r="A2485" t="inlineStr">
        <is>
          <t>BBG01Q04LS34 Equity</t>
        </is>
      </c>
      <c r="B2485" t="inlineStr">
        <is>
          <t>TSLA US 12/20/24 P335</t>
        </is>
      </c>
      <c r="C2485" t="inlineStr">
        <is>
          <t>2024-12-20</t>
        </is>
      </c>
      <c r="D2485" t="n">
        <v>335</v>
      </c>
      <c r="E2485" t="inlineStr">
        <is>
          <t>BBG01Q04LS34</t>
        </is>
      </c>
    </row>
    <row r="2486">
      <c r="A2486" t="inlineStr">
        <is>
          <t>BBG019LH6RK0 Equity</t>
        </is>
      </c>
      <c r="B2486" t="inlineStr">
        <is>
          <t>TSLA US 01/17/25 P210</t>
        </is>
      </c>
      <c r="C2486" t="inlineStr">
        <is>
          <t>2025-01-17</t>
        </is>
      </c>
      <c r="D2486" t="n">
        <v>210</v>
      </c>
      <c r="E2486" t="inlineStr">
        <is>
          <t>BBG019LH6RK0</t>
        </is>
      </c>
    </row>
    <row r="2487">
      <c r="A2487" t="inlineStr">
        <is>
          <t>BBG01M58M1R1 Equity</t>
        </is>
      </c>
      <c r="B2487" t="inlineStr">
        <is>
          <t>TSLA US 01/17/25 P215</t>
        </is>
      </c>
      <c r="C2487" t="inlineStr">
        <is>
          <t>2025-01-17</t>
        </is>
      </c>
      <c r="D2487" t="n">
        <v>215</v>
      </c>
      <c r="E2487" t="inlineStr">
        <is>
          <t>BBG01M58M1R1</t>
        </is>
      </c>
    </row>
    <row r="2488">
      <c r="A2488" t="inlineStr">
        <is>
          <t>BBG019LH6SP3 Equity</t>
        </is>
      </c>
      <c r="B2488" t="inlineStr">
        <is>
          <t>TSLA US 01/17/25 P220</t>
        </is>
      </c>
      <c r="C2488" t="inlineStr">
        <is>
          <t>2025-01-17</t>
        </is>
      </c>
      <c r="D2488" t="n">
        <v>220</v>
      </c>
      <c r="E2488" t="inlineStr">
        <is>
          <t>BBG019LH6SP3</t>
        </is>
      </c>
    </row>
    <row r="2489">
      <c r="A2489" t="inlineStr">
        <is>
          <t>BBG01M58M2X2 Equity</t>
        </is>
      </c>
      <c r="B2489" t="inlineStr">
        <is>
          <t>TSLA US 01/17/25 P225</t>
        </is>
      </c>
      <c r="C2489" t="inlineStr">
        <is>
          <t>2025-01-17</t>
        </is>
      </c>
      <c r="D2489" t="n">
        <v>225</v>
      </c>
      <c r="E2489" t="inlineStr">
        <is>
          <t>BBG01M58M2X2</t>
        </is>
      </c>
    </row>
    <row r="2490">
      <c r="A2490" t="inlineStr">
        <is>
          <t>BBG019LH6TS8 Equity</t>
        </is>
      </c>
      <c r="B2490" t="inlineStr">
        <is>
          <t>TSLA US 01/17/25 P230</t>
        </is>
      </c>
      <c r="C2490" t="inlineStr">
        <is>
          <t>2025-01-17</t>
        </is>
      </c>
      <c r="D2490" t="n">
        <v>230</v>
      </c>
      <c r="E2490" t="inlineStr">
        <is>
          <t>BBG019LH6TS8</t>
        </is>
      </c>
    </row>
    <row r="2491">
      <c r="A2491" t="inlineStr">
        <is>
          <t>BBG01M58M422 Equity</t>
        </is>
      </c>
      <c r="B2491" t="inlineStr">
        <is>
          <t>TSLA US 01/17/25 P235</t>
        </is>
      </c>
      <c r="C2491" t="inlineStr">
        <is>
          <t>2025-01-17</t>
        </is>
      </c>
      <c r="D2491" t="n">
        <v>235</v>
      </c>
      <c r="E2491" t="inlineStr">
        <is>
          <t>BBG01M58M422</t>
        </is>
      </c>
    </row>
    <row r="2492">
      <c r="A2492" t="inlineStr">
        <is>
          <t>BBG019LH6VW8 Equity</t>
        </is>
      </c>
      <c r="B2492" t="inlineStr">
        <is>
          <t>TSLA US 01/17/25 P240</t>
        </is>
      </c>
      <c r="C2492" t="inlineStr">
        <is>
          <t>2025-01-17</t>
        </is>
      </c>
      <c r="D2492" t="n">
        <v>240</v>
      </c>
      <c r="E2492" t="inlineStr">
        <is>
          <t>BBG019LH6VW8</t>
        </is>
      </c>
    </row>
    <row r="2493">
      <c r="A2493" t="inlineStr">
        <is>
          <t>BBG01M58M583 Equity</t>
        </is>
      </c>
      <c r="B2493" t="inlineStr">
        <is>
          <t>TSLA US 01/17/25 P245</t>
        </is>
      </c>
      <c r="C2493" t="inlineStr">
        <is>
          <t>2025-01-17</t>
        </is>
      </c>
      <c r="D2493" t="n">
        <v>245</v>
      </c>
      <c r="E2493" t="inlineStr">
        <is>
          <t>BBG01M58M583</t>
        </is>
      </c>
    </row>
    <row r="2494">
      <c r="A2494" t="inlineStr">
        <is>
          <t>BBG019LH6X09 Equity</t>
        </is>
      </c>
      <c r="B2494" t="inlineStr">
        <is>
          <t>TSLA US 01/17/25 P250</t>
        </is>
      </c>
      <c r="C2494" t="inlineStr">
        <is>
          <t>2025-01-17</t>
        </is>
      </c>
      <c r="D2494" t="n">
        <v>250</v>
      </c>
      <c r="E2494" t="inlineStr">
        <is>
          <t>BBG019LH6X09</t>
        </is>
      </c>
    </row>
    <row r="2495">
      <c r="A2495" t="inlineStr">
        <is>
          <t>BBG01NML9J15 Equity</t>
        </is>
      </c>
      <c r="B2495" t="inlineStr">
        <is>
          <t>TSLA US 01/17/25 P255</t>
        </is>
      </c>
      <c r="C2495" t="inlineStr">
        <is>
          <t>2025-01-17</t>
        </is>
      </c>
      <c r="D2495" t="n">
        <v>255</v>
      </c>
      <c r="E2495" t="inlineStr">
        <is>
          <t>BBG01NML9J15</t>
        </is>
      </c>
    </row>
    <row r="2496">
      <c r="A2496" t="inlineStr">
        <is>
          <t>BBG019LH6Y34 Equity</t>
        </is>
      </c>
      <c r="B2496" t="inlineStr">
        <is>
          <t>TSLA US 01/17/25 P260</t>
        </is>
      </c>
      <c r="C2496" t="inlineStr">
        <is>
          <t>2025-01-17</t>
        </is>
      </c>
      <c r="D2496" t="n">
        <v>260</v>
      </c>
      <c r="E2496" t="inlineStr">
        <is>
          <t>BBG019LH6Y34</t>
        </is>
      </c>
    </row>
    <row r="2497">
      <c r="A2497" t="inlineStr">
        <is>
          <t>BBG01NML9JM2 Equity</t>
        </is>
      </c>
      <c r="B2497" t="inlineStr">
        <is>
          <t>TSLA US 01/17/25 P265</t>
        </is>
      </c>
      <c r="C2497" t="inlineStr">
        <is>
          <t>2025-01-17</t>
        </is>
      </c>
      <c r="D2497" t="n">
        <v>265</v>
      </c>
      <c r="E2497" t="inlineStr">
        <is>
          <t>BBG01NML9JM2</t>
        </is>
      </c>
    </row>
    <row r="2498">
      <c r="A2498" t="inlineStr">
        <is>
          <t>BBG019LH6Z68 Equity</t>
        </is>
      </c>
      <c r="B2498" t="inlineStr">
        <is>
          <t>TSLA US 01/17/25 P270</t>
        </is>
      </c>
      <c r="C2498" t="inlineStr">
        <is>
          <t>2025-01-17</t>
        </is>
      </c>
      <c r="D2498" t="n">
        <v>270</v>
      </c>
      <c r="E2498" t="inlineStr">
        <is>
          <t>BBG019LH6Z68</t>
        </is>
      </c>
    </row>
    <row r="2499">
      <c r="A2499" t="inlineStr">
        <is>
          <t>BBG01NML9K67 Equity</t>
        </is>
      </c>
      <c r="B2499" t="inlineStr">
        <is>
          <t>TSLA US 01/17/25 P275</t>
        </is>
      </c>
      <c r="C2499" t="inlineStr">
        <is>
          <t>2025-01-17</t>
        </is>
      </c>
      <c r="D2499" t="n">
        <v>275</v>
      </c>
      <c r="E2499" t="inlineStr">
        <is>
          <t>BBG01NML9K67</t>
        </is>
      </c>
    </row>
    <row r="2500">
      <c r="A2500" t="inlineStr">
        <is>
          <t>BBG019LH70B8 Equity</t>
        </is>
      </c>
      <c r="B2500" t="inlineStr">
        <is>
          <t>TSLA US 01/17/25 P280</t>
        </is>
      </c>
      <c r="C2500" t="inlineStr">
        <is>
          <t>2025-01-17</t>
        </is>
      </c>
      <c r="D2500" t="n">
        <v>280</v>
      </c>
      <c r="E2500" t="inlineStr">
        <is>
          <t>BBG019LH70B8</t>
        </is>
      </c>
    </row>
    <row r="2501">
      <c r="A2501" t="inlineStr">
        <is>
          <t>BBG01NML9KS3 Equity</t>
        </is>
      </c>
      <c r="B2501" t="inlineStr">
        <is>
          <t>TSLA US 01/17/25 P285</t>
        </is>
      </c>
      <c r="C2501" t="inlineStr">
        <is>
          <t>2025-01-17</t>
        </is>
      </c>
      <c r="D2501" t="n">
        <v>285</v>
      </c>
      <c r="E2501" t="inlineStr">
        <is>
          <t>BBG01NML9KS3</t>
        </is>
      </c>
    </row>
    <row r="2502">
      <c r="A2502" t="inlineStr">
        <is>
          <t>BBG019LH71F2 Equity</t>
        </is>
      </c>
      <c r="B2502" t="inlineStr">
        <is>
          <t>TSLA US 01/17/25 P290</t>
        </is>
      </c>
      <c r="C2502" t="inlineStr">
        <is>
          <t>2025-01-17</t>
        </is>
      </c>
      <c r="D2502" t="n">
        <v>290</v>
      </c>
      <c r="E2502" t="inlineStr">
        <is>
          <t>BBG019LH71F2</t>
        </is>
      </c>
    </row>
    <row r="2503">
      <c r="A2503" t="inlineStr">
        <is>
          <t>BBG01NML8K68 Equity</t>
        </is>
      </c>
      <c r="B2503" t="inlineStr">
        <is>
          <t>TSLA US 01/17/25 P295</t>
        </is>
      </c>
      <c r="C2503" t="inlineStr">
        <is>
          <t>2025-01-17</t>
        </is>
      </c>
      <c r="D2503" t="n">
        <v>295</v>
      </c>
      <c r="E2503" t="inlineStr">
        <is>
          <t>BBG01NML8K68</t>
        </is>
      </c>
    </row>
    <row r="2504">
      <c r="A2504" t="inlineStr">
        <is>
          <t>BBG019LH72J6 Equity</t>
        </is>
      </c>
      <c r="B2504" t="inlineStr">
        <is>
          <t>TSLA US 01/17/25 P300</t>
        </is>
      </c>
      <c r="C2504" t="inlineStr">
        <is>
          <t>2025-01-17</t>
        </is>
      </c>
      <c r="D2504" t="n">
        <v>300</v>
      </c>
      <c r="E2504" t="inlineStr">
        <is>
          <t>BBG019LH72J6</t>
        </is>
      </c>
    </row>
    <row r="2505">
      <c r="A2505" t="inlineStr">
        <is>
          <t>BBG01RK4YVF6 Equity</t>
        </is>
      </c>
      <c r="B2505" t="inlineStr">
        <is>
          <t>TSLA US 01/17/25 P302.5</t>
        </is>
      </c>
      <c r="C2505" t="inlineStr">
        <is>
          <t>2025-01-17</t>
        </is>
      </c>
      <c r="D2505" t="n">
        <v>302.5</v>
      </c>
      <c r="E2505" t="inlineStr">
        <is>
          <t>BBG01RK4YVF6</t>
        </is>
      </c>
    </row>
    <row r="2506">
      <c r="A2506" t="inlineStr">
        <is>
          <t>BBG01QJMKDJ1 Equity</t>
        </is>
      </c>
      <c r="B2506" t="inlineStr">
        <is>
          <t>TSLA US 01/17/25 P305</t>
        </is>
      </c>
      <c r="C2506" t="inlineStr">
        <is>
          <t>2025-01-17</t>
        </is>
      </c>
      <c r="D2506" t="n">
        <v>305</v>
      </c>
      <c r="E2506" t="inlineStr">
        <is>
          <t>BBG01QJMKDJ1</t>
        </is>
      </c>
    </row>
    <row r="2507">
      <c r="A2507" t="inlineStr">
        <is>
          <t>BBG01RK50059 Equity</t>
        </is>
      </c>
      <c r="B2507" t="inlineStr">
        <is>
          <t>TSLA US 01/17/25 P307.5</t>
        </is>
      </c>
      <c r="C2507" t="inlineStr">
        <is>
          <t>2025-01-17</t>
        </is>
      </c>
      <c r="D2507" t="n">
        <v>307.5</v>
      </c>
      <c r="E2507" t="inlineStr">
        <is>
          <t>BBG01RK50059</t>
        </is>
      </c>
    </row>
    <row r="2508">
      <c r="A2508" t="inlineStr">
        <is>
          <t>BBG019LH73N9 Equity</t>
        </is>
      </c>
      <c r="B2508" t="inlineStr">
        <is>
          <t>TSLA US 01/17/25 P310</t>
        </is>
      </c>
      <c r="C2508" t="inlineStr">
        <is>
          <t>2025-01-17</t>
        </is>
      </c>
      <c r="D2508" t="n">
        <v>310</v>
      </c>
      <c r="E2508" t="inlineStr">
        <is>
          <t>BBG019LH73N9</t>
        </is>
      </c>
    </row>
    <row r="2509">
      <c r="A2509" t="inlineStr">
        <is>
          <t>BBG01RK4YTW2 Equity</t>
        </is>
      </c>
      <c r="B2509" t="inlineStr">
        <is>
          <t>TSLA US 01/17/25 P312.5</t>
        </is>
      </c>
      <c r="C2509" t="inlineStr">
        <is>
          <t>2025-01-17</t>
        </is>
      </c>
      <c r="D2509" t="n">
        <v>312.5</v>
      </c>
      <c r="E2509" t="inlineStr">
        <is>
          <t>BBG01RK4YTW2</t>
        </is>
      </c>
    </row>
    <row r="2510">
      <c r="A2510" t="inlineStr">
        <is>
          <t>BBG01QJMKGD0 Equity</t>
        </is>
      </c>
      <c r="B2510" t="inlineStr">
        <is>
          <t>TSLA US 01/17/25 P315</t>
        </is>
      </c>
      <c r="C2510" t="inlineStr">
        <is>
          <t>2025-01-17</t>
        </is>
      </c>
      <c r="D2510" t="n">
        <v>315</v>
      </c>
      <c r="E2510" t="inlineStr">
        <is>
          <t>BBG01QJMKGD0</t>
        </is>
      </c>
    </row>
    <row r="2511">
      <c r="A2511" t="inlineStr">
        <is>
          <t>BBG01RK4ZZ20 Equity</t>
        </is>
      </c>
      <c r="B2511" t="inlineStr">
        <is>
          <t>TSLA US 01/17/25 P317.5</t>
        </is>
      </c>
      <c r="C2511" t="inlineStr">
        <is>
          <t>2025-01-17</t>
        </is>
      </c>
      <c r="D2511" t="n">
        <v>317.5</v>
      </c>
      <c r="E2511" t="inlineStr">
        <is>
          <t>BBG01RK4ZZ20</t>
        </is>
      </c>
    </row>
    <row r="2512">
      <c r="A2512" t="inlineStr">
        <is>
          <t>BBG019LH74R3 Equity</t>
        </is>
      </c>
      <c r="B2512" t="inlineStr">
        <is>
          <t>TSLA US 01/17/25 P320</t>
        </is>
      </c>
      <c r="C2512" t="inlineStr">
        <is>
          <t>2025-01-17</t>
        </is>
      </c>
      <c r="D2512" t="n">
        <v>320</v>
      </c>
      <c r="E2512" t="inlineStr">
        <is>
          <t>BBG019LH74R3</t>
        </is>
      </c>
    </row>
    <row r="2513">
      <c r="A2513" t="inlineStr">
        <is>
          <t>BBG01RK4ZRH2 Equity</t>
        </is>
      </c>
      <c r="B2513" t="inlineStr">
        <is>
          <t>TSLA US 01/17/25 P322.5</t>
        </is>
      </c>
      <c r="C2513" t="inlineStr">
        <is>
          <t>2025-01-17</t>
        </is>
      </c>
      <c r="D2513" t="n">
        <v>322.5</v>
      </c>
      <c r="E2513" t="inlineStr">
        <is>
          <t>BBG01RK4ZRH2</t>
        </is>
      </c>
    </row>
    <row r="2514">
      <c r="A2514" t="inlineStr">
        <is>
          <t>BBG01QJMKF42 Equity</t>
        </is>
      </c>
      <c r="B2514" t="inlineStr">
        <is>
          <t>TSLA US 01/17/25 P325</t>
        </is>
      </c>
      <c r="C2514" t="inlineStr">
        <is>
          <t>2025-01-17</t>
        </is>
      </c>
      <c r="D2514" t="n">
        <v>325</v>
      </c>
      <c r="E2514" t="inlineStr">
        <is>
          <t>BBG01QJMKF42</t>
        </is>
      </c>
    </row>
    <row r="2515">
      <c r="A2515" t="inlineStr">
        <is>
          <t>BBG01RK4ZNK7 Equity</t>
        </is>
      </c>
      <c r="B2515" t="inlineStr">
        <is>
          <t>TSLA US 01/17/25 P327.5</t>
        </is>
      </c>
      <c r="C2515" t="inlineStr">
        <is>
          <t>2025-01-17</t>
        </is>
      </c>
      <c r="D2515" t="n">
        <v>327.5</v>
      </c>
      <c r="E2515" t="inlineStr">
        <is>
          <t>BBG01RK4ZNK7</t>
        </is>
      </c>
    </row>
    <row r="2516">
      <c r="A2516" t="inlineStr">
        <is>
          <t>BBG019LH75V5 Equity</t>
        </is>
      </c>
      <c r="B2516" t="inlineStr">
        <is>
          <t>TSLA US 01/17/25 P330</t>
        </is>
      </c>
      <c r="C2516" t="inlineStr">
        <is>
          <t>2025-01-17</t>
        </is>
      </c>
      <c r="D2516" t="n">
        <v>330</v>
      </c>
      <c r="E2516" t="inlineStr">
        <is>
          <t>BBG019LH75V5</t>
        </is>
      </c>
    </row>
    <row r="2517">
      <c r="A2517" t="inlineStr">
        <is>
          <t>BBG01RK4YWJ0 Equity</t>
        </is>
      </c>
      <c r="B2517" t="inlineStr">
        <is>
          <t>TSLA US 01/17/25 P332.5</t>
        </is>
      </c>
      <c r="C2517" t="inlineStr">
        <is>
          <t>2025-01-17</t>
        </is>
      </c>
      <c r="D2517" t="n">
        <v>332.5</v>
      </c>
      <c r="E2517" t="inlineStr">
        <is>
          <t>BBG01RK4YWJ0</t>
        </is>
      </c>
    </row>
    <row r="2518">
      <c r="A2518" t="inlineStr">
        <is>
          <t>BBG01QJMKH02 Equity</t>
        </is>
      </c>
      <c r="B2518" t="inlineStr">
        <is>
          <t>TSLA US 01/17/25 P335</t>
        </is>
      </c>
      <c r="C2518" t="inlineStr">
        <is>
          <t>2025-01-17</t>
        </is>
      </c>
      <c r="D2518" t="n">
        <v>335</v>
      </c>
      <c r="E2518" t="inlineStr">
        <is>
          <t>BBG01QJMKH02</t>
        </is>
      </c>
    </row>
    <row r="2519">
      <c r="A2519" t="inlineStr">
        <is>
          <t>BBG01RK4ZYJ5 Equity</t>
        </is>
      </c>
      <c r="B2519" t="inlineStr">
        <is>
          <t>TSLA US 01/17/25 P337.5</t>
        </is>
      </c>
      <c r="C2519" t="inlineStr">
        <is>
          <t>2025-01-17</t>
        </is>
      </c>
      <c r="D2519" t="n">
        <v>337.5</v>
      </c>
      <c r="E2519" t="inlineStr">
        <is>
          <t>BBG01RK4ZYJ5</t>
        </is>
      </c>
    </row>
    <row r="2520">
      <c r="A2520" t="inlineStr">
        <is>
          <t>BBG019LH76Z9 Equity</t>
        </is>
      </c>
      <c r="B2520" t="inlineStr">
        <is>
          <t>TSLA US 01/17/25 P340</t>
        </is>
      </c>
      <c r="C2520" t="inlineStr">
        <is>
          <t>2025-01-17</t>
        </is>
      </c>
      <c r="D2520" t="n">
        <v>340</v>
      </c>
      <c r="E2520" t="inlineStr">
        <is>
          <t>BBG019LH76Z9</t>
        </is>
      </c>
    </row>
    <row r="2521">
      <c r="A2521" t="inlineStr">
        <is>
          <t>BBG01RK4Z4X5 Equity</t>
        </is>
      </c>
      <c r="B2521" t="inlineStr">
        <is>
          <t>TSLA US 01/17/25 P342.5</t>
        </is>
      </c>
      <c r="C2521" t="inlineStr">
        <is>
          <t>2025-01-17</t>
        </is>
      </c>
      <c r="D2521" t="n">
        <v>342.5</v>
      </c>
      <c r="E2521" t="inlineStr">
        <is>
          <t>BBG01RK4Z4X5</t>
        </is>
      </c>
    </row>
    <row r="2522">
      <c r="A2522" t="inlineStr">
        <is>
          <t>BBG01QJMKPB2 Equity</t>
        </is>
      </c>
      <c r="B2522" t="inlineStr">
        <is>
          <t>TSLA US 01/17/25 P345</t>
        </is>
      </c>
      <c r="C2522" t="inlineStr">
        <is>
          <t>2025-01-17</t>
        </is>
      </c>
      <c r="D2522" t="n">
        <v>345</v>
      </c>
      <c r="E2522" t="inlineStr">
        <is>
          <t>BBG01QJMKPB2</t>
        </is>
      </c>
    </row>
    <row r="2523">
      <c r="A2523" t="inlineStr">
        <is>
          <t>BBG01RK4Z606 Equity</t>
        </is>
      </c>
      <c r="B2523" t="inlineStr">
        <is>
          <t>TSLA US 01/17/25 P347.5</t>
        </is>
      </c>
      <c r="C2523" t="inlineStr">
        <is>
          <t>2025-01-17</t>
        </is>
      </c>
      <c r="D2523" t="n">
        <v>347.5</v>
      </c>
      <c r="E2523" t="inlineStr">
        <is>
          <t>BBG01RK4Z606</t>
        </is>
      </c>
    </row>
    <row r="2524">
      <c r="A2524" t="inlineStr">
        <is>
          <t>BBG019LH7821 Equity</t>
        </is>
      </c>
      <c r="B2524" t="inlineStr">
        <is>
          <t>TSLA US 01/17/25 P350</t>
        </is>
      </c>
      <c r="C2524" t="inlineStr">
        <is>
          <t>2025-01-17</t>
        </is>
      </c>
      <c r="D2524" t="n">
        <v>350</v>
      </c>
      <c r="E2524" t="inlineStr">
        <is>
          <t>BBG019LH7821</t>
        </is>
      </c>
    </row>
    <row r="2525">
      <c r="A2525" t="inlineStr">
        <is>
          <t>BBG01RK4Z5G1 Equity</t>
        </is>
      </c>
      <c r="B2525" t="inlineStr">
        <is>
          <t>TSLA US 01/17/25 P352.5</t>
        </is>
      </c>
      <c r="C2525" t="inlineStr">
        <is>
          <t>2025-01-17</t>
        </is>
      </c>
      <c r="D2525" t="n">
        <v>352.5</v>
      </c>
      <c r="E2525" t="inlineStr">
        <is>
          <t>BBG01RK4Z5G1</t>
        </is>
      </c>
    </row>
    <row r="2526">
      <c r="A2526" t="inlineStr">
        <is>
          <t>BBG01QJMKFS6 Equity</t>
        </is>
      </c>
      <c r="B2526" t="inlineStr">
        <is>
          <t>TSLA US 01/17/25 P355</t>
        </is>
      </c>
      <c r="C2526" t="inlineStr">
        <is>
          <t>2025-01-17</t>
        </is>
      </c>
      <c r="D2526" t="n">
        <v>355</v>
      </c>
      <c r="E2526" t="inlineStr">
        <is>
          <t>BBG01QJMKFS6</t>
        </is>
      </c>
    </row>
    <row r="2527">
      <c r="A2527" t="inlineStr">
        <is>
          <t>BBG01RK4ZZM8 Equity</t>
        </is>
      </c>
      <c r="B2527" t="inlineStr">
        <is>
          <t>TSLA US 01/17/25 P357.5</t>
        </is>
      </c>
      <c r="C2527" t="inlineStr">
        <is>
          <t>2025-01-17</t>
        </is>
      </c>
      <c r="D2527" t="n">
        <v>357.5</v>
      </c>
      <c r="E2527" t="inlineStr">
        <is>
          <t>BBG01RK4ZZM8</t>
        </is>
      </c>
    </row>
    <row r="2528">
      <c r="A2528" t="inlineStr">
        <is>
          <t>BBG019LH7956 Equity</t>
        </is>
      </c>
      <c r="B2528" t="inlineStr">
        <is>
          <t>TSLA US 01/17/25 P360</t>
        </is>
      </c>
      <c r="C2528" t="inlineStr">
        <is>
          <t>2025-01-17</t>
        </is>
      </c>
      <c r="D2528" t="n">
        <v>360</v>
      </c>
      <c r="E2528" t="inlineStr">
        <is>
          <t>BBG019LH7956</t>
        </is>
      </c>
    </row>
    <row r="2529">
      <c r="A2529" t="inlineStr">
        <is>
          <t>BBG01RK4ZN09 Equity</t>
        </is>
      </c>
      <c r="B2529" t="inlineStr">
        <is>
          <t>TSLA US 01/17/25 P362.5</t>
        </is>
      </c>
      <c r="C2529" t="inlineStr">
        <is>
          <t>2025-01-17</t>
        </is>
      </c>
      <c r="D2529" t="n">
        <v>362.5</v>
      </c>
      <c r="E2529" t="inlineStr">
        <is>
          <t>BBG01RK4ZN09</t>
        </is>
      </c>
    </row>
    <row r="2530">
      <c r="A2530" t="inlineStr">
        <is>
          <t>BBG01QJMK036 Equity</t>
        </is>
      </c>
      <c r="B2530" t="inlineStr">
        <is>
          <t>TSLA US 01/17/25 P365</t>
        </is>
      </c>
      <c r="C2530" t="inlineStr">
        <is>
          <t>2025-01-17</t>
        </is>
      </c>
      <c r="D2530" t="n">
        <v>365</v>
      </c>
      <c r="E2530" t="inlineStr">
        <is>
          <t>BBG01QJMK036</t>
        </is>
      </c>
    </row>
    <row r="2531">
      <c r="A2531" t="inlineStr">
        <is>
          <t>BBG01RK4YVZ4 Equity</t>
        </is>
      </c>
      <c r="B2531" t="inlineStr">
        <is>
          <t>TSLA US 01/17/25 P367.5</t>
        </is>
      </c>
      <c r="C2531" t="inlineStr">
        <is>
          <t>2025-01-17</t>
        </is>
      </c>
      <c r="D2531" t="n">
        <v>367.5</v>
      </c>
      <c r="E2531" t="inlineStr">
        <is>
          <t>BBG01RK4YVZ4</t>
        </is>
      </c>
    </row>
    <row r="2532">
      <c r="A2532" t="inlineStr">
        <is>
          <t>BBG019LH7B97 Equity</t>
        </is>
      </c>
      <c r="B2532" t="inlineStr">
        <is>
          <t>TSLA US 01/17/25 P370</t>
        </is>
      </c>
      <c r="C2532" t="inlineStr">
        <is>
          <t>2025-01-17</t>
        </is>
      </c>
      <c r="D2532" t="n">
        <v>370</v>
      </c>
      <c r="E2532" t="inlineStr">
        <is>
          <t>BBG019LH7B97</t>
        </is>
      </c>
    </row>
    <row r="2533">
      <c r="A2533" t="inlineStr">
        <is>
          <t>BBG01RK4YS18 Equity</t>
        </is>
      </c>
      <c r="B2533" t="inlineStr">
        <is>
          <t>TSLA US 01/17/25 P372.5</t>
        </is>
      </c>
      <c r="C2533" t="inlineStr">
        <is>
          <t>2025-01-17</t>
        </is>
      </c>
      <c r="D2533" t="n">
        <v>372.5</v>
      </c>
      <c r="E2533" t="inlineStr">
        <is>
          <t>BBG01RK4YS18</t>
        </is>
      </c>
    </row>
    <row r="2534">
      <c r="A2534" t="inlineStr">
        <is>
          <t>BBG01QJMKNQ1 Equity</t>
        </is>
      </c>
      <c r="B2534" t="inlineStr">
        <is>
          <t>TSLA US 01/17/25 P375</t>
        </is>
      </c>
      <c r="C2534" t="inlineStr">
        <is>
          <t>2025-01-17</t>
        </is>
      </c>
      <c r="D2534" t="n">
        <v>375</v>
      </c>
      <c r="E2534" t="inlineStr">
        <is>
          <t>BBG01QJMKNQ1</t>
        </is>
      </c>
    </row>
    <row r="2535">
      <c r="A2535" t="inlineStr">
        <is>
          <t>BBG01RK4Z919 Equity</t>
        </is>
      </c>
      <c r="B2535" t="inlineStr">
        <is>
          <t>TSLA US 01/17/25 P377.5</t>
        </is>
      </c>
      <c r="C2535" t="inlineStr">
        <is>
          <t>2025-01-17</t>
        </is>
      </c>
      <c r="D2535" t="n">
        <v>377.5</v>
      </c>
      <c r="E2535" t="inlineStr">
        <is>
          <t>BBG01RK4Z919</t>
        </is>
      </c>
    </row>
    <row r="2536">
      <c r="A2536" t="inlineStr">
        <is>
          <t>BBG019LH7CD0 Equity</t>
        </is>
      </c>
      <c r="B2536" t="inlineStr">
        <is>
          <t>TSLA US 01/17/25 P380</t>
        </is>
      </c>
      <c r="C2536" t="inlineStr">
        <is>
          <t>2025-01-17</t>
        </is>
      </c>
      <c r="D2536" t="n">
        <v>380</v>
      </c>
      <c r="E2536" t="inlineStr">
        <is>
          <t>BBG019LH7CD0</t>
        </is>
      </c>
    </row>
    <row r="2537">
      <c r="A2537" t="inlineStr">
        <is>
          <t>BBG01RK4Z9L7 Equity</t>
        </is>
      </c>
      <c r="B2537" t="inlineStr">
        <is>
          <t>TSLA US 01/17/25 P382.5</t>
        </is>
      </c>
      <c r="C2537" t="inlineStr">
        <is>
          <t>2025-01-17</t>
        </is>
      </c>
      <c r="D2537" t="n">
        <v>382.5</v>
      </c>
      <c r="E2537" t="inlineStr">
        <is>
          <t>BBG01RK4Z9L7</t>
        </is>
      </c>
    </row>
    <row r="2538">
      <c r="A2538" t="inlineStr">
        <is>
          <t>BBG01QJMKN36 Equity</t>
        </is>
      </c>
      <c r="B2538" t="inlineStr">
        <is>
          <t>TSLA US 01/17/25 P385</t>
        </is>
      </c>
      <c r="C2538" t="inlineStr">
        <is>
          <t>2025-01-17</t>
        </is>
      </c>
      <c r="D2538" t="n">
        <v>385</v>
      </c>
      <c r="E2538" t="inlineStr">
        <is>
          <t>BBG01QJMKN36</t>
        </is>
      </c>
    </row>
    <row r="2539">
      <c r="A2539" t="inlineStr">
        <is>
          <t>BBG01RK4Z6K4 Equity</t>
        </is>
      </c>
      <c r="B2539" t="inlineStr">
        <is>
          <t>TSLA US 01/17/25 P387.5</t>
        </is>
      </c>
      <c r="C2539" t="inlineStr">
        <is>
          <t>2025-01-17</t>
        </is>
      </c>
      <c r="D2539" t="n">
        <v>387.5</v>
      </c>
      <c r="E2539" t="inlineStr">
        <is>
          <t>BBG01RK4Z6K4</t>
        </is>
      </c>
    </row>
    <row r="2540">
      <c r="A2540" t="inlineStr">
        <is>
          <t>BBG019LH7DH4 Equity</t>
        </is>
      </c>
      <c r="B2540" t="inlineStr">
        <is>
          <t>TSLA US 01/17/25 P390</t>
        </is>
      </c>
      <c r="C2540" t="inlineStr">
        <is>
          <t>2025-01-17</t>
        </is>
      </c>
      <c r="D2540" t="n">
        <v>390</v>
      </c>
      <c r="E2540" t="inlineStr">
        <is>
          <t>BBG019LH7DH4</t>
        </is>
      </c>
    </row>
    <row r="2541">
      <c r="A2541" t="inlineStr">
        <is>
          <t>BBG01RK4ZW18 Equity</t>
        </is>
      </c>
      <c r="B2541" t="inlineStr">
        <is>
          <t>TSLA US 01/17/25 P392.5</t>
        </is>
      </c>
      <c r="C2541" t="inlineStr">
        <is>
          <t>2025-01-17</t>
        </is>
      </c>
      <c r="D2541" t="n">
        <v>392.5</v>
      </c>
      <c r="E2541" t="inlineStr">
        <is>
          <t>BBG01RK4ZW18</t>
        </is>
      </c>
    </row>
    <row r="2542">
      <c r="A2542" t="inlineStr">
        <is>
          <t>BBG01QJMJZH6 Equity</t>
        </is>
      </c>
      <c r="B2542" t="inlineStr">
        <is>
          <t>TSLA US 01/17/25 P395</t>
        </is>
      </c>
      <c r="C2542" t="inlineStr">
        <is>
          <t>2025-01-17</t>
        </is>
      </c>
      <c r="D2542" t="n">
        <v>395</v>
      </c>
      <c r="E2542" t="inlineStr">
        <is>
          <t>BBG01QJMJZH6</t>
        </is>
      </c>
    </row>
    <row r="2543">
      <c r="A2543" t="inlineStr">
        <is>
          <t>BBG01RK4YSL6 Equity</t>
        </is>
      </c>
      <c r="B2543" t="inlineStr">
        <is>
          <t>TSLA US 01/17/25 P397.5</t>
        </is>
      </c>
      <c r="C2543" t="inlineStr">
        <is>
          <t>2025-01-17</t>
        </is>
      </c>
      <c r="D2543" t="n">
        <v>397.5</v>
      </c>
      <c r="E2543" t="inlineStr">
        <is>
          <t>BBG01RK4YSL6</t>
        </is>
      </c>
    </row>
    <row r="2544">
      <c r="A2544" t="inlineStr">
        <is>
          <t>BBG019LH7FM3 Equity</t>
        </is>
      </c>
      <c r="B2544" t="inlineStr">
        <is>
          <t>TSLA US 01/17/25 P400</t>
        </is>
      </c>
      <c r="C2544" t="inlineStr">
        <is>
          <t>2025-01-17</t>
        </is>
      </c>
      <c r="D2544" t="n">
        <v>400</v>
      </c>
      <c r="E2544" t="inlineStr">
        <is>
          <t>BBG019LH7FM3</t>
        </is>
      </c>
    </row>
    <row r="2545">
      <c r="A2545" t="inlineStr">
        <is>
          <t>BBG01RK4ZVH3 Equity</t>
        </is>
      </c>
      <c r="B2545" t="inlineStr">
        <is>
          <t>TSLA US 01/17/25 P402.5</t>
        </is>
      </c>
      <c r="C2545" t="inlineStr">
        <is>
          <t>2025-01-17</t>
        </is>
      </c>
      <c r="D2545" t="n">
        <v>402.5</v>
      </c>
      <c r="E2545" t="inlineStr">
        <is>
          <t>BBG01RK4ZVH3</t>
        </is>
      </c>
    </row>
    <row r="2546">
      <c r="A2546" t="inlineStr">
        <is>
          <t>BBG01QQNCT05 Equity</t>
        </is>
      </c>
      <c r="B2546" t="inlineStr">
        <is>
          <t>TSLA US 01/17/25 P405</t>
        </is>
      </c>
      <c r="C2546" t="inlineStr">
        <is>
          <t>2025-01-17</t>
        </is>
      </c>
      <c r="D2546" t="n">
        <v>405</v>
      </c>
      <c r="E2546" t="inlineStr">
        <is>
          <t>BBG01QQNCT05</t>
        </is>
      </c>
    </row>
    <row r="2547">
      <c r="A2547" t="inlineStr">
        <is>
          <t>BBG01RK4ZP31 Equity</t>
        </is>
      </c>
      <c r="B2547" t="inlineStr">
        <is>
          <t>TSLA US 01/17/25 P407.5</t>
        </is>
      </c>
      <c r="C2547" t="inlineStr">
        <is>
          <t>2025-01-17</t>
        </is>
      </c>
      <c r="D2547" t="n">
        <v>407.5</v>
      </c>
      <c r="E2547" t="inlineStr">
        <is>
          <t>BBG01RK4ZP31</t>
        </is>
      </c>
    </row>
    <row r="2548">
      <c r="A2548" t="inlineStr">
        <is>
          <t>BBG019LH7GQ7 Equity</t>
        </is>
      </c>
      <c r="B2548" t="inlineStr">
        <is>
          <t>TSLA US 01/17/25 P410</t>
        </is>
      </c>
      <c r="C2548" t="inlineStr">
        <is>
          <t>2025-01-17</t>
        </is>
      </c>
      <c r="D2548" t="n">
        <v>410</v>
      </c>
      <c r="E2548" t="inlineStr">
        <is>
          <t>BBG019LH7GQ7</t>
        </is>
      </c>
    </row>
    <row r="2549">
      <c r="A2549" t="inlineStr">
        <is>
          <t>BBG01RK4YX26 Equity</t>
        </is>
      </c>
      <c r="B2549" t="inlineStr">
        <is>
          <t>TSLA US 01/17/25 P412.5</t>
        </is>
      </c>
      <c r="C2549" t="inlineStr">
        <is>
          <t>2025-01-17</t>
        </is>
      </c>
      <c r="D2549" t="n">
        <v>412.5</v>
      </c>
      <c r="E2549" t="inlineStr">
        <is>
          <t>BBG01RK4YX26</t>
        </is>
      </c>
    </row>
    <row r="2550">
      <c r="A2550" t="inlineStr">
        <is>
          <t>BBG01QQNDWM3 Equity</t>
        </is>
      </c>
      <c r="B2550" t="inlineStr">
        <is>
          <t>TSLA US 01/17/25 P415</t>
        </is>
      </c>
      <c r="C2550" t="inlineStr">
        <is>
          <t>2025-01-17</t>
        </is>
      </c>
      <c r="D2550" t="n">
        <v>415</v>
      </c>
      <c r="E2550" t="inlineStr">
        <is>
          <t>BBG01QQNDWM3</t>
        </is>
      </c>
    </row>
    <row r="2551">
      <c r="A2551" t="inlineStr">
        <is>
          <t>BBG01RGLK3S6 Equity</t>
        </is>
      </c>
      <c r="B2551" t="inlineStr">
        <is>
          <t>TSLA US 01/17/25 P417.5</t>
        </is>
      </c>
      <c r="C2551" t="inlineStr">
        <is>
          <t>2025-01-17</t>
        </is>
      </c>
      <c r="D2551" t="n">
        <v>417.5</v>
      </c>
      <c r="E2551" t="inlineStr">
        <is>
          <t>BBG01RGLK3S6</t>
        </is>
      </c>
    </row>
    <row r="2552">
      <c r="A2552" t="inlineStr">
        <is>
          <t>BBG019LH7HT2 Equity</t>
        </is>
      </c>
      <c r="B2552" t="inlineStr">
        <is>
          <t>TSLA US 01/17/25 P420</t>
        </is>
      </c>
      <c r="C2552" t="inlineStr">
        <is>
          <t>2025-01-17</t>
        </is>
      </c>
      <c r="D2552" t="n">
        <v>420</v>
      </c>
      <c r="E2552" t="inlineStr">
        <is>
          <t>BBG019LH7HT2</t>
        </is>
      </c>
    </row>
    <row r="2553">
      <c r="A2553" t="inlineStr">
        <is>
          <t>BBG01RGLLJ46 Equity</t>
        </is>
      </c>
      <c r="B2553" t="inlineStr">
        <is>
          <t>TSLA US 01/17/25 P422.5</t>
        </is>
      </c>
      <c r="C2553" t="inlineStr">
        <is>
          <t>2025-01-17</t>
        </is>
      </c>
      <c r="D2553" t="n">
        <v>422.5</v>
      </c>
      <c r="E2553" t="inlineStr">
        <is>
          <t>BBG01RGLLJ46</t>
        </is>
      </c>
    </row>
    <row r="2554">
      <c r="A2554" t="inlineStr">
        <is>
          <t>BBG01QQNCTM1 Equity</t>
        </is>
      </c>
      <c r="B2554" t="inlineStr">
        <is>
          <t>TSLA US 01/17/25 P425</t>
        </is>
      </c>
      <c r="C2554" t="inlineStr">
        <is>
          <t>2025-01-17</t>
        </is>
      </c>
      <c r="D2554" t="n">
        <v>425</v>
      </c>
      <c r="E2554" t="inlineStr">
        <is>
          <t>BBG01QQNCTM1</t>
        </is>
      </c>
    </row>
    <row r="2555">
      <c r="A2555" t="inlineStr">
        <is>
          <t>BBG01RGLK501 Equity</t>
        </is>
      </c>
      <c r="B2555" t="inlineStr">
        <is>
          <t>TSLA US 01/17/25 P427.5</t>
        </is>
      </c>
      <c r="C2555" t="inlineStr">
        <is>
          <t>2025-01-17</t>
        </is>
      </c>
      <c r="D2555" t="n">
        <v>427.5</v>
      </c>
      <c r="E2555" t="inlineStr">
        <is>
          <t>BBG01RGLK501</t>
        </is>
      </c>
    </row>
    <row r="2556">
      <c r="A2556" t="inlineStr">
        <is>
          <t>BBG019LH7JY2 Equity</t>
        </is>
      </c>
      <c r="B2556" t="inlineStr">
        <is>
          <t>TSLA US 01/17/25 P430</t>
        </is>
      </c>
      <c r="C2556" t="inlineStr">
        <is>
          <t>2025-01-17</t>
        </is>
      </c>
      <c r="D2556" t="n">
        <v>430</v>
      </c>
      <c r="E2556" t="inlineStr">
        <is>
          <t>BBG019LH7JY2</t>
        </is>
      </c>
    </row>
    <row r="2557">
      <c r="A2557" t="inlineStr">
        <is>
          <t>BBG01RGLLJR1 Equity</t>
        </is>
      </c>
      <c r="B2557" t="inlineStr">
        <is>
          <t>TSLA US 01/17/25 P432.5</t>
        </is>
      </c>
      <c r="C2557" t="inlineStr">
        <is>
          <t>2025-01-17</t>
        </is>
      </c>
      <c r="D2557" t="n">
        <v>432.5</v>
      </c>
      <c r="E2557" t="inlineStr">
        <is>
          <t>BBG01RGLLJR1</t>
        </is>
      </c>
    </row>
    <row r="2558">
      <c r="A2558" t="inlineStr">
        <is>
          <t>BBG01QQNDX78 Equity</t>
        </is>
      </c>
      <c r="B2558" t="inlineStr">
        <is>
          <t>TSLA US 01/17/25 P435</t>
        </is>
      </c>
      <c r="C2558" t="inlineStr">
        <is>
          <t>2025-01-17</t>
        </is>
      </c>
      <c r="D2558" t="n">
        <v>435</v>
      </c>
      <c r="E2558" t="inlineStr">
        <is>
          <t>BBG01QQNDX78</t>
        </is>
      </c>
    </row>
    <row r="2559">
      <c r="A2559" t="inlineStr">
        <is>
          <t>BBG01RGLLFC5 Equity</t>
        </is>
      </c>
      <c r="B2559" t="inlineStr">
        <is>
          <t>TSLA US 01/17/25 P437.5</t>
        </is>
      </c>
      <c r="C2559" t="inlineStr">
        <is>
          <t>2025-01-17</t>
        </is>
      </c>
      <c r="D2559" t="n">
        <v>437.5</v>
      </c>
      <c r="E2559" t="inlineStr">
        <is>
          <t>BBG01RGLLFC5</t>
        </is>
      </c>
    </row>
    <row r="2560">
      <c r="A2560" t="inlineStr">
        <is>
          <t>BBG019LH7L13 Equity</t>
        </is>
      </c>
      <c r="B2560" t="inlineStr">
        <is>
          <t>TSLA US 01/17/25 P440</t>
        </is>
      </c>
      <c r="C2560" t="inlineStr">
        <is>
          <t>2025-01-17</t>
        </is>
      </c>
      <c r="D2560" t="n">
        <v>440</v>
      </c>
      <c r="E2560" t="inlineStr">
        <is>
          <t>BBG019LH7L13</t>
        </is>
      </c>
    </row>
    <row r="2561">
      <c r="A2561" t="inlineStr">
        <is>
          <t>BBG01RGLLKC4 Equity</t>
        </is>
      </c>
      <c r="B2561" t="inlineStr">
        <is>
          <t>TSLA US 01/17/25 P442.5</t>
        </is>
      </c>
      <c r="C2561" t="inlineStr">
        <is>
          <t>2025-01-17</t>
        </is>
      </c>
      <c r="D2561" t="n">
        <v>442.5</v>
      </c>
      <c r="E2561" t="inlineStr">
        <is>
          <t>BBG01RGLLKC4</t>
        </is>
      </c>
    </row>
    <row r="2562">
      <c r="A2562" t="inlineStr">
        <is>
          <t>BBG01QWFPJT2 Equity</t>
        </is>
      </c>
      <c r="B2562" t="inlineStr">
        <is>
          <t>TSLA US 01/17/25 P445</t>
        </is>
      </c>
      <c r="C2562" t="inlineStr">
        <is>
          <t>2025-01-17</t>
        </is>
      </c>
      <c r="D2562" t="n">
        <v>445</v>
      </c>
      <c r="E2562" t="inlineStr">
        <is>
          <t>BBG01QWFPJT2</t>
        </is>
      </c>
    </row>
    <row r="2563">
      <c r="A2563" t="inlineStr">
        <is>
          <t>BBG01RGLKG70 Equity</t>
        </is>
      </c>
      <c r="B2563" t="inlineStr">
        <is>
          <t>TSLA US 01/17/25 P447.5</t>
        </is>
      </c>
      <c r="C2563" t="inlineStr">
        <is>
          <t>2025-01-17</t>
        </is>
      </c>
      <c r="D2563" t="n">
        <v>447.5</v>
      </c>
      <c r="E2563" t="inlineStr">
        <is>
          <t>BBG01RGLKG70</t>
        </is>
      </c>
    </row>
    <row r="2564">
      <c r="A2564" t="inlineStr">
        <is>
          <t>BBG019LH7M57 Equity</t>
        </is>
      </c>
      <c r="B2564" t="inlineStr">
        <is>
          <t>TSLA US 01/17/25 P450</t>
        </is>
      </c>
      <c r="C2564" t="inlineStr">
        <is>
          <t>2025-01-17</t>
        </is>
      </c>
      <c r="D2564" t="n">
        <v>450</v>
      </c>
      <c r="E2564" t="inlineStr">
        <is>
          <t>BBG019LH7M57</t>
        </is>
      </c>
    </row>
    <row r="2565">
      <c r="A2565" t="inlineStr">
        <is>
          <t>BBG01RGLK351 Equity</t>
        </is>
      </c>
      <c r="B2565" t="inlineStr">
        <is>
          <t>TSLA US 01/17/25 P452.5</t>
        </is>
      </c>
      <c r="C2565" t="inlineStr">
        <is>
          <t>2025-01-17</t>
        </is>
      </c>
      <c r="D2565" t="n">
        <v>452.5</v>
      </c>
      <c r="E2565" t="inlineStr">
        <is>
          <t>BBG01RGLK351</t>
        </is>
      </c>
    </row>
    <row r="2566">
      <c r="A2566" t="inlineStr">
        <is>
          <t>BBG01QWFMPQ4 Equity</t>
        </is>
      </c>
      <c r="B2566" t="inlineStr">
        <is>
          <t>TSLA US 01/17/25 P455</t>
        </is>
      </c>
      <c r="C2566" t="inlineStr">
        <is>
          <t>2025-01-17</t>
        </is>
      </c>
      <c r="D2566" t="n">
        <v>455</v>
      </c>
      <c r="E2566" t="inlineStr">
        <is>
          <t>BBG01QWFMPQ4</t>
        </is>
      </c>
    </row>
    <row r="2567">
      <c r="A2567" t="inlineStr">
        <is>
          <t>BBG01RGLKFM5 Equity</t>
        </is>
      </c>
      <c r="B2567" t="inlineStr">
        <is>
          <t>TSLA US 01/17/25 P457.5</t>
        </is>
      </c>
      <c r="C2567" t="inlineStr">
        <is>
          <t>2025-01-17</t>
        </is>
      </c>
      <c r="D2567" t="n">
        <v>457.5</v>
      </c>
      <c r="E2567" t="inlineStr">
        <is>
          <t>BBG01RGLKFM5</t>
        </is>
      </c>
    </row>
    <row r="2568">
      <c r="A2568" t="inlineStr">
        <is>
          <t>BBG019M194T3 Equity</t>
        </is>
      </c>
      <c r="B2568" t="inlineStr">
        <is>
          <t>TSLA US 01/17/25 P460</t>
        </is>
      </c>
      <c r="C2568" t="inlineStr">
        <is>
          <t>2025-01-17</t>
        </is>
      </c>
      <c r="D2568" t="n">
        <v>460</v>
      </c>
      <c r="E2568" t="inlineStr">
        <is>
          <t>BBG019M194T3</t>
        </is>
      </c>
    </row>
    <row r="2569">
      <c r="A2569" t="inlineStr">
        <is>
          <t>BBG01RGLK4D0 Equity</t>
        </is>
      </c>
      <c r="B2569" t="inlineStr">
        <is>
          <t>TSLA US 01/17/25 P462.5</t>
        </is>
      </c>
      <c r="C2569" t="inlineStr">
        <is>
          <t>2025-01-17</t>
        </is>
      </c>
      <c r="D2569" t="n">
        <v>462.5</v>
      </c>
      <c r="E2569" t="inlineStr">
        <is>
          <t>BBG01RGLK4D0</t>
        </is>
      </c>
    </row>
    <row r="2570">
      <c r="A2570" t="inlineStr">
        <is>
          <t>BBG01QWFMP39 Equity</t>
        </is>
      </c>
      <c r="B2570" t="inlineStr">
        <is>
          <t>TSLA US 01/17/25 P465</t>
        </is>
      </c>
      <c r="C2570" t="inlineStr">
        <is>
          <t>2025-01-17</t>
        </is>
      </c>
      <c r="D2570" t="n">
        <v>465</v>
      </c>
      <c r="E2570" t="inlineStr">
        <is>
          <t>BBG01QWFMP39</t>
        </is>
      </c>
    </row>
    <row r="2571">
      <c r="A2571" t="inlineStr">
        <is>
          <t>BBG019M19645 Equity</t>
        </is>
      </c>
      <c r="B2571" t="inlineStr">
        <is>
          <t>TSLA US 01/17/25 P470</t>
        </is>
      </c>
      <c r="C2571" t="inlineStr">
        <is>
          <t>2025-01-17</t>
        </is>
      </c>
      <c r="D2571" t="n">
        <v>470</v>
      </c>
      <c r="E2571" t="inlineStr">
        <is>
          <t>BBG019M19645</t>
        </is>
      </c>
    </row>
    <row r="2572">
      <c r="A2572" t="inlineStr">
        <is>
          <t>BBG01QWFMQB8 Equity</t>
        </is>
      </c>
      <c r="B2572" t="inlineStr">
        <is>
          <t>TSLA US 01/17/25 P475</t>
        </is>
      </c>
      <c r="C2572" t="inlineStr">
        <is>
          <t>2025-01-17</t>
        </is>
      </c>
      <c r="D2572" t="n">
        <v>475</v>
      </c>
      <c r="E2572" t="inlineStr">
        <is>
          <t>BBG01QWFMQB8</t>
        </is>
      </c>
    </row>
    <row r="2573">
      <c r="A2573" t="inlineStr">
        <is>
          <t>BBG019M19770 Equity</t>
        </is>
      </c>
      <c r="B2573" t="inlineStr">
        <is>
          <t>TSLA US 01/17/25 P480</t>
        </is>
      </c>
      <c r="C2573" t="inlineStr">
        <is>
          <t>2025-01-17</t>
        </is>
      </c>
      <c r="D2573" t="n">
        <v>480</v>
      </c>
      <c r="E2573" t="inlineStr">
        <is>
          <t>BBG019M19770</t>
        </is>
      </c>
    </row>
    <row r="2574">
      <c r="A2574" t="inlineStr">
        <is>
          <t>BBG01QWFMQY3 Equity</t>
        </is>
      </c>
      <c r="B2574" t="inlineStr">
        <is>
          <t>TSLA US 01/17/25 P485</t>
        </is>
      </c>
      <c r="C2574" t="inlineStr">
        <is>
          <t>2025-01-17</t>
        </is>
      </c>
      <c r="D2574" t="n">
        <v>485</v>
      </c>
      <c r="E2574" t="inlineStr">
        <is>
          <t>BBG01QWFMQY3</t>
        </is>
      </c>
    </row>
    <row r="2575">
      <c r="A2575" t="inlineStr">
        <is>
          <t>BBG019M198B3 Equity</t>
        </is>
      </c>
      <c r="B2575" t="inlineStr">
        <is>
          <t>TSLA US 01/17/25 P490</t>
        </is>
      </c>
      <c r="C2575" t="inlineStr">
        <is>
          <t>2025-01-17</t>
        </is>
      </c>
      <c r="D2575" t="n">
        <v>490</v>
      </c>
      <c r="E2575" t="inlineStr">
        <is>
          <t>BBG019M198B3</t>
        </is>
      </c>
    </row>
    <row r="2576">
      <c r="A2576" t="inlineStr">
        <is>
          <t>BBG01QY8NLB2 Equity</t>
        </is>
      </c>
      <c r="B2576" t="inlineStr">
        <is>
          <t>TSLA US 01/17/25 P495</t>
        </is>
      </c>
      <c r="C2576" t="inlineStr">
        <is>
          <t>2025-01-17</t>
        </is>
      </c>
      <c r="D2576" t="n">
        <v>495</v>
      </c>
      <c r="E2576" t="inlineStr">
        <is>
          <t>BBG01QY8NLB2</t>
        </is>
      </c>
    </row>
    <row r="2577">
      <c r="A2577" t="inlineStr">
        <is>
          <t>BBG019LH7N82 Equity</t>
        </is>
      </c>
      <c r="B2577" t="inlineStr">
        <is>
          <t>TSLA US 01/17/25 P500</t>
        </is>
      </c>
      <c r="C2577" t="inlineStr">
        <is>
          <t>2025-01-17</t>
        </is>
      </c>
      <c r="D2577" t="n">
        <v>500</v>
      </c>
      <c r="E2577" t="inlineStr">
        <is>
          <t>BBG019LH7N82</t>
        </is>
      </c>
    </row>
    <row r="2578">
      <c r="A2578" t="inlineStr">
        <is>
          <t>BBG01QY8NLY7 Equity</t>
        </is>
      </c>
      <c r="B2578" t="inlineStr">
        <is>
          <t>TSLA US 01/17/25 P505</t>
        </is>
      </c>
      <c r="C2578" t="inlineStr">
        <is>
          <t>2025-01-17</t>
        </is>
      </c>
      <c r="D2578" t="n">
        <v>505</v>
      </c>
      <c r="E2578" t="inlineStr">
        <is>
          <t>BBG01QY8NLY7</t>
        </is>
      </c>
    </row>
    <row r="2579">
      <c r="A2579" t="inlineStr">
        <is>
          <t>BBG019M199G6 Equity</t>
        </is>
      </c>
      <c r="B2579" t="inlineStr">
        <is>
          <t>TSLA US 01/17/25 P510</t>
        </is>
      </c>
      <c r="C2579" t="inlineStr">
        <is>
          <t>2025-01-17</t>
        </is>
      </c>
      <c r="D2579" t="n">
        <v>510</v>
      </c>
      <c r="E2579" t="inlineStr">
        <is>
          <t>BBG019M199G6</t>
        </is>
      </c>
    </row>
    <row r="2580">
      <c r="A2580" t="inlineStr">
        <is>
          <t>BBG01R5RVQ66 Equity</t>
        </is>
      </c>
      <c r="B2580" t="inlineStr">
        <is>
          <t>TSLA US 01/17/25 P515</t>
        </is>
      </c>
      <c r="C2580" t="inlineStr">
        <is>
          <t>2025-01-17</t>
        </is>
      </c>
      <c r="D2580" t="n">
        <v>515</v>
      </c>
      <c r="E2580" t="inlineStr">
        <is>
          <t>BBG01R5RVQ66</t>
        </is>
      </c>
    </row>
    <row r="2581">
      <c r="A2581" t="inlineStr">
        <is>
          <t>BBG019M19BK6 Equity</t>
        </is>
      </c>
      <c r="B2581" t="inlineStr">
        <is>
          <t>TSLA US 01/17/25 P520</t>
        </is>
      </c>
      <c r="C2581" t="inlineStr">
        <is>
          <t>2025-01-17</t>
        </is>
      </c>
      <c r="D2581" t="n">
        <v>520</v>
      </c>
      <c r="E2581" t="inlineStr">
        <is>
          <t>BBG019M19BK6</t>
        </is>
      </c>
    </row>
    <row r="2582">
      <c r="A2582" t="inlineStr">
        <is>
          <t>BBG01NMLF5C6 Equity</t>
        </is>
      </c>
      <c r="B2582" t="inlineStr">
        <is>
          <t>TSLA US 02/21/25 P210</t>
        </is>
      </c>
      <c r="C2582" t="inlineStr">
        <is>
          <t>2025-02-21</t>
        </is>
      </c>
      <c r="D2582" t="n">
        <v>210</v>
      </c>
      <c r="E2582" t="inlineStr">
        <is>
          <t>BBG01NMLF5C6</t>
        </is>
      </c>
    </row>
    <row r="2583">
      <c r="A2583" t="inlineStr">
        <is>
          <t>BBG01NMLFSZ1 Equity</t>
        </is>
      </c>
      <c r="B2583" t="inlineStr">
        <is>
          <t>TSLA US 02/21/25 P215</t>
        </is>
      </c>
      <c r="C2583" t="inlineStr">
        <is>
          <t>2025-02-21</t>
        </is>
      </c>
      <c r="D2583" t="n">
        <v>215</v>
      </c>
      <c r="E2583" t="inlineStr">
        <is>
          <t>BBG01NMLFSZ1</t>
        </is>
      </c>
    </row>
    <row r="2584">
      <c r="A2584" t="inlineStr">
        <is>
          <t>BBG01NMLFQ85 Equity</t>
        </is>
      </c>
      <c r="B2584" t="inlineStr">
        <is>
          <t>TSLA US 02/21/25 P220</t>
        </is>
      </c>
      <c r="C2584" t="inlineStr">
        <is>
          <t>2025-02-21</t>
        </is>
      </c>
      <c r="D2584" t="n">
        <v>220</v>
      </c>
      <c r="E2584" t="inlineStr">
        <is>
          <t>BBG01NMLFQ85</t>
        </is>
      </c>
    </row>
    <row r="2585">
      <c r="A2585" t="inlineStr">
        <is>
          <t>BBG01NMLGK87 Equity</t>
        </is>
      </c>
      <c r="B2585" t="inlineStr">
        <is>
          <t>TSLA US 02/21/25 P225</t>
        </is>
      </c>
      <c r="C2585" t="inlineStr">
        <is>
          <t>2025-02-21</t>
        </is>
      </c>
      <c r="D2585" t="n">
        <v>225</v>
      </c>
      <c r="E2585" t="inlineStr">
        <is>
          <t>BBG01NMLGK87</t>
        </is>
      </c>
    </row>
    <row r="2586">
      <c r="A2586" t="inlineStr">
        <is>
          <t>BBG01NMLFXN3 Equity</t>
        </is>
      </c>
      <c r="B2586" t="inlineStr">
        <is>
          <t>TSLA US 02/21/25 P230</t>
        </is>
      </c>
      <c r="C2586" t="inlineStr">
        <is>
          <t>2025-02-21</t>
        </is>
      </c>
      <c r="D2586" t="n">
        <v>230</v>
      </c>
      <c r="E2586" t="inlineStr">
        <is>
          <t>BBG01NMLFXN3</t>
        </is>
      </c>
    </row>
    <row r="2587">
      <c r="A2587" t="inlineStr">
        <is>
          <t>BBG01NMLGML8 Equity</t>
        </is>
      </c>
      <c r="B2587" t="inlineStr">
        <is>
          <t>TSLA US 02/21/25 P235</t>
        </is>
      </c>
      <c r="C2587" t="inlineStr">
        <is>
          <t>2025-02-21</t>
        </is>
      </c>
      <c r="D2587" t="n">
        <v>235</v>
      </c>
      <c r="E2587" t="inlineStr">
        <is>
          <t>BBG01NMLGML8</t>
        </is>
      </c>
    </row>
    <row r="2588">
      <c r="A2588" t="inlineStr">
        <is>
          <t>BBG01NMLFFL4 Equity</t>
        </is>
      </c>
      <c r="B2588" t="inlineStr">
        <is>
          <t>TSLA US 02/21/25 P240</t>
        </is>
      </c>
      <c r="C2588" t="inlineStr">
        <is>
          <t>2025-02-21</t>
        </is>
      </c>
      <c r="D2588" t="n">
        <v>240</v>
      </c>
      <c r="E2588" t="inlineStr">
        <is>
          <t>BBG01NMLFFL4</t>
        </is>
      </c>
    </row>
    <row r="2589">
      <c r="A2589" t="inlineStr">
        <is>
          <t>BBG01NMLFZ67 Equity</t>
        </is>
      </c>
      <c r="B2589" t="inlineStr">
        <is>
          <t>TSLA US 02/21/25 P245</t>
        </is>
      </c>
      <c r="C2589" t="inlineStr">
        <is>
          <t>2025-02-21</t>
        </is>
      </c>
      <c r="D2589" t="n">
        <v>245</v>
      </c>
      <c r="E2589" t="inlineStr">
        <is>
          <t>BBG01NMLFZ67</t>
        </is>
      </c>
    </row>
    <row r="2590">
      <c r="A2590" t="inlineStr">
        <is>
          <t>BBG01NMLFG50 Equity</t>
        </is>
      </c>
      <c r="B2590" t="inlineStr">
        <is>
          <t>TSLA US 02/21/25 P250</t>
        </is>
      </c>
      <c r="C2590" t="inlineStr">
        <is>
          <t>2025-02-21</t>
        </is>
      </c>
      <c r="D2590" t="n">
        <v>250</v>
      </c>
      <c r="E2590" t="inlineStr">
        <is>
          <t>BBG01NMLFG50</t>
        </is>
      </c>
    </row>
    <row r="2591">
      <c r="A2591" t="inlineStr">
        <is>
          <t>BBG01NMLG0C6 Equity</t>
        </is>
      </c>
      <c r="B2591" t="inlineStr">
        <is>
          <t>TSLA US 02/21/25 P255</t>
        </is>
      </c>
      <c r="C2591" t="inlineStr">
        <is>
          <t>2025-02-21</t>
        </is>
      </c>
      <c r="D2591" t="n">
        <v>255</v>
      </c>
      <c r="E2591" t="inlineStr">
        <is>
          <t>BBG01NMLG0C6</t>
        </is>
      </c>
    </row>
    <row r="2592">
      <c r="A2592" t="inlineStr">
        <is>
          <t>BBG01NMLFL77 Equity</t>
        </is>
      </c>
      <c r="B2592" t="inlineStr">
        <is>
          <t>TSLA US 02/21/25 P260</t>
        </is>
      </c>
      <c r="C2592" t="inlineStr">
        <is>
          <t>2025-02-21</t>
        </is>
      </c>
      <c r="D2592" t="n">
        <v>260</v>
      </c>
      <c r="E2592" t="inlineStr">
        <is>
          <t>BBG01NMLFL77</t>
        </is>
      </c>
    </row>
    <row r="2593">
      <c r="A2593" t="inlineStr">
        <is>
          <t>BBG01NMLGP13 Equity</t>
        </is>
      </c>
      <c r="B2593" t="inlineStr">
        <is>
          <t>TSLA US 02/21/25 P265</t>
        </is>
      </c>
      <c r="C2593" t="inlineStr">
        <is>
          <t>2025-02-21</t>
        </is>
      </c>
      <c r="D2593" t="n">
        <v>265</v>
      </c>
      <c r="E2593" t="inlineStr">
        <is>
          <t>BBG01NMLGP13</t>
        </is>
      </c>
    </row>
    <row r="2594">
      <c r="A2594" t="inlineStr">
        <is>
          <t>BBG01NMLGRJ0 Equity</t>
        </is>
      </c>
      <c r="B2594" t="inlineStr">
        <is>
          <t>TSLA US 02/21/25 P270</t>
        </is>
      </c>
      <c r="C2594" t="inlineStr">
        <is>
          <t>2025-02-21</t>
        </is>
      </c>
      <c r="D2594" t="n">
        <v>270</v>
      </c>
      <c r="E2594" t="inlineStr">
        <is>
          <t>BBG01NMLGRJ0</t>
        </is>
      </c>
    </row>
    <row r="2595">
      <c r="A2595" t="inlineStr">
        <is>
          <t>BBG01NMLFZS3 Equity</t>
        </is>
      </c>
      <c r="B2595" t="inlineStr">
        <is>
          <t>TSLA US 02/21/25 P275</t>
        </is>
      </c>
      <c r="C2595" t="inlineStr">
        <is>
          <t>2025-02-21</t>
        </is>
      </c>
      <c r="D2595" t="n">
        <v>275</v>
      </c>
      <c r="E2595" t="inlineStr">
        <is>
          <t>BBG01NMLFZS3</t>
        </is>
      </c>
    </row>
    <row r="2596">
      <c r="A2596" t="inlineStr">
        <is>
          <t>BBG01NMLFKN1 Equity</t>
        </is>
      </c>
      <c r="B2596" t="inlineStr">
        <is>
          <t>TSLA US 02/21/25 P280</t>
        </is>
      </c>
      <c r="C2596" t="inlineStr">
        <is>
          <t>2025-02-21</t>
        </is>
      </c>
      <c r="D2596" t="n">
        <v>280</v>
      </c>
      <c r="E2596" t="inlineStr">
        <is>
          <t>BBG01NMLFKN1</t>
        </is>
      </c>
    </row>
    <row r="2597">
      <c r="A2597" t="inlineStr">
        <is>
          <t>BBG01NMLG1M3 Equity</t>
        </is>
      </c>
      <c r="B2597" t="inlineStr">
        <is>
          <t>TSLA US 02/21/25 P285</t>
        </is>
      </c>
      <c r="C2597" t="inlineStr">
        <is>
          <t>2025-02-21</t>
        </is>
      </c>
      <c r="D2597" t="n">
        <v>285</v>
      </c>
      <c r="E2597" t="inlineStr">
        <is>
          <t>BBG01NMLG1M3</t>
        </is>
      </c>
    </row>
    <row r="2598">
      <c r="A2598" t="inlineStr">
        <is>
          <t>BBG01NMLG3C0 Equity</t>
        </is>
      </c>
      <c r="B2598" t="inlineStr">
        <is>
          <t>TSLA US 02/21/25 P290</t>
        </is>
      </c>
      <c r="C2598" t="inlineStr">
        <is>
          <t>2025-02-21</t>
        </is>
      </c>
      <c r="D2598" t="n">
        <v>290</v>
      </c>
      <c r="E2598" t="inlineStr">
        <is>
          <t>BBG01NMLG3C0</t>
        </is>
      </c>
    </row>
    <row r="2599">
      <c r="A2599" t="inlineStr">
        <is>
          <t>BBG01NMLGLF7 Equity</t>
        </is>
      </c>
      <c r="B2599" t="inlineStr">
        <is>
          <t>TSLA US 02/21/25 P295</t>
        </is>
      </c>
      <c r="C2599" t="inlineStr">
        <is>
          <t>2025-02-21</t>
        </is>
      </c>
      <c r="D2599" t="n">
        <v>295</v>
      </c>
      <c r="E2599" t="inlineStr">
        <is>
          <t>BBG01NMLGLF7</t>
        </is>
      </c>
    </row>
    <row r="2600">
      <c r="A2600" t="inlineStr">
        <is>
          <t>BBG01NMLG269 Equity</t>
        </is>
      </c>
      <c r="B2600" t="inlineStr">
        <is>
          <t>TSLA US 02/21/25 P300</t>
        </is>
      </c>
      <c r="C2600" t="inlineStr">
        <is>
          <t>2025-02-21</t>
        </is>
      </c>
      <c r="D2600" t="n">
        <v>300</v>
      </c>
      <c r="E2600" t="inlineStr">
        <is>
          <t>BBG01NMLG269</t>
        </is>
      </c>
    </row>
    <row r="2601">
      <c r="A2601" t="inlineStr">
        <is>
          <t>BBG01R5RY024 Equity</t>
        </is>
      </c>
      <c r="B2601" t="inlineStr">
        <is>
          <t>TSLA US 02/21/25 P305</t>
        </is>
      </c>
      <c r="C2601" t="inlineStr">
        <is>
          <t>2025-02-21</t>
        </is>
      </c>
      <c r="D2601" t="n">
        <v>305</v>
      </c>
      <c r="E2601" t="inlineStr">
        <is>
          <t>BBG01R5RY024</t>
        </is>
      </c>
    </row>
    <row r="2602">
      <c r="A2602" t="inlineStr">
        <is>
          <t>BBG01NMLGNG2 Equity</t>
        </is>
      </c>
      <c r="B2602" t="inlineStr">
        <is>
          <t>TSLA US 02/21/25 P310</t>
        </is>
      </c>
      <c r="C2602" t="inlineStr">
        <is>
          <t>2025-02-21</t>
        </is>
      </c>
      <c r="D2602" t="n">
        <v>310</v>
      </c>
      <c r="E2602" t="inlineStr">
        <is>
          <t>BBG01NMLGNG2</t>
        </is>
      </c>
    </row>
    <row r="2603">
      <c r="A2603" t="inlineStr">
        <is>
          <t>BBG01R5RWP85 Equity</t>
        </is>
      </c>
      <c r="B2603" t="inlineStr">
        <is>
          <t>TSLA US 02/21/25 P315</t>
        </is>
      </c>
      <c r="C2603" t="inlineStr">
        <is>
          <t>2025-02-21</t>
        </is>
      </c>
      <c r="D2603" t="n">
        <v>315</v>
      </c>
      <c r="E2603" t="inlineStr">
        <is>
          <t>BBG01R5RWP85</t>
        </is>
      </c>
    </row>
    <row r="2604">
      <c r="A2604" t="inlineStr">
        <is>
          <t>BBG01NMLFSD5 Equity</t>
        </is>
      </c>
      <c r="B2604" t="inlineStr">
        <is>
          <t>TSLA US 02/21/25 P320</t>
        </is>
      </c>
      <c r="C2604" t="inlineStr">
        <is>
          <t>2025-02-21</t>
        </is>
      </c>
      <c r="D2604" t="n">
        <v>320</v>
      </c>
      <c r="E2604" t="inlineStr">
        <is>
          <t>BBG01NMLFSD5</t>
        </is>
      </c>
    </row>
    <row r="2605">
      <c r="A2605" t="inlineStr">
        <is>
          <t>BBG01R5RXZG3 Equity</t>
        </is>
      </c>
      <c r="B2605" t="inlineStr">
        <is>
          <t>TSLA US 02/21/25 P325</t>
        </is>
      </c>
      <c r="C2605" t="inlineStr">
        <is>
          <t>2025-02-21</t>
        </is>
      </c>
      <c r="D2605" t="n">
        <v>325</v>
      </c>
      <c r="E2605" t="inlineStr">
        <is>
          <t>BBG01R5RXZG3</t>
        </is>
      </c>
    </row>
    <row r="2606">
      <c r="A2606" t="inlineStr">
        <is>
          <t>BBG01NMLGKV1 Equity</t>
        </is>
      </c>
      <c r="B2606" t="inlineStr">
        <is>
          <t>TSLA US 02/21/25 P330</t>
        </is>
      </c>
      <c r="C2606" t="inlineStr">
        <is>
          <t>2025-02-21</t>
        </is>
      </c>
      <c r="D2606" t="n">
        <v>330</v>
      </c>
      <c r="E2606" t="inlineStr">
        <is>
          <t>BBG01NMLGKV1</t>
        </is>
      </c>
    </row>
    <row r="2607">
      <c r="A2607" t="inlineStr">
        <is>
          <t>BBG01R5RY0P9 Equity</t>
        </is>
      </c>
      <c r="B2607" t="inlineStr">
        <is>
          <t>TSLA US 02/21/25 P335</t>
        </is>
      </c>
      <c r="C2607" t="inlineStr">
        <is>
          <t>2025-02-21</t>
        </is>
      </c>
      <c r="D2607" t="n">
        <v>335</v>
      </c>
      <c r="E2607" t="inlineStr">
        <is>
          <t>BBG01R5RY0P9</t>
        </is>
      </c>
    </row>
    <row r="2608">
      <c r="A2608" t="inlineStr">
        <is>
          <t>BBG01NMLGG68 Equity</t>
        </is>
      </c>
      <c r="B2608" t="inlineStr">
        <is>
          <t>TSLA US 02/21/25 P340</t>
        </is>
      </c>
      <c r="C2608" t="inlineStr">
        <is>
          <t>2025-02-21</t>
        </is>
      </c>
      <c r="D2608" t="n">
        <v>340</v>
      </c>
      <c r="E2608" t="inlineStr">
        <is>
          <t>BBG01NMLGG68</t>
        </is>
      </c>
    </row>
    <row r="2609">
      <c r="A2609" t="inlineStr">
        <is>
          <t>BBG01R5RWWF2 Equity</t>
        </is>
      </c>
      <c r="B2609" t="inlineStr">
        <is>
          <t>TSLA US 02/21/25 P345</t>
        </is>
      </c>
      <c r="C2609" t="inlineStr">
        <is>
          <t>2025-02-21</t>
        </is>
      </c>
      <c r="D2609" t="n">
        <v>345</v>
      </c>
      <c r="E2609" t="inlineStr">
        <is>
          <t>BBG01R5RWWF2</t>
        </is>
      </c>
    </row>
    <row r="2610">
      <c r="A2610" t="inlineStr">
        <is>
          <t>BBG01NMLGM01 Equity</t>
        </is>
      </c>
      <c r="B2610" t="inlineStr">
        <is>
          <t>TSLA US 02/21/25 P350</t>
        </is>
      </c>
      <c r="C2610" t="inlineStr">
        <is>
          <t>2025-02-21</t>
        </is>
      </c>
      <c r="D2610" t="n">
        <v>350</v>
      </c>
      <c r="E2610" t="inlineStr">
        <is>
          <t>BBG01NMLGM01</t>
        </is>
      </c>
    </row>
    <row r="2611">
      <c r="A2611" t="inlineStr">
        <is>
          <t>BBG01R5RWVT9 Equity</t>
        </is>
      </c>
      <c r="B2611" t="inlineStr">
        <is>
          <t>TSLA US 02/21/25 P355</t>
        </is>
      </c>
      <c r="C2611" t="inlineStr">
        <is>
          <t>2025-02-21</t>
        </is>
      </c>
      <c r="D2611" t="n">
        <v>355</v>
      </c>
      <c r="E2611" t="inlineStr">
        <is>
          <t>BBG01R5RWVT9</t>
        </is>
      </c>
    </row>
    <row r="2612">
      <c r="A2612" t="inlineStr">
        <is>
          <t>BBG01NMLFK24 Equity</t>
        </is>
      </c>
      <c r="B2612" t="inlineStr">
        <is>
          <t>TSLA US 02/21/25 P360</t>
        </is>
      </c>
      <c r="C2612" t="inlineStr">
        <is>
          <t>2025-02-21</t>
        </is>
      </c>
      <c r="D2612" t="n">
        <v>360</v>
      </c>
      <c r="E2612" t="inlineStr">
        <is>
          <t>BBG01NMLFK24</t>
        </is>
      </c>
    </row>
    <row r="2613">
      <c r="A2613" t="inlineStr">
        <is>
          <t>BBG01R5RWX15 Equity</t>
        </is>
      </c>
      <c r="B2613" t="inlineStr">
        <is>
          <t>TSLA US 02/21/25 P365</t>
        </is>
      </c>
      <c r="C2613" t="inlineStr">
        <is>
          <t>2025-02-21</t>
        </is>
      </c>
      <c r="D2613" t="n">
        <v>365</v>
      </c>
      <c r="E2613" t="inlineStr">
        <is>
          <t>BBG01R5RWX15</t>
        </is>
      </c>
    </row>
    <row r="2614">
      <c r="A2614" t="inlineStr">
        <is>
          <t>BBG01NMLFHB1 Equity</t>
        </is>
      </c>
      <c r="B2614" t="inlineStr">
        <is>
          <t>TSLA US 02/21/25 P370</t>
        </is>
      </c>
      <c r="C2614" t="inlineStr">
        <is>
          <t>2025-02-21</t>
        </is>
      </c>
      <c r="D2614" t="n">
        <v>370</v>
      </c>
      <c r="E2614" t="inlineStr">
        <is>
          <t>BBG01NMLFHB1</t>
        </is>
      </c>
    </row>
    <row r="2615">
      <c r="A2615" t="inlineStr">
        <is>
          <t>BBG01R5RYJ32 Equity</t>
        </is>
      </c>
      <c r="B2615" t="inlineStr">
        <is>
          <t>TSLA US 02/21/25 P375</t>
        </is>
      </c>
      <c r="C2615" t="inlineStr">
        <is>
          <t>2025-02-21</t>
        </is>
      </c>
      <c r="D2615" t="n">
        <v>375</v>
      </c>
      <c r="E2615" t="inlineStr">
        <is>
          <t>BBG01R5RYJ32</t>
        </is>
      </c>
    </row>
    <row r="2616">
      <c r="A2616" t="inlineStr">
        <is>
          <t>BBG01NMLFGR6 Equity</t>
        </is>
      </c>
      <c r="B2616" t="inlineStr">
        <is>
          <t>TSLA US 02/21/25 P380</t>
        </is>
      </c>
      <c r="C2616" t="inlineStr">
        <is>
          <t>2025-02-21</t>
        </is>
      </c>
      <c r="D2616" t="n">
        <v>380</v>
      </c>
      <c r="E2616" t="inlineStr">
        <is>
          <t>BBG01NMLFGR6</t>
        </is>
      </c>
    </row>
    <row r="2617">
      <c r="A2617" t="inlineStr">
        <is>
          <t>BBG01R5RX374 Equity</t>
        </is>
      </c>
      <c r="B2617" t="inlineStr">
        <is>
          <t>TSLA US 02/21/25 P385</t>
        </is>
      </c>
      <c r="C2617" t="inlineStr">
        <is>
          <t>2025-02-21</t>
        </is>
      </c>
      <c r="D2617" t="n">
        <v>385</v>
      </c>
      <c r="E2617" t="inlineStr">
        <is>
          <t>BBG01R5RX374</t>
        </is>
      </c>
    </row>
    <row r="2618">
      <c r="A2618" t="inlineStr">
        <is>
          <t>BBG01NMLFW46 Equity</t>
        </is>
      </c>
      <c r="B2618" t="inlineStr">
        <is>
          <t>TSLA US 02/21/25 P390</t>
        </is>
      </c>
      <c r="C2618" t="inlineStr">
        <is>
          <t>2025-02-21</t>
        </is>
      </c>
      <c r="D2618" t="n">
        <v>390</v>
      </c>
      <c r="E2618" t="inlineStr">
        <is>
          <t>BBG01NMLFW46</t>
        </is>
      </c>
    </row>
    <row r="2619">
      <c r="A2619" t="inlineStr">
        <is>
          <t>BBG01R5RX2M9 Equity</t>
        </is>
      </c>
      <c r="B2619" t="inlineStr">
        <is>
          <t>TSLA US 02/21/25 P395</t>
        </is>
      </c>
      <c r="C2619" t="inlineStr">
        <is>
          <t>2025-02-21</t>
        </is>
      </c>
      <c r="D2619" t="n">
        <v>395</v>
      </c>
      <c r="E2619" t="inlineStr">
        <is>
          <t>BBG01R5RX2M9</t>
        </is>
      </c>
    </row>
    <row r="2620">
      <c r="A2620" t="inlineStr">
        <is>
          <t>BBG01NMLFWQ2 Equity</t>
        </is>
      </c>
      <c r="B2620" t="inlineStr">
        <is>
          <t>TSLA US 02/21/25 P400</t>
        </is>
      </c>
      <c r="C2620" t="inlineStr">
        <is>
          <t>2025-02-21</t>
        </is>
      </c>
      <c r="D2620" t="n">
        <v>400</v>
      </c>
      <c r="E2620" t="inlineStr">
        <is>
          <t>BBG01NMLFWQ2</t>
        </is>
      </c>
    </row>
    <row r="2621">
      <c r="A2621" t="inlineStr">
        <is>
          <t>BBG01R5RXYV9 Equity</t>
        </is>
      </c>
      <c r="B2621" t="inlineStr">
        <is>
          <t>TSLA US 02/21/25 P405</t>
        </is>
      </c>
      <c r="C2621" t="inlineStr">
        <is>
          <t>2025-02-21</t>
        </is>
      </c>
      <c r="D2621" t="n">
        <v>405</v>
      </c>
      <c r="E2621" t="inlineStr">
        <is>
          <t>BBG01R5RXYV9</t>
        </is>
      </c>
    </row>
    <row r="2622">
      <c r="A2622" t="inlineStr">
        <is>
          <t>BBG01NMLFCN9 Equity</t>
        </is>
      </c>
      <c r="B2622" t="inlineStr">
        <is>
          <t>TSLA US 02/21/25 P410</t>
        </is>
      </c>
      <c r="C2622" t="inlineStr">
        <is>
          <t>2025-02-21</t>
        </is>
      </c>
      <c r="D2622" t="n">
        <v>410</v>
      </c>
      <c r="E2622" t="inlineStr">
        <is>
          <t>BBG01NMLFCN9</t>
        </is>
      </c>
    </row>
    <row r="2623">
      <c r="A2623" t="inlineStr">
        <is>
          <t>BBG01R5RWV64 Equity</t>
        </is>
      </c>
      <c r="B2623" t="inlineStr">
        <is>
          <t>TSLA US 02/21/25 P415</t>
        </is>
      </c>
      <c r="C2623" t="inlineStr">
        <is>
          <t>2025-02-21</t>
        </is>
      </c>
      <c r="D2623" t="n">
        <v>415</v>
      </c>
      <c r="E2623" t="inlineStr">
        <is>
          <t>BBG01R5RWV64</t>
        </is>
      </c>
    </row>
    <row r="2624">
      <c r="A2624" t="inlineStr">
        <is>
          <t>BBG01NMLG5Q0 Equity</t>
        </is>
      </c>
      <c r="B2624" t="inlineStr">
        <is>
          <t>TSLA US 02/21/25 P420</t>
        </is>
      </c>
      <c r="C2624" t="inlineStr">
        <is>
          <t>2025-02-21</t>
        </is>
      </c>
      <c r="D2624" t="n">
        <v>420</v>
      </c>
      <c r="E2624" t="inlineStr">
        <is>
          <t>BBG01NMLG5Q0</t>
        </is>
      </c>
    </row>
    <row r="2625">
      <c r="A2625" t="inlineStr">
        <is>
          <t>BBG01R5RWTL2 Equity</t>
        </is>
      </c>
      <c r="B2625" t="inlineStr">
        <is>
          <t>TSLA US 02/21/25 P425</t>
        </is>
      </c>
      <c r="C2625" t="inlineStr">
        <is>
          <t>2025-02-21</t>
        </is>
      </c>
      <c r="D2625" t="n">
        <v>425</v>
      </c>
      <c r="E2625" t="inlineStr">
        <is>
          <t>BBG01R5RWTL2</t>
        </is>
      </c>
    </row>
    <row r="2626">
      <c r="A2626" t="inlineStr">
        <is>
          <t>BBG01NMLG4R2 Equity</t>
        </is>
      </c>
      <c r="B2626" t="inlineStr">
        <is>
          <t>TSLA US 02/21/25 P430</t>
        </is>
      </c>
      <c r="C2626" t="inlineStr">
        <is>
          <t>2025-02-21</t>
        </is>
      </c>
      <c r="D2626" t="n">
        <v>430</v>
      </c>
      <c r="E2626" t="inlineStr">
        <is>
          <t>BBG01NMLG4R2</t>
        </is>
      </c>
    </row>
    <row r="2627">
      <c r="A2627" t="inlineStr">
        <is>
          <t>BBG01R5RYJQ7 Equity</t>
        </is>
      </c>
      <c r="B2627" t="inlineStr">
        <is>
          <t>TSLA US 02/21/25 P435</t>
        </is>
      </c>
      <c r="C2627" t="inlineStr">
        <is>
          <t>2025-02-21</t>
        </is>
      </c>
      <c r="D2627" t="n">
        <v>435</v>
      </c>
      <c r="E2627" t="inlineStr">
        <is>
          <t>BBG01R5RYJQ7</t>
        </is>
      </c>
    </row>
    <row r="2628">
      <c r="A2628" t="inlineStr">
        <is>
          <t>BBG01NMLG2S5 Equity</t>
        </is>
      </c>
      <c r="B2628" t="inlineStr">
        <is>
          <t>TSLA US 02/21/25 P440</t>
        </is>
      </c>
      <c r="C2628" t="inlineStr">
        <is>
          <t>2025-02-21</t>
        </is>
      </c>
      <c r="D2628" t="n">
        <v>440</v>
      </c>
      <c r="E2628" t="inlineStr">
        <is>
          <t>BBG01NMLG2S5</t>
        </is>
      </c>
    </row>
    <row r="2629">
      <c r="A2629" t="inlineStr">
        <is>
          <t>BBG01R5RYKB0 Equity</t>
        </is>
      </c>
      <c r="B2629" t="inlineStr">
        <is>
          <t>TSLA US 02/21/25 P445</t>
        </is>
      </c>
      <c r="C2629" t="inlineStr">
        <is>
          <t>2025-02-21</t>
        </is>
      </c>
      <c r="D2629" t="n">
        <v>445</v>
      </c>
      <c r="E2629" t="inlineStr">
        <is>
          <t>BBG01R5RYKB0</t>
        </is>
      </c>
    </row>
    <row r="2630">
      <c r="A2630" t="inlineStr">
        <is>
          <t>BBG01NMLFM66 Equity</t>
        </is>
      </c>
      <c r="B2630" t="inlineStr">
        <is>
          <t>TSLA US 02/21/25 P450</t>
        </is>
      </c>
      <c r="C2630" t="inlineStr">
        <is>
          <t>2025-02-21</t>
        </is>
      </c>
      <c r="D2630" t="n">
        <v>450</v>
      </c>
      <c r="E2630" t="inlineStr">
        <is>
          <t>BBG01NMLFM66</t>
        </is>
      </c>
    </row>
    <row r="2631">
      <c r="A2631" t="inlineStr">
        <is>
          <t>BBG01R5RYHH1 Equity</t>
        </is>
      </c>
      <c r="B2631" t="inlineStr">
        <is>
          <t>TSLA US 02/21/25 P455</t>
        </is>
      </c>
      <c r="C2631" t="inlineStr">
        <is>
          <t>2025-02-21</t>
        </is>
      </c>
      <c r="D2631" t="n">
        <v>455</v>
      </c>
      <c r="E2631" t="inlineStr">
        <is>
          <t>BBG01R5RYHH1</t>
        </is>
      </c>
    </row>
    <row r="2632">
      <c r="A2632" t="inlineStr">
        <is>
          <t>BBG01NMLGS35 Equity</t>
        </is>
      </c>
      <c r="B2632" t="inlineStr">
        <is>
          <t>TSLA US 02/21/25 P460</t>
        </is>
      </c>
      <c r="C2632" t="inlineStr">
        <is>
          <t>2025-02-21</t>
        </is>
      </c>
      <c r="D2632" t="n">
        <v>460</v>
      </c>
      <c r="E2632" t="inlineStr">
        <is>
          <t>BBG01NMLGS35</t>
        </is>
      </c>
    </row>
    <row r="2633">
      <c r="A2633" t="inlineStr">
        <is>
          <t>BBG01R5RY8L6 Equity</t>
        </is>
      </c>
      <c r="B2633" t="inlineStr">
        <is>
          <t>TSLA US 02/21/25 P465</t>
        </is>
      </c>
      <c r="C2633" t="inlineStr">
        <is>
          <t>2025-02-21</t>
        </is>
      </c>
      <c r="D2633" t="n">
        <v>465</v>
      </c>
      <c r="E2633" t="inlineStr">
        <is>
          <t>BBG01R5RY8L6</t>
        </is>
      </c>
    </row>
    <row r="2634">
      <c r="A2634" t="inlineStr">
        <is>
          <t>BBG01NQ1LS75 Equity</t>
        </is>
      </c>
      <c r="B2634" t="inlineStr">
        <is>
          <t>TSLA US 02/21/25 P470</t>
        </is>
      </c>
      <c r="C2634" t="inlineStr">
        <is>
          <t>2025-02-21</t>
        </is>
      </c>
      <c r="D2634" t="n">
        <v>470</v>
      </c>
      <c r="E2634" t="inlineStr">
        <is>
          <t>BBG01NQ1LS75</t>
        </is>
      </c>
    </row>
    <row r="2635">
      <c r="A2635" t="inlineStr">
        <is>
          <t>BBG01R5RX203 Equity</t>
        </is>
      </c>
      <c r="B2635" t="inlineStr">
        <is>
          <t>TSLA US 02/21/25 P475</t>
        </is>
      </c>
      <c r="C2635" t="inlineStr">
        <is>
          <t>2025-02-21</t>
        </is>
      </c>
      <c r="D2635" t="n">
        <v>475</v>
      </c>
      <c r="E2635" t="inlineStr">
        <is>
          <t>BBG01R5RX203</t>
        </is>
      </c>
    </row>
    <row r="2636">
      <c r="A2636" t="inlineStr">
        <is>
          <t>BBG01NQ1JWZ8 Equity</t>
        </is>
      </c>
      <c r="B2636" t="inlineStr">
        <is>
          <t>TSLA US 02/21/25 P480</t>
        </is>
      </c>
      <c r="C2636" t="inlineStr">
        <is>
          <t>2025-02-21</t>
        </is>
      </c>
      <c r="D2636" t="n">
        <v>480</v>
      </c>
      <c r="E2636" t="inlineStr">
        <is>
          <t>BBG01NQ1JWZ8</t>
        </is>
      </c>
    </row>
    <row r="2637">
      <c r="A2637" t="inlineStr">
        <is>
          <t>BBG01R5RY961 Equity</t>
        </is>
      </c>
      <c r="B2637" t="inlineStr">
        <is>
          <t>TSLA US 02/21/25 P485</t>
        </is>
      </c>
      <c r="C2637" t="inlineStr">
        <is>
          <t>2025-02-21</t>
        </is>
      </c>
      <c r="D2637" t="n">
        <v>485</v>
      </c>
      <c r="E2637" t="inlineStr">
        <is>
          <t>BBG01R5RY961</t>
        </is>
      </c>
    </row>
    <row r="2638">
      <c r="A2638" t="inlineStr">
        <is>
          <t>BBG01NQ1LRN9 Equity</t>
        </is>
      </c>
      <c r="B2638" t="inlineStr">
        <is>
          <t>TSLA US 02/21/25 P490</t>
        </is>
      </c>
      <c r="C2638" t="inlineStr">
        <is>
          <t>2025-02-21</t>
        </is>
      </c>
      <c r="D2638" t="n">
        <v>490</v>
      </c>
      <c r="E2638" t="inlineStr">
        <is>
          <t>BBG01NQ1LRN9</t>
        </is>
      </c>
    </row>
    <row r="2639">
      <c r="A2639" t="inlineStr">
        <is>
          <t>BBG01R5RXB49 Equity</t>
        </is>
      </c>
      <c r="B2639" t="inlineStr">
        <is>
          <t>TSLA US 02/21/25 P495</t>
        </is>
      </c>
      <c r="C2639" t="inlineStr">
        <is>
          <t>2025-02-21</t>
        </is>
      </c>
      <c r="D2639" t="n">
        <v>495</v>
      </c>
      <c r="E2639" t="inlineStr">
        <is>
          <t>BBG01R5RXB49</t>
        </is>
      </c>
    </row>
    <row r="2640">
      <c r="A2640" t="inlineStr">
        <is>
          <t>BBG01NQ1LXJ1 Equity</t>
        </is>
      </c>
      <c r="B2640" t="inlineStr">
        <is>
          <t>TSLA US 02/21/25 P500</t>
        </is>
      </c>
      <c r="C2640" t="inlineStr">
        <is>
          <t>2025-02-21</t>
        </is>
      </c>
      <c r="D2640" t="n">
        <v>500</v>
      </c>
      <c r="E2640" t="inlineStr">
        <is>
          <t>BBG01NQ1LXJ1</t>
        </is>
      </c>
    </row>
    <row r="2641">
      <c r="A2641" t="inlineStr">
        <is>
          <t>BBG01R5RYKY5 Equity</t>
        </is>
      </c>
      <c r="B2641" t="inlineStr">
        <is>
          <t>TSLA US 02/21/25 P505</t>
        </is>
      </c>
      <c r="C2641" t="inlineStr">
        <is>
          <t>2025-02-21</t>
        </is>
      </c>
      <c r="D2641" t="n">
        <v>505</v>
      </c>
      <c r="E2641" t="inlineStr">
        <is>
          <t>BBG01R5RYKY5</t>
        </is>
      </c>
    </row>
    <row r="2642">
      <c r="A2642" t="inlineStr">
        <is>
          <t>BBG01NQ1LR22 Equity</t>
        </is>
      </c>
      <c r="B2642" t="inlineStr">
        <is>
          <t>TSLA US 02/21/25 P510</t>
        </is>
      </c>
      <c r="C2642" t="inlineStr">
        <is>
          <t>2025-02-21</t>
        </is>
      </c>
      <c r="D2642" t="n">
        <v>510</v>
      </c>
      <c r="E2642" t="inlineStr">
        <is>
          <t>BBG01NQ1LR22</t>
        </is>
      </c>
    </row>
    <row r="2643">
      <c r="A2643" t="inlineStr">
        <is>
          <t>BBG01R5RXGJ2 Equity</t>
        </is>
      </c>
      <c r="B2643" t="inlineStr">
        <is>
          <t>TSLA US 02/21/25 P515</t>
        </is>
      </c>
      <c r="C2643" t="inlineStr">
        <is>
          <t>2025-02-21</t>
        </is>
      </c>
      <c r="D2643" t="n">
        <v>515</v>
      </c>
      <c r="E2643" t="inlineStr">
        <is>
          <t>BBG01R5RXGJ2</t>
        </is>
      </c>
    </row>
    <row r="2644">
      <c r="A2644" t="inlineStr">
        <is>
          <t>BBG01NQ1LPX2 Equity</t>
        </is>
      </c>
      <c r="B2644" t="inlineStr">
        <is>
          <t>TSLA US 02/21/25 P520</t>
        </is>
      </c>
      <c r="C2644" t="inlineStr">
        <is>
          <t>2025-02-21</t>
        </is>
      </c>
      <c r="D2644" t="n">
        <v>520</v>
      </c>
      <c r="E2644" t="inlineStr">
        <is>
          <t>BBG01NQ1LPX2</t>
        </is>
      </c>
    </row>
    <row r="2645">
      <c r="A2645" t="inlineStr">
        <is>
          <t>BBG01L59BVD2 Equity</t>
        </is>
      </c>
      <c r="B2645" t="inlineStr">
        <is>
          <t>TSLA US 03/21/25 P210</t>
        </is>
      </c>
      <c r="C2645" t="inlineStr">
        <is>
          <t>2025-03-21</t>
        </is>
      </c>
      <c r="D2645" t="n">
        <v>210</v>
      </c>
      <c r="E2645" t="inlineStr">
        <is>
          <t>BBG01L59BVD2</t>
        </is>
      </c>
    </row>
    <row r="2646">
      <c r="A2646" t="inlineStr">
        <is>
          <t>BBG01L59BWK2 Equity</t>
        </is>
      </c>
      <c r="B2646" t="inlineStr">
        <is>
          <t>TSLA US 03/21/25 P215</t>
        </is>
      </c>
      <c r="C2646" t="inlineStr">
        <is>
          <t>2025-03-21</t>
        </is>
      </c>
      <c r="D2646" t="n">
        <v>215</v>
      </c>
      <c r="E2646" t="inlineStr">
        <is>
          <t>BBG01L59BWK2</t>
        </is>
      </c>
    </row>
    <row r="2647">
      <c r="A2647" t="inlineStr">
        <is>
          <t>BBG01L59BXQ4 Equity</t>
        </is>
      </c>
      <c r="B2647" t="inlineStr">
        <is>
          <t>TSLA US 03/21/25 P220</t>
        </is>
      </c>
      <c r="C2647" t="inlineStr">
        <is>
          <t>2025-03-21</t>
        </is>
      </c>
      <c r="D2647" t="n">
        <v>220</v>
      </c>
      <c r="E2647" t="inlineStr">
        <is>
          <t>BBG01L59BXQ4</t>
        </is>
      </c>
    </row>
    <row r="2648">
      <c r="A2648" t="inlineStr">
        <is>
          <t>BBG01L59BYX4 Equity</t>
        </is>
      </c>
      <c r="B2648" t="inlineStr">
        <is>
          <t>TSLA US 03/21/25 P225</t>
        </is>
      </c>
      <c r="C2648" t="inlineStr">
        <is>
          <t>2025-03-21</t>
        </is>
      </c>
      <c r="D2648" t="n">
        <v>225</v>
      </c>
      <c r="E2648" t="inlineStr">
        <is>
          <t>BBG01L59BYX4</t>
        </is>
      </c>
    </row>
    <row r="2649">
      <c r="A2649" t="inlineStr">
        <is>
          <t>BBG01L59C021 Equity</t>
        </is>
      </c>
      <c r="B2649" t="inlineStr">
        <is>
          <t>TSLA US 03/21/25 P230</t>
        </is>
      </c>
      <c r="C2649" t="inlineStr">
        <is>
          <t>2025-03-21</t>
        </is>
      </c>
      <c r="D2649" t="n">
        <v>230</v>
      </c>
      <c r="E2649" t="inlineStr">
        <is>
          <t>BBG01L59C021</t>
        </is>
      </c>
    </row>
    <row r="2650">
      <c r="A2650" t="inlineStr">
        <is>
          <t>BBG01L59C174 Equity</t>
        </is>
      </c>
      <c r="B2650" t="inlineStr">
        <is>
          <t>TSLA US 03/21/25 P235</t>
        </is>
      </c>
      <c r="C2650" t="inlineStr">
        <is>
          <t>2025-03-21</t>
        </is>
      </c>
      <c r="D2650" t="n">
        <v>235</v>
      </c>
      <c r="E2650" t="inlineStr">
        <is>
          <t>BBG01L59C174</t>
        </is>
      </c>
    </row>
    <row r="2651">
      <c r="A2651" t="inlineStr">
        <is>
          <t>BBG01L59C2F3 Equity</t>
        </is>
      </c>
      <c r="B2651" t="inlineStr">
        <is>
          <t>TSLA US 03/21/25 P240</t>
        </is>
      </c>
      <c r="C2651" t="inlineStr">
        <is>
          <t>2025-03-21</t>
        </is>
      </c>
      <c r="D2651" t="n">
        <v>240</v>
      </c>
      <c r="E2651" t="inlineStr">
        <is>
          <t>BBG01L59C2F3</t>
        </is>
      </c>
    </row>
    <row r="2652">
      <c r="A2652" t="inlineStr">
        <is>
          <t>BBG01L59C3L4 Equity</t>
        </is>
      </c>
      <c r="B2652" t="inlineStr">
        <is>
          <t>TSLA US 03/21/25 P245</t>
        </is>
      </c>
      <c r="C2652" t="inlineStr">
        <is>
          <t>2025-03-21</t>
        </is>
      </c>
      <c r="D2652" t="n">
        <v>245</v>
      </c>
      <c r="E2652" t="inlineStr">
        <is>
          <t>BBG01L59C3L4</t>
        </is>
      </c>
    </row>
    <row r="2653">
      <c r="A2653" t="inlineStr">
        <is>
          <t>BBG01L59C4R6 Equity</t>
        </is>
      </c>
      <c r="B2653" t="inlineStr">
        <is>
          <t>TSLA US 03/21/25 P250</t>
        </is>
      </c>
      <c r="C2653" t="inlineStr">
        <is>
          <t>2025-03-21</t>
        </is>
      </c>
      <c r="D2653" t="n">
        <v>250</v>
      </c>
      <c r="E2653" t="inlineStr">
        <is>
          <t>BBG01L59C4R6</t>
        </is>
      </c>
    </row>
    <row r="2654">
      <c r="A2654" t="inlineStr">
        <is>
          <t>BBG01L59C5Y5 Equity</t>
        </is>
      </c>
      <c r="B2654" t="inlineStr">
        <is>
          <t>TSLA US 03/21/25 P255</t>
        </is>
      </c>
      <c r="C2654" t="inlineStr">
        <is>
          <t>2025-03-21</t>
        </is>
      </c>
      <c r="D2654" t="n">
        <v>255</v>
      </c>
      <c r="E2654" t="inlineStr">
        <is>
          <t>BBG01L59C5Y5</t>
        </is>
      </c>
    </row>
    <row r="2655">
      <c r="A2655" t="inlineStr">
        <is>
          <t>BBG01L59C735 Equity</t>
        </is>
      </c>
      <c r="B2655" t="inlineStr">
        <is>
          <t>TSLA US 03/21/25 P260</t>
        </is>
      </c>
      <c r="C2655" t="inlineStr">
        <is>
          <t>2025-03-21</t>
        </is>
      </c>
      <c r="D2655" t="n">
        <v>260</v>
      </c>
      <c r="E2655" t="inlineStr">
        <is>
          <t>BBG01L59C735</t>
        </is>
      </c>
    </row>
    <row r="2656">
      <c r="A2656" t="inlineStr">
        <is>
          <t>BBG01L59C897 Equity</t>
        </is>
      </c>
      <c r="B2656" t="inlineStr">
        <is>
          <t>TSLA US 03/21/25 P265</t>
        </is>
      </c>
      <c r="C2656" t="inlineStr">
        <is>
          <t>2025-03-21</t>
        </is>
      </c>
      <c r="D2656" t="n">
        <v>265</v>
      </c>
      <c r="E2656" t="inlineStr">
        <is>
          <t>BBG01L59C897</t>
        </is>
      </c>
    </row>
    <row r="2657">
      <c r="A2657" t="inlineStr">
        <is>
          <t>BBG01L59C9G7 Equity</t>
        </is>
      </c>
      <c r="B2657" t="inlineStr">
        <is>
          <t>TSLA US 03/21/25 P270</t>
        </is>
      </c>
      <c r="C2657" t="inlineStr">
        <is>
          <t>2025-03-21</t>
        </is>
      </c>
      <c r="D2657" t="n">
        <v>270</v>
      </c>
      <c r="E2657" t="inlineStr">
        <is>
          <t>BBG01L59C9G7</t>
        </is>
      </c>
    </row>
    <row r="2658">
      <c r="A2658" t="inlineStr">
        <is>
          <t>BBG01L59CBM5 Equity</t>
        </is>
      </c>
      <c r="B2658" t="inlineStr">
        <is>
          <t>TSLA US 03/21/25 P275</t>
        </is>
      </c>
      <c r="C2658" t="inlineStr">
        <is>
          <t>2025-03-21</t>
        </is>
      </c>
      <c r="D2658" t="n">
        <v>275</v>
      </c>
      <c r="E2658" t="inlineStr">
        <is>
          <t>BBG01L59CBM5</t>
        </is>
      </c>
    </row>
    <row r="2659">
      <c r="A2659" t="inlineStr">
        <is>
          <t>BBG01L59CCT6 Equity</t>
        </is>
      </c>
      <c r="B2659" t="inlineStr">
        <is>
          <t>TSLA US 03/21/25 P280</t>
        </is>
      </c>
      <c r="C2659" t="inlineStr">
        <is>
          <t>2025-03-21</t>
        </is>
      </c>
      <c r="D2659" t="n">
        <v>280</v>
      </c>
      <c r="E2659" t="inlineStr">
        <is>
          <t>BBG01L59CCT6</t>
        </is>
      </c>
    </row>
    <row r="2660">
      <c r="A2660" t="inlineStr">
        <is>
          <t>BBG01L59CDZ7 Equity</t>
        </is>
      </c>
      <c r="B2660" t="inlineStr">
        <is>
          <t>TSLA US 03/21/25 P285</t>
        </is>
      </c>
      <c r="C2660" t="inlineStr">
        <is>
          <t>2025-03-21</t>
        </is>
      </c>
      <c r="D2660" t="n">
        <v>285</v>
      </c>
      <c r="E2660" t="inlineStr">
        <is>
          <t>BBG01L59CDZ7</t>
        </is>
      </c>
    </row>
    <row r="2661">
      <c r="A2661" t="inlineStr">
        <is>
          <t>BBG01L59CG44 Equity</t>
        </is>
      </c>
      <c r="B2661" t="inlineStr">
        <is>
          <t>TSLA US 03/21/25 P290</t>
        </is>
      </c>
      <c r="C2661" t="inlineStr">
        <is>
          <t>2025-03-21</t>
        </is>
      </c>
      <c r="D2661" t="n">
        <v>290</v>
      </c>
      <c r="E2661" t="inlineStr">
        <is>
          <t>BBG01L59CG44</t>
        </is>
      </c>
    </row>
    <row r="2662">
      <c r="A2662" t="inlineStr">
        <is>
          <t>BBG01L59CHB4 Equity</t>
        </is>
      </c>
      <c r="B2662" t="inlineStr">
        <is>
          <t>TSLA US 03/21/25 P295</t>
        </is>
      </c>
      <c r="C2662" t="inlineStr">
        <is>
          <t>2025-03-21</t>
        </is>
      </c>
      <c r="D2662" t="n">
        <v>295</v>
      </c>
      <c r="E2662" t="inlineStr">
        <is>
          <t>BBG01L59CHB4</t>
        </is>
      </c>
    </row>
    <row r="2663">
      <c r="A2663" t="inlineStr">
        <is>
          <t>BBG01L59CJH4 Equity</t>
        </is>
      </c>
      <c r="B2663" t="inlineStr">
        <is>
          <t>TSLA US 03/21/25 P300</t>
        </is>
      </c>
      <c r="C2663" t="inlineStr">
        <is>
          <t>2025-03-21</t>
        </is>
      </c>
      <c r="D2663" t="n">
        <v>300</v>
      </c>
      <c r="E2663" t="inlineStr">
        <is>
          <t>BBG01L59CJH4</t>
        </is>
      </c>
    </row>
    <row r="2664">
      <c r="A2664" t="inlineStr">
        <is>
          <t>BBG01L59CKN4 Equity</t>
        </is>
      </c>
      <c r="B2664" t="inlineStr">
        <is>
          <t>TSLA US 03/21/25 P305</t>
        </is>
      </c>
      <c r="C2664" t="inlineStr">
        <is>
          <t>2025-03-21</t>
        </is>
      </c>
      <c r="D2664" t="n">
        <v>305</v>
      </c>
      <c r="E2664" t="inlineStr">
        <is>
          <t>BBG01L59CKN4</t>
        </is>
      </c>
    </row>
    <row r="2665">
      <c r="A2665" t="inlineStr">
        <is>
          <t>BBG01L59CLV3 Equity</t>
        </is>
      </c>
      <c r="B2665" t="inlineStr">
        <is>
          <t>TSLA US 03/21/25 P310</t>
        </is>
      </c>
      <c r="C2665" t="inlineStr">
        <is>
          <t>2025-03-21</t>
        </is>
      </c>
      <c r="D2665" t="n">
        <v>310</v>
      </c>
      <c r="E2665" t="inlineStr">
        <is>
          <t>BBG01L59CLV3</t>
        </is>
      </c>
    </row>
    <row r="2666">
      <c r="A2666" t="inlineStr">
        <is>
          <t>BBG01L59CN03 Equity</t>
        </is>
      </c>
      <c r="B2666" t="inlineStr">
        <is>
          <t>TSLA US 03/21/25 P315</t>
        </is>
      </c>
      <c r="C2666" t="inlineStr">
        <is>
          <t>2025-03-21</t>
        </is>
      </c>
      <c r="D2666" t="n">
        <v>315</v>
      </c>
      <c r="E2666" t="inlineStr">
        <is>
          <t>BBG01L59CN03</t>
        </is>
      </c>
    </row>
    <row r="2667">
      <c r="A2667" t="inlineStr">
        <is>
          <t>BBG01L59CP62 Equity</t>
        </is>
      </c>
      <c r="B2667" t="inlineStr">
        <is>
          <t>TSLA US 03/21/25 P320</t>
        </is>
      </c>
      <c r="C2667" t="inlineStr">
        <is>
          <t>2025-03-21</t>
        </is>
      </c>
      <c r="D2667" t="n">
        <v>320</v>
      </c>
      <c r="E2667" t="inlineStr">
        <is>
          <t>BBG01L59CP62</t>
        </is>
      </c>
    </row>
    <row r="2668">
      <c r="A2668" t="inlineStr">
        <is>
          <t>BBG01L59CQC3 Equity</t>
        </is>
      </c>
      <c r="B2668" t="inlineStr">
        <is>
          <t>TSLA US 03/21/25 P325</t>
        </is>
      </c>
      <c r="C2668" t="inlineStr">
        <is>
          <t>2025-03-21</t>
        </is>
      </c>
      <c r="D2668" t="n">
        <v>325</v>
      </c>
      <c r="E2668" t="inlineStr">
        <is>
          <t>BBG01L59CQC3</t>
        </is>
      </c>
    </row>
    <row r="2669">
      <c r="A2669" t="inlineStr">
        <is>
          <t>BBG01L59CRJ4 Equity</t>
        </is>
      </c>
      <c r="B2669" t="inlineStr">
        <is>
          <t>TSLA US 03/21/25 P330</t>
        </is>
      </c>
      <c r="C2669" t="inlineStr">
        <is>
          <t>2025-03-21</t>
        </is>
      </c>
      <c r="D2669" t="n">
        <v>330</v>
      </c>
      <c r="E2669" t="inlineStr">
        <is>
          <t>BBG01L59CRJ4</t>
        </is>
      </c>
    </row>
    <row r="2670">
      <c r="A2670" t="inlineStr">
        <is>
          <t>BBG01L59CSQ4 Equity</t>
        </is>
      </c>
      <c r="B2670" t="inlineStr">
        <is>
          <t>TSLA US 03/21/25 P335</t>
        </is>
      </c>
      <c r="C2670" t="inlineStr">
        <is>
          <t>2025-03-21</t>
        </is>
      </c>
      <c r="D2670" t="n">
        <v>335</v>
      </c>
      <c r="E2670" t="inlineStr">
        <is>
          <t>BBG01L59CSQ4</t>
        </is>
      </c>
    </row>
    <row r="2671">
      <c r="A2671" t="inlineStr">
        <is>
          <t>BBG01L59CTW5 Equity</t>
        </is>
      </c>
      <c r="B2671" t="inlineStr">
        <is>
          <t>TSLA US 03/21/25 P340</t>
        </is>
      </c>
      <c r="C2671" t="inlineStr">
        <is>
          <t>2025-03-21</t>
        </is>
      </c>
      <c r="D2671" t="n">
        <v>340</v>
      </c>
      <c r="E2671" t="inlineStr">
        <is>
          <t>BBG01L59CTW5</t>
        </is>
      </c>
    </row>
    <row r="2672">
      <c r="A2672" t="inlineStr">
        <is>
          <t>BBG01L59CW12 Equity</t>
        </is>
      </c>
      <c r="B2672" t="inlineStr">
        <is>
          <t>TSLA US 03/21/25 P345</t>
        </is>
      </c>
      <c r="C2672" t="inlineStr">
        <is>
          <t>2025-03-21</t>
        </is>
      </c>
      <c r="D2672" t="n">
        <v>345</v>
      </c>
      <c r="E2672" t="inlineStr">
        <is>
          <t>BBG01L59CW12</t>
        </is>
      </c>
    </row>
    <row r="2673">
      <c r="A2673" t="inlineStr">
        <is>
          <t>BBG01L59CX74 Equity</t>
        </is>
      </c>
      <c r="B2673" t="inlineStr">
        <is>
          <t>TSLA US 03/21/25 P350</t>
        </is>
      </c>
      <c r="C2673" t="inlineStr">
        <is>
          <t>2025-03-21</t>
        </is>
      </c>
      <c r="D2673" t="n">
        <v>350</v>
      </c>
      <c r="E2673" t="inlineStr">
        <is>
          <t>BBG01L59CX74</t>
        </is>
      </c>
    </row>
    <row r="2674">
      <c r="A2674" t="inlineStr">
        <is>
          <t>BBG01L59CYD5 Equity</t>
        </is>
      </c>
      <c r="B2674" t="inlineStr">
        <is>
          <t>TSLA US 03/21/25 P355</t>
        </is>
      </c>
      <c r="C2674" t="inlineStr">
        <is>
          <t>2025-03-21</t>
        </is>
      </c>
      <c r="D2674" t="n">
        <v>355</v>
      </c>
      <c r="E2674" t="inlineStr">
        <is>
          <t>BBG01L59CYD5</t>
        </is>
      </c>
    </row>
    <row r="2675">
      <c r="A2675" t="inlineStr">
        <is>
          <t>BBG01L59CZK4 Equity</t>
        </is>
      </c>
      <c r="B2675" t="inlineStr">
        <is>
          <t>TSLA US 03/21/25 P360</t>
        </is>
      </c>
      <c r="C2675" t="inlineStr">
        <is>
          <t>2025-03-21</t>
        </is>
      </c>
      <c r="D2675" t="n">
        <v>360</v>
      </c>
      <c r="E2675" t="inlineStr">
        <is>
          <t>BBG01L59CZK4</t>
        </is>
      </c>
    </row>
    <row r="2676">
      <c r="A2676" t="inlineStr">
        <is>
          <t>BBG01L59D0R3 Equity</t>
        </is>
      </c>
      <c r="B2676" t="inlineStr">
        <is>
          <t>TSLA US 03/21/25 P365</t>
        </is>
      </c>
      <c r="C2676" t="inlineStr">
        <is>
          <t>2025-03-21</t>
        </is>
      </c>
      <c r="D2676" t="n">
        <v>365</v>
      </c>
      <c r="E2676" t="inlineStr">
        <is>
          <t>BBG01L59D0R3</t>
        </is>
      </c>
    </row>
    <row r="2677">
      <c r="A2677" t="inlineStr">
        <is>
          <t>BBG01L59D1X4 Equity</t>
        </is>
      </c>
      <c r="B2677" t="inlineStr">
        <is>
          <t>TSLA US 03/21/25 P370</t>
        </is>
      </c>
      <c r="C2677" t="inlineStr">
        <is>
          <t>2025-03-21</t>
        </is>
      </c>
      <c r="D2677" t="n">
        <v>370</v>
      </c>
      <c r="E2677" t="inlineStr">
        <is>
          <t>BBG01L59D1X4</t>
        </is>
      </c>
    </row>
    <row r="2678">
      <c r="A2678" t="inlineStr">
        <is>
          <t>BBG01L59D333 Equity</t>
        </is>
      </c>
      <c r="B2678" t="inlineStr">
        <is>
          <t>TSLA US 03/21/25 P375</t>
        </is>
      </c>
      <c r="C2678" t="inlineStr">
        <is>
          <t>2025-03-21</t>
        </is>
      </c>
      <c r="D2678" t="n">
        <v>375</v>
      </c>
      <c r="E2678" t="inlineStr">
        <is>
          <t>BBG01L59D333</t>
        </is>
      </c>
    </row>
    <row r="2679">
      <c r="A2679" t="inlineStr">
        <is>
          <t>BBG01L59D486 Equity</t>
        </is>
      </c>
      <c r="B2679" t="inlineStr">
        <is>
          <t>TSLA US 03/21/25 P380</t>
        </is>
      </c>
      <c r="C2679" t="inlineStr">
        <is>
          <t>2025-03-21</t>
        </is>
      </c>
      <c r="D2679" t="n">
        <v>380</v>
      </c>
      <c r="E2679" t="inlineStr">
        <is>
          <t>BBG01L59D486</t>
        </is>
      </c>
    </row>
    <row r="2680">
      <c r="A2680" t="inlineStr">
        <is>
          <t>BBG01L59D5F5 Equity</t>
        </is>
      </c>
      <c r="B2680" t="inlineStr">
        <is>
          <t>TSLA US 03/21/25 P385</t>
        </is>
      </c>
      <c r="C2680" t="inlineStr">
        <is>
          <t>2025-03-21</t>
        </is>
      </c>
      <c r="D2680" t="n">
        <v>385</v>
      </c>
      <c r="E2680" t="inlineStr">
        <is>
          <t>BBG01L59D5F5</t>
        </is>
      </c>
    </row>
    <row r="2681">
      <c r="A2681" t="inlineStr">
        <is>
          <t>BBG01L59D6M5 Equity</t>
        </is>
      </c>
      <c r="B2681" t="inlineStr">
        <is>
          <t>TSLA US 03/21/25 P390</t>
        </is>
      </c>
      <c r="C2681" t="inlineStr">
        <is>
          <t>2025-03-21</t>
        </is>
      </c>
      <c r="D2681" t="n">
        <v>390</v>
      </c>
      <c r="E2681" t="inlineStr">
        <is>
          <t>BBG01L59D6M5</t>
        </is>
      </c>
    </row>
    <row r="2682">
      <c r="A2682" t="inlineStr">
        <is>
          <t>BBG01L59D7S7 Equity</t>
        </is>
      </c>
      <c r="B2682" t="inlineStr">
        <is>
          <t>TSLA US 03/21/25 P395</t>
        </is>
      </c>
      <c r="C2682" t="inlineStr">
        <is>
          <t>2025-03-21</t>
        </is>
      </c>
      <c r="D2682" t="n">
        <v>395</v>
      </c>
      <c r="E2682" t="inlineStr">
        <is>
          <t>BBG01L59D7S7</t>
        </is>
      </c>
    </row>
    <row r="2683">
      <c r="A2683" t="inlineStr">
        <is>
          <t>BBG01L59D8Y8 Equity</t>
        </is>
      </c>
      <c r="B2683" t="inlineStr">
        <is>
          <t>TSLA US 03/21/25 P400</t>
        </is>
      </c>
      <c r="C2683" t="inlineStr">
        <is>
          <t>2025-03-21</t>
        </is>
      </c>
      <c r="D2683" t="n">
        <v>400</v>
      </c>
      <c r="E2683" t="inlineStr">
        <is>
          <t>BBG01L59D8Y8</t>
        </is>
      </c>
    </row>
    <row r="2684">
      <c r="A2684" t="inlineStr">
        <is>
          <t>BBG01L59DB53 Equity</t>
        </is>
      </c>
      <c r="B2684" t="inlineStr">
        <is>
          <t>TSLA US 03/21/25 P405</t>
        </is>
      </c>
      <c r="C2684" t="inlineStr">
        <is>
          <t>2025-03-21</t>
        </is>
      </c>
      <c r="D2684" t="n">
        <v>405</v>
      </c>
      <c r="E2684" t="inlineStr">
        <is>
          <t>BBG01L59DB53</t>
        </is>
      </c>
    </row>
    <row r="2685">
      <c r="A2685" t="inlineStr">
        <is>
          <t>BBG01L59DCB4 Equity</t>
        </is>
      </c>
      <c r="B2685" t="inlineStr">
        <is>
          <t>TSLA US 03/21/25 P410</t>
        </is>
      </c>
      <c r="C2685" t="inlineStr">
        <is>
          <t>2025-03-21</t>
        </is>
      </c>
      <c r="D2685" t="n">
        <v>410</v>
      </c>
      <c r="E2685" t="inlineStr">
        <is>
          <t>BBG01L59DCB4</t>
        </is>
      </c>
    </row>
    <row r="2686">
      <c r="A2686" t="inlineStr">
        <is>
          <t>BBG01L59DDH6 Equity</t>
        </is>
      </c>
      <c r="B2686" t="inlineStr">
        <is>
          <t>TSLA US 03/21/25 P415</t>
        </is>
      </c>
      <c r="C2686" t="inlineStr">
        <is>
          <t>2025-03-21</t>
        </is>
      </c>
      <c r="D2686" t="n">
        <v>415</v>
      </c>
      <c r="E2686" t="inlineStr">
        <is>
          <t>BBG01L59DDH6</t>
        </is>
      </c>
    </row>
    <row r="2687">
      <c r="A2687" t="inlineStr">
        <is>
          <t>BBG01L59DFQ1 Equity</t>
        </is>
      </c>
      <c r="B2687" t="inlineStr">
        <is>
          <t>TSLA US 03/21/25 P420</t>
        </is>
      </c>
      <c r="C2687" t="inlineStr">
        <is>
          <t>2025-03-21</t>
        </is>
      </c>
      <c r="D2687" t="n">
        <v>420</v>
      </c>
      <c r="E2687" t="inlineStr">
        <is>
          <t>BBG01L59DFQ1</t>
        </is>
      </c>
    </row>
    <row r="2688">
      <c r="A2688" t="inlineStr">
        <is>
          <t>BBG01L59DGW2 Equity</t>
        </is>
      </c>
      <c r="B2688" t="inlineStr">
        <is>
          <t>TSLA US 03/21/25 P425</t>
        </is>
      </c>
      <c r="C2688" t="inlineStr">
        <is>
          <t>2025-03-21</t>
        </is>
      </c>
      <c r="D2688" t="n">
        <v>425</v>
      </c>
      <c r="E2688" t="inlineStr">
        <is>
          <t>BBG01L59DGW2</t>
        </is>
      </c>
    </row>
    <row r="2689">
      <c r="A2689" t="inlineStr">
        <is>
          <t>BBG01L59DJ29 Equity</t>
        </is>
      </c>
      <c r="B2689" t="inlineStr">
        <is>
          <t>TSLA US 03/21/25 P430</t>
        </is>
      </c>
      <c r="C2689" t="inlineStr">
        <is>
          <t>2025-03-21</t>
        </is>
      </c>
      <c r="D2689" t="n">
        <v>430</v>
      </c>
      <c r="E2689" t="inlineStr">
        <is>
          <t>BBG01L59DJ29</t>
        </is>
      </c>
    </row>
    <row r="2690">
      <c r="A2690" t="inlineStr">
        <is>
          <t>BBG01L59DK71 Equity</t>
        </is>
      </c>
      <c r="B2690" t="inlineStr">
        <is>
          <t>TSLA US 03/21/25 P435</t>
        </is>
      </c>
      <c r="C2690" t="inlineStr">
        <is>
          <t>2025-03-21</t>
        </is>
      </c>
      <c r="D2690" t="n">
        <v>435</v>
      </c>
      <c r="E2690" t="inlineStr">
        <is>
          <t>BBG01L59DK71</t>
        </is>
      </c>
    </row>
    <row r="2691">
      <c r="A2691" t="inlineStr">
        <is>
          <t>BBG01NMLGH11 Equity</t>
        </is>
      </c>
      <c r="B2691" t="inlineStr">
        <is>
          <t>TSLA US 03/21/25 P440</t>
        </is>
      </c>
      <c r="C2691" t="inlineStr">
        <is>
          <t>2025-03-21</t>
        </is>
      </c>
      <c r="D2691" t="n">
        <v>440</v>
      </c>
      <c r="E2691" t="inlineStr">
        <is>
          <t>BBG01NMLGH11</t>
        </is>
      </c>
    </row>
    <row r="2692">
      <c r="A2692" t="inlineStr">
        <is>
          <t>BBG01RJGMVH2 Equity</t>
        </is>
      </c>
      <c r="B2692" t="inlineStr">
        <is>
          <t>TSLA US 03/21/25 P445</t>
        </is>
      </c>
      <c r="C2692" t="inlineStr">
        <is>
          <t>2025-03-21</t>
        </is>
      </c>
      <c r="D2692" t="n">
        <v>445</v>
      </c>
      <c r="E2692" t="inlineStr">
        <is>
          <t>BBG01RJGMVH2</t>
        </is>
      </c>
    </row>
    <row r="2693">
      <c r="A2693" t="inlineStr">
        <is>
          <t>BBG01NMLGJ62 Equity</t>
        </is>
      </c>
      <c r="B2693" t="inlineStr">
        <is>
          <t>TSLA US 03/21/25 P450</t>
        </is>
      </c>
      <c r="C2693" t="inlineStr">
        <is>
          <t>2025-03-21</t>
        </is>
      </c>
      <c r="D2693" t="n">
        <v>450</v>
      </c>
      <c r="E2693" t="inlineStr">
        <is>
          <t>BBG01NMLGJ62</t>
        </is>
      </c>
    </row>
    <row r="2694">
      <c r="A2694" t="inlineStr">
        <is>
          <t>BBG01RJGMT87 Equity</t>
        </is>
      </c>
      <c r="B2694" t="inlineStr">
        <is>
          <t>TSLA US 03/21/25 P455</t>
        </is>
      </c>
      <c r="C2694" t="inlineStr">
        <is>
          <t>2025-03-21</t>
        </is>
      </c>
      <c r="D2694" t="n">
        <v>455</v>
      </c>
      <c r="E2694" t="inlineStr">
        <is>
          <t>BBG01RJGMT87</t>
        </is>
      </c>
    </row>
    <row r="2695">
      <c r="A2695" t="inlineStr">
        <is>
          <t>BBG01NMLGHM8 Equity</t>
        </is>
      </c>
      <c r="B2695" t="inlineStr">
        <is>
          <t>TSLA US 03/21/25 P460</t>
        </is>
      </c>
      <c r="C2695" t="inlineStr">
        <is>
          <t>2025-03-21</t>
        </is>
      </c>
      <c r="D2695" t="n">
        <v>460</v>
      </c>
      <c r="E2695" t="inlineStr">
        <is>
          <t>BBG01NMLGHM8</t>
        </is>
      </c>
    </row>
    <row r="2696">
      <c r="A2696" t="inlineStr">
        <is>
          <t>BBG01RJGLRC7 Equity</t>
        </is>
      </c>
      <c r="B2696" t="inlineStr">
        <is>
          <t>TSLA US 03/21/25 P465</t>
        </is>
      </c>
      <c r="C2696" t="inlineStr">
        <is>
          <t>2025-03-21</t>
        </is>
      </c>
      <c r="D2696" t="n">
        <v>465</v>
      </c>
      <c r="E2696" t="inlineStr">
        <is>
          <t>BBG01RJGLRC7</t>
        </is>
      </c>
    </row>
    <row r="2697">
      <c r="A2697" t="inlineStr">
        <is>
          <t>BBG01NP3CCR5 Equity</t>
        </is>
      </c>
      <c r="B2697" t="inlineStr">
        <is>
          <t>TSLA US 03/21/25 P470</t>
        </is>
      </c>
      <c r="C2697" t="inlineStr">
        <is>
          <t>2025-03-21</t>
        </is>
      </c>
      <c r="D2697" t="n">
        <v>470</v>
      </c>
      <c r="E2697" t="inlineStr">
        <is>
          <t>BBG01NP3CCR5</t>
        </is>
      </c>
    </row>
    <row r="2698">
      <c r="A2698" t="inlineStr">
        <is>
          <t>BBG01RJGMTW0 Equity</t>
        </is>
      </c>
      <c r="B2698" t="inlineStr">
        <is>
          <t>TSLA US 03/21/25 P475</t>
        </is>
      </c>
      <c r="C2698" t="inlineStr">
        <is>
          <t>2025-03-21</t>
        </is>
      </c>
      <c r="D2698" t="n">
        <v>475</v>
      </c>
      <c r="E2698" t="inlineStr">
        <is>
          <t>BBG01RJGMTW0</t>
        </is>
      </c>
    </row>
    <row r="2699">
      <c r="A2699" t="inlineStr">
        <is>
          <t>BBG01NP3CFH9 Equity</t>
        </is>
      </c>
      <c r="B2699" t="inlineStr">
        <is>
          <t>TSLA US 03/21/25 P480</t>
        </is>
      </c>
      <c r="C2699" t="inlineStr">
        <is>
          <t>2025-03-21</t>
        </is>
      </c>
      <c r="D2699" t="n">
        <v>480</v>
      </c>
      <c r="E2699" t="inlineStr">
        <is>
          <t>BBG01NP3CFH9</t>
        </is>
      </c>
    </row>
    <row r="2700">
      <c r="A2700" t="inlineStr">
        <is>
          <t>BBG01RJGL7H6 Equity</t>
        </is>
      </c>
      <c r="B2700" t="inlineStr">
        <is>
          <t>TSLA US 03/21/25 P485</t>
        </is>
      </c>
      <c r="C2700" t="inlineStr">
        <is>
          <t>2025-03-21</t>
        </is>
      </c>
      <c r="D2700" t="n">
        <v>485</v>
      </c>
      <c r="E2700" t="inlineStr">
        <is>
          <t>BBG01RJGL7H6</t>
        </is>
      </c>
    </row>
    <row r="2701">
      <c r="A2701" t="inlineStr">
        <is>
          <t>BBG01NP3CDB0 Equity</t>
        </is>
      </c>
      <c r="B2701" t="inlineStr">
        <is>
          <t>TSLA US 03/21/25 P490</t>
        </is>
      </c>
      <c r="C2701" t="inlineStr">
        <is>
          <t>2025-03-21</t>
        </is>
      </c>
      <c r="D2701" t="n">
        <v>490</v>
      </c>
      <c r="E2701" t="inlineStr">
        <is>
          <t>BBG01NP3CDB0</t>
        </is>
      </c>
    </row>
    <row r="2702">
      <c r="A2702" t="inlineStr">
        <is>
          <t>BBG01RJGL688 Equity</t>
        </is>
      </c>
      <c r="B2702" t="inlineStr">
        <is>
          <t>TSLA US 03/21/25 P495</t>
        </is>
      </c>
      <c r="C2702" t="inlineStr">
        <is>
          <t>2025-03-21</t>
        </is>
      </c>
      <c r="D2702" t="n">
        <v>495</v>
      </c>
      <c r="E2702" t="inlineStr">
        <is>
          <t>BBG01RJGL688</t>
        </is>
      </c>
    </row>
    <row r="2703">
      <c r="A2703" t="inlineStr">
        <is>
          <t>BBG01NP3CDX6 Equity</t>
        </is>
      </c>
      <c r="B2703" t="inlineStr">
        <is>
          <t>TSLA US 03/21/25 P500</t>
        </is>
      </c>
      <c r="C2703" t="inlineStr">
        <is>
          <t>2025-03-21</t>
        </is>
      </c>
      <c r="D2703" t="n">
        <v>500</v>
      </c>
      <c r="E2703" t="inlineStr">
        <is>
          <t>BBG01NP3CDX6</t>
        </is>
      </c>
    </row>
    <row r="2704">
      <c r="A2704" t="inlineStr">
        <is>
          <t>BBG01RJGLLD9 Equity</t>
        </is>
      </c>
      <c r="B2704" t="inlineStr">
        <is>
          <t>TSLA US 03/21/25 P505</t>
        </is>
      </c>
      <c r="C2704" t="inlineStr">
        <is>
          <t>2025-03-21</t>
        </is>
      </c>
      <c r="D2704" t="n">
        <v>505</v>
      </c>
      <c r="E2704" t="inlineStr">
        <is>
          <t>BBG01RJGLLD9</t>
        </is>
      </c>
    </row>
    <row r="2705">
      <c r="A2705" t="inlineStr">
        <is>
          <t>BBG01NQ1KV15 Equity</t>
        </is>
      </c>
      <c r="B2705" t="inlineStr">
        <is>
          <t>TSLA US 03/21/25 P510</t>
        </is>
      </c>
      <c r="C2705" t="inlineStr">
        <is>
          <t>2025-03-21</t>
        </is>
      </c>
      <c r="D2705" t="n">
        <v>510</v>
      </c>
      <c r="E2705" t="inlineStr">
        <is>
          <t>BBG01NQ1KV15</t>
        </is>
      </c>
    </row>
    <row r="2706">
      <c r="A2706" t="inlineStr">
        <is>
          <t>BBG01RJGLM01 Equity</t>
        </is>
      </c>
      <c r="B2706" t="inlineStr">
        <is>
          <t>TSLA US 03/21/25 P515</t>
        </is>
      </c>
      <c r="C2706" t="inlineStr">
        <is>
          <t>2025-03-21</t>
        </is>
      </c>
      <c r="D2706" t="n">
        <v>515</v>
      </c>
      <c r="E2706" t="inlineStr">
        <is>
          <t>BBG01RJGLM01</t>
        </is>
      </c>
    </row>
    <row r="2707">
      <c r="A2707" t="inlineStr">
        <is>
          <t>BBG01NQ1KSW8 Equity</t>
        </is>
      </c>
      <c r="B2707" t="inlineStr">
        <is>
          <t>TSLA US 03/21/25 P520</t>
        </is>
      </c>
      <c r="C2707" t="inlineStr">
        <is>
          <t>2025-03-21</t>
        </is>
      </c>
      <c r="D2707" t="n">
        <v>520</v>
      </c>
      <c r="E2707" t="inlineStr">
        <is>
          <t>BBG01NQ1KSW8</t>
        </is>
      </c>
    </row>
    <row r="2708">
      <c r="A2708" t="inlineStr">
        <is>
          <t>BBG01PH6TGY7 Equity</t>
        </is>
      </c>
      <c r="B2708" t="inlineStr">
        <is>
          <t>TSLA US 04/17/25 P215</t>
        </is>
      </c>
      <c r="C2708" t="inlineStr">
        <is>
          <t>2025-04-17</t>
        </is>
      </c>
      <c r="D2708" t="n">
        <v>215</v>
      </c>
      <c r="E2708" t="inlineStr">
        <is>
          <t>BBG01PH6TGY7</t>
        </is>
      </c>
    </row>
    <row r="2709">
      <c r="A2709" t="inlineStr">
        <is>
          <t>BBG01T1K5W03 Equity</t>
        </is>
      </c>
      <c r="B2709" t="inlineStr">
        <is>
          <t>TSLA US 04/17/25 P217.5</t>
        </is>
      </c>
      <c r="C2709" t="inlineStr">
        <is>
          <t>2025-04-17</t>
        </is>
      </c>
      <c r="D2709" t="n">
        <v>217.5</v>
      </c>
      <c r="E2709" t="inlineStr">
        <is>
          <t>BBG01T1K5W03</t>
        </is>
      </c>
    </row>
    <row r="2710">
      <c r="A2710" t="inlineStr">
        <is>
          <t>BBG01PH6SRV7 Equity</t>
        </is>
      </c>
      <c r="B2710" t="inlineStr">
        <is>
          <t>TSLA US 04/17/25 P220</t>
        </is>
      </c>
      <c r="C2710" t="inlineStr">
        <is>
          <t>2025-04-17</t>
        </is>
      </c>
      <c r="D2710" t="n">
        <v>220</v>
      </c>
      <c r="E2710" t="inlineStr">
        <is>
          <t>BBG01PH6SRV7</t>
        </is>
      </c>
    </row>
    <row r="2711">
      <c r="A2711" t="inlineStr">
        <is>
          <t>BBG01T1K7GN1 Equity</t>
        </is>
      </c>
      <c r="B2711" t="inlineStr">
        <is>
          <t>TSLA US 04/17/25 P222.5</t>
        </is>
      </c>
      <c r="C2711" t="inlineStr">
        <is>
          <t>2025-04-17</t>
        </is>
      </c>
      <c r="D2711" t="n">
        <v>222.5</v>
      </c>
      <c r="E2711" t="inlineStr">
        <is>
          <t>BBG01T1K7GN1</t>
        </is>
      </c>
    </row>
    <row r="2712">
      <c r="A2712" t="inlineStr">
        <is>
          <t>BBG01PH6S0S0 Equity</t>
        </is>
      </c>
      <c r="B2712" t="inlineStr">
        <is>
          <t>TSLA US 04/17/25 P225</t>
        </is>
      </c>
      <c r="C2712" t="inlineStr">
        <is>
          <t>2025-04-17</t>
        </is>
      </c>
      <c r="D2712" t="n">
        <v>225</v>
      </c>
      <c r="E2712" t="inlineStr">
        <is>
          <t>BBG01PH6S0S0</t>
        </is>
      </c>
    </row>
    <row r="2713">
      <c r="A2713" t="inlineStr">
        <is>
          <t>BBG01T1K7G15 Equity</t>
        </is>
      </c>
      <c r="B2713" t="inlineStr">
        <is>
          <t>TSLA US 04/17/25 P227.5</t>
        </is>
      </c>
      <c r="C2713" t="inlineStr">
        <is>
          <t>2025-04-17</t>
        </is>
      </c>
      <c r="D2713" t="n">
        <v>227.5</v>
      </c>
      <c r="E2713" t="inlineStr">
        <is>
          <t>BBG01T1K7G15</t>
        </is>
      </c>
    </row>
    <row r="2714">
      <c r="A2714" t="inlineStr">
        <is>
          <t>BBG01PH6S4S2 Equity</t>
        </is>
      </c>
      <c r="B2714" t="inlineStr">
        <is>
          <t>TSLA US 04/17/25 P230</t>
        </is>
      </c>
      <c r="C2714" t="inlineStr">
        <is>
          <t>2025-04-17</t>
        </is>
      </c>
      <c r="D2714" t="n">
        <v>230</v>
      </c>
      <c r="E2714" t="inlineStr">
        <is>
          <t>BBG01PH6S4S2</t>
        </is>
      </c>
    </row>
    <row r="2715">
      <c r="A2715" t="inlineStr">
        <is>
          <t>BBG01T1K6SC8 Equity</t>
        </is>
      </c>
      <c r="B2715" t="inlineStr">
        <is>
          <t>TSLA US 04/17/25 P232.5</t>
        </is>
      </c>
      <c r="C2715" t="inlineStr">
        <is>
          <t>2025-04-17</t>
        </is>
      </c>
      <c r="D2715" t="n">
        <v>232.5</v>
      </c>
      <c r="E2715" t="inlineStr">
        <is>
          <t>BBG01T1K6SC8</t>
        </is>
      </c>
    </row>
    <row r="2716">
      <c r="A2716" t="inlineStr">
        <is>
          <t>BBG01PH6TGC1 Equity</t>
        </is>
      </c>
      <c r="B2716" t="inlineStr">
        <is>
          <t>TSLA US 04/17/25 P235</t>
        </is>
      </c>
      <c r="C2716" t="inlineStr">
        <is>
          <t>2025-04-17</t>
        </is>
      </c>
      <c r="D2716" t="n">
        <v>235</v>
      </c>
      <c r="E2716" t="inlineStr">
        <is>
          <t>BBG01PH6TGC1</t>
        </is>
      </c>
    </row>
    <row r="2717">
      <c r="A2717" t="inlineStr">
        <is>
          <t>BBG01T1K6TL6 Equity</t>
        </is>
      </c>
      <c r="B2717" t="inlineStr">
        <is>
          <t>TSLA US 04/17/25 P237.5</t>
        </is>
      </c>
      <c r="C2717" t="inlineStr">
        <is>
          <t>2025-04-17</t>
        </is>
      </c>
      <c r="D2717" t="n">
        <v>237.5</v>
      </c>
      <c r="E2717" t="inlineStr">
        <is>
          <t>BBG01T1K6TL6</t>
        </is>
      </c>
    </row>
    <row r="2718">
      <c r="A2718" t="inlineStr">
        <is>
          <t>BBG01PH6SD48 Equity</t>
        </is>
      </c>
      <c r="B2718" t="inlineStr">
        <is>
          <t>TSLA US 04/17/25 P240</t>
        </is>
      </c>
      <c r="C2718" t="inlineStr">
        <is>
          <t>2025-04-17</t>
        </is>
      </c>
      <c r="D2718" t="n">
        <v>240</v>
      </c>
      <c r="E2718" t="inlineStr">
        <is>
          <t>BBG01PH6SD48</t>
        </is>
      </c>
    </row>
    <row r="2719">
      <c r="A2719" t="inlineStr">
        <is>
          <t>BBG01T1K7HW9 Equity</t>
        </is>
      </c>
      <c r="B2719" t="inlineStr">
        <is>
          <t>TSLA US 04/17/25 P242.5</t>
        </is>
      </c>
      <c r="C2719" t="inlineStr">
        <is>
          <t>2025-04-17</t>
        </is>
      </c>
      <c r="D2719" t="n">
        <v>242.5</v>
      </c>
      <c r="E2719" t="inlineStr">
        <is>
          <t>BBG01T1K7HW9</t>
        </is>
      </c>
    </row>
    <row r="2720">
      <c r="A2720" t="inlineStr">
        <is>
          <t>BBG01PH6S313 Equity</t>
        </is>
      </c>
      <c r="B2720" t="inlineStr">
        <is>
          <t>TSLA US 04/17/25 P245</t>
        </is>
      </c>
      <c r="C2720" t="inlineStr">
        <is>
          <t>2025-04-17</t>
        </is>
      </c>
      <c r="D2720" t="n">
        <v>245</v>
      </c>
      <c r="E2720" t="inlineStr">
        <is>
          <t>BBG01PH6S313</t>
        </is>
      </c>
    </row>
    <row r="2721">
      <c r="A2721" t="inlineStr">
        <is>
          <t>BBG01T1K7P15 Equity</t>
        </is>
      </c>
      <c r="B2721" t="inlineStr">
        <is>
          <t>TSLA US 04/17/25 P247.5</t>
        </is>
      </c>
      <c r="C2721" t="inlineStr">
        <is>
          <t>2025-04-17</t>
        </is>
      </c>
      <c r="D2721" t="n">
        <v>247.5</v>
      </c>
      <c r="E2721" t="inlineStr">
        <is>
          <t>BBG01T1K7P15</t>
        </is>
      </c>
    </row>
    <row r="2722">
      <c r="A2722" t="inlineStr">
        <is>
          <t>BBG01PH6T161 Equity</t>
        </is>
      </c>
      <c r="B2722" t="inlineStr">
        <is>
          <t>TSLA US 04/17/25 P250</t>
        </is>
      </c>
      <c r="C2722" t="inlineStr">
        <is>
          <t>2025-04-17</t>
        </is>
      </c>
      <c r="D2722" t="n">
        <v>250</v>
      </c>
      <c r="E2722" t="inlineStr">
        <is>
          <t>BBG01PH6T161</t>
        </is>
      </c>
    </row>
    <row r="2723">
      <c r="A2723" t="inlineStr">
        <is>
          <t>BBG01T1K6RR4 Equity</t>
        </is>
      </c>
      <c r="B2723" t="inlineStr">
        <is>
          <t>TSLA US 04/17/25 P252.5</t>
        </is>
      </c>
      <c r="C2723" t="inlineStr">
        <is>
          <t>2025-04-17</t>
        </is>
      </c>
      <c r="D2723" t="n">
        <v>252.5</v>
      </c>
      <c r="E2723" t="inlineStr">
        <is>
          <t>BBG01T1K6RR4</t>
        </is>
      </c>
    </row>
    <row r="2724">
      <c r="A2724" t="inlineStr">
        <is>
          <t>BBG01PH6SDY5 Equity</t>
        </is>
      </c>
      <c r="B2724" t="inlineStr">
        <is>
          <t>TSLA US 04/17/25 P255</t>
        </is>
      </c>
      <c r="C2724" t="inlineStr">
        <is>
          <t>2025-04-17</t>
        </is>
      </c>
      <c r="D2724" t="n">
        <v>255</v>
      </c>
      <c r="E2724" t="inlineStr">
        <is>
          <t>BBG01PH6SDY5</t>
        </is>
      </c>
    </row>
    <row r="2725">
      <c r="A2725" t="inlineStr">
        <is>
          <t>BBG01T1K6SZ3 Equity</t>
        </is>
      </c>
      <c r="B2725" t="inlineStr">
        <is>
          <t>TSLA US 04/17/25 P257.5</t>
        </is>
      </c>
      <c r="C2725" t="inlineStr">
        <is>
          <t>2025-04-17</t>
        </is>
      </c>
      <c r="D2725" t="n">
        <v>257.5</v>
      </c>
      <c r="E2725" t="inlineStr">
        <is>
          <t>BBG01T1K6SZ3</t>
        </is>
      </c>
    </row>
    <row r="2726">
      <c r="A2726" t="inlineStr">
        <is>
          <t>BBG01PH6SY60 Equity</t>
        </is>
      </c>
      <c r="B2726" t="inlineStr">
        <is>
          <t>TSLA US 04/17/25 P260</t>
        </is>
      </c>
      <c r="C2726" t="inlineStr">
        <is>
          <t>2025-04-17</t>
        </is>
      </c>
      <c r="D2726" t="n">
        <v>260</v>
      </c>
      <c r="E2726" t="inlineStr">
        <is>
          <t>BBG01PH6SY60</t>
        </is>
      </c>
    </row>
    <row r="2727">
      <c r="A2727" t="inlineStr">
        <is>
          <t>BBG01T1K7H86 Equity</t>
        </is>
      </c>
      <c r="B2727" t="inlineStr">
        <is>
          <t>TSLA US 04/17/25 P262.5</t>
        </is>
      </c>
      <c r="C2727" t="inlineStr">
        <is>
          <t>2025-04-17</t>
        </is>
      </c>
      <c r="D2727" t="n">
        <v>262.5</v>
      </c>
      <c r="E2727" t="inlineStr">
        <is>
          <t>BBG01T1K7H86</t>
        </is>
      </c>
    </row>
    <row r="2728">
      <c r="A2728" t="inlineStr">
        <is>
          <t>BBG01PH6SFJ7 Equity</t>
        </is>
      </c>
      <c r="B2728" t="inlineStr">
        <is>
          <t>TSLA US 04/17/25 P265</t>
        </is>
      </c>
      <c r="C2728" t="inlineStr">
        <is>
          <t>2025-04-17</t>
        </is>
      </c>
      <c r="D2728" t="n">
        <v>265</v>
      </c>
      <c r="E2728" t="inlineStr">
        <is>
          <t>BBG01PH6SFJ7</t>
        </is>
      </c>
    </row>
    <row r="2729">
      <c r="A2729" t="inlineStr">
        <is>
          <t>BBG01T5R5SG6 Equity</t>
        </is>
      </c>
      <c r="B2729" t="inlineStr">
        <is>
          <t>TSLA US 04/17/25 P267.5</t>
        </is>
      </c>
      <c r="C2729" t="inlineStr">
        <is>
          <t>2025-04-17</t>
        </is>
      </c>
      <c r="D2729" t="n">
        <v>267.5</v>
      </c>
      <c r="E2729" t="inlineStr">
        <is>
          <t>BBG01T5R5SG6</t>
        </is>
      </c>
    </row>
    <row r="2730">
      <c r="A2730" t="inlineStr">
        <is>
          <t>BBG01PH6SYS6 Equity</t>
        </is>
      </c>
      <c r="B2730" t="inlineStr">
        <is>
          <t>TSLA US 04/17/25 P270</t>
        </is>
      </c>
      <c r="C2730" t="inlineStr">
        <is>
          <t>2025-04-17</t>
        </is>
      </c>
      <c r="D2730" t="n">
        <v>270</v>
      </c>
      <c r="E2730" t="inlineStr">
        <is>
          <t>BBG01PH6SYS6</t>
        </is>
      </c>
    </row>
    <row r="2731">
      <c r="A2731" t="inlineStr">
        <is>
          <t>BBG01T5R6D23 Equity</t>
        </is>
      </c>
      <c r="B2731" t="inlineStr">
        <is>
          <t>TSLA US 04/17/25 P272.5</t>
        </is>
      </c>
      <c r="C2731" t="inlineStr">
        <is>
          <t>2025-04-17</t>
        </is>
      </c>
      <c r="D2731" t="n">
        <v>272.5</v>
      </c>
      <c r="E2731" t="inlineStr">
        <is>
          <t>BBG01T5R6D23</t>
        </is>
      </c>
    </row>
    <row r="2732">
      <c r="A2732" t="inlineStr">
        <is>
          <t>BBG01PH6RVJ3 Equity</t>
        </is>
      </c>
      <c r="B2732" t="inlineStr">
        <is>
          <t>TSLA US 04/17/25 P275</t>
        </is>
      </c>
      <c r="C2732" t="inlineStr">
        <is>
          <t>2025-04-17</t>
        </is>
      </c>
      <c r="D2732" t="n">
        <v>275</v>
      </c>
      <c r="E2732" t="inlineStr">
        <is>
          <t>BBG01PH6RVJ3</t>
        </is>
      </c>
    </row>
    <row r="2733">
      <c r="A2733" t="inlineStr">
        <is>
          <t>BBG01T5R5RV1 Equity</t>
        </is>
      </c>
      <c r="B2733" t="inlineStr">
        <is>
          <t>TSLA US 04/17/25 P277.5</t>
        </is>
      </c>
      <c r="C2733" t="inlineStr">
        <is>
          <t>2025-04-17</t>
        </is>
      </c>
      <c r="D2733" t="n">
        <v>277.5</v>
      </c>
      <c r="E2733" t="inlineStr">
        <is>
          <t>BBG01T5R5RV1</t>
        </is>
      </c>
    </row>
    <row r="2734">
      <c r="A2734" t="inlineStr">
        <is>
          <t>BBG01PH6SCK2 Equity</t>
        </is>
      </c>
      <c r="B2734" t="inlineStr">
        <is>
          <t>TSLA US 04/17/25 P280</t>
        </is>
      </c>
      <c r="C2734" t="inlineStr">
        <is>
          <t>2025-04-17</t>
        </is>
      </c>
      <c r="D2734" t="n">
        <v>280</v>
      </c>
      <c r="E2734" t="inlineStr">
        <is>
          <t>BBG01PH6SCK2</t>
        </is>
      </c>
    </row>
    <row r="2735">
      <c r="A2735" t="inlineStr">
        <is>
          <t>BBG01T5R6CG0 Equity</t>
        </is>
      </c>
      <c r="B2735" t="inlineStr">
        <is>
          <t>TSLA US 04/17/25 P282.5</t>
        </is>
      </c>
      <c r="C2735" t="inlineStr">
        <is>
          <t>2025-04-17</t>
        </is>
      </c>
      <c r="D2735" t="n">
        <v>282.5</v>
      </c>
      <c r="E2735" t="inlineStr">
        <is>
          <t>BBG01T5R6CG0</t>
        </is>
      </c>
    </row>
    <row r="2736">
      <c r="A2736" t="inlineStr">
        <is>
          <t>BBG01PH6RRN7 Equity</t>
        </is>
      </c>
      <c r="B2736" t="inlineStr">
        <is>
          <t>TSLA US 04/17/25 P285</t>
        </is>
      </c>
      <c r="C2736" t="inlineStr">
        <is>
          <t>2025-04-17</t>
        </is>
      </c>
      <c r="D2736" t="n">
        <v>285</v>
      </c>
      <c r="E2736" t="inlineStr">
        <is>
          <t>BBG01PH6RRN7</t>
        </is>
      </c>
    </row>
    <row r="2737">
      <c r="A2737" t="inlineStr">
        <is>
          <t>BBG01T5R6VJ5 Equity</t>
        </is>
      </c>
      <c r="B2737" t="inlineStr">
        <is>
          <t>TSLA US 04/17/25 P287.5</t>
        </is>
      </c>
      <c r="C2737" t="inlineStr">
        <is>
          <t>2025-04-17</t>
        </is>
      </c>
      <c r="D2737" t="n">
        <v>287.5</v>
      </c>
      <c r="E2737" t="inlineStr">
        <is>
          <t>BBG01T5R6VJ5</t>
        </is>
      </c>
    </row>
    <row r="2738">
      <c r="A2738" t="inlineStr">
        <is>
          <t>BBG01PH6T1S7 Equity</t>
        </is>
      </c>
      <c r="B2738" t="inlineStr">
        <is>
          <t>TSLA US 04/17/25 P290</t>
        </is>
      </c>
      <c r="C2738" t="inlineStr">
        <is>
          <t>2025-04-17</t>
        </is>
      </c>
      <c r="D2738" t="n">
        <v>290</v>
      </c>
      <c r="E2738" t="inlineStr">
        <is>
          <t>BBG01PH6T1S7</t>
        </is>
      </c>
    </row>
    <row r="2739">
      <c r="A2739" t="inlineStr">
        <is>
          <t>BBG01T5R77K5 Equity</t>
        </is>
      </c>
      <c r="B2739" t="inlineStr">
        <is>
          <t>TSLA US 04/17/25 P292.5</t>
        </is>
      </c>
      <c r="C2739" t="inlineStr">
        <is>
          <t>2025-04-17</t>
        </is>
      </c>
      <c r="D2739" t="n">
        <v>292.5</v>
      </c>
      <c r="E2739" t="inlineStr">
        <is>
          <t>BBG01T5R77K5</t>
        </is>
      </c>
    </row>
    <row r="2740">
      <c r="A2740" t="inlineStr">
        <is>
          <t>BBG01PH6S7L2 Equity</t>
        </is>
      </c>
      <c r="B2740" t="inlineStr">
        <is>
          <t>TSLA US 04/17/25 P295</t>
        </is>
      </c>
      <c r="C2740" t="inlineStr">
        <is>
          <t>2025-04-17</t>
        </is>
      </c>
      <c r="D2740" t="n">
        <v>295</v>
      </c>
      <c r="E2740" t="inlineStr">
        <is>
          <t>BBG01PH6S7L2</t>
        </is>
      </c>
    </row>
    <row r="2741">
      <c r="A2741" t="inlineStr">
        <is>
          <t>BBG01T5R72D4 Equity</t>
        </is>
      </c>
      <c r="B2741" t="inlineStr">
        <is>
          <t>TSLA US 04/17/25 P297.5</t>
        </is>
      </c>
      <c r="C2741" t="inlineStr">
        <is>
          <t>2025-04-17</t>
        </is>
      </c>
      <c r="D2741" t="n">
        <v>297.5</v>
      </c>
      <c r="E2741" t="inlineStr">
        <is>
          <t>BBG01T5R72D4</t>
        </is>
      </c>
    </row>
    <row r="2742">
      <c r="A2742" t="inlineStr">
        <is>
          <t>BBG01PH6S3M0 Equity</t>
        </is>
      </c>
      <c r="B2742" t="inlineStr">
        <is>
          <t>TSLA US 04/17/25 P300</t>
        </is>
      </c>
      <c r="C2742" t="inlineStr">
        <is>
          <t>2025-04-17</t>
        </is>
      </c>
      <c r="D2742" t="n">
        <v>300</v>
      </c>
      <c r="E2742" t="inlineStr">
        <is>
          <t>BBG01PH6S3M0</t>
        </is>
      </c>
    </row>
    <row r="2743">
      <c r="A2743" t="inlineStr">
        <is>
          <t>BBG01T5R6F91 Equity</t>
        </is>
      </c>
      <c r="B2743" t="inlineStr">
        <is>
          <t>TSLA US 04/17/25 P302.5</t>
        </is>
      </c>
      <c r="C2743" t="inlineStr">
        <is>
          <t>2025-04-17</t>
        </is>
      </c>
      <c r="D2743" t="n">
        <v>302.5</v>
      </c>
      <c r="E2743" t="inlineStr">
        <is>
          <t>BBG01T5R6F91</t>
        </is>
      </c>
    </row>
    <row r="2744">
      <c r="A2744" t="inlineStr">
        <is>
          <t>BBG01PH6T857 Equity</t>
        </is>
      </c>
      <c r="B2744" t="inlineStr">
        <is>
          <t>TSLA US 04/17/25 P305</t>
        </is>
      </c>
      <c r="C2744" t="inlineStr">
        <is>
          <t>2025-04-17</t>
        </is>
      </c>
      <c r="D2744" t="n">
        <v>305</v>
      </c>
      <c r="E2744" t="inlineStr">
        <is>
          <t>BBG01PH6T857</t>
        </is>
      </c>
    </row>
    <row r="2745">
      <c r="A2745" t="inlineStr">
        <is>
          <t>BBG01T5R6JM8 Equity</t>
        </is>
      </c>
      <c r="B2745" t="inlineStr">
        <is>
          <t>TSLA US 04/17/25 P307.5</t>
        </is>
      </c>
      <c r="C2745" t="inlineStr">
        <is>
          <t>2025-04-17</t>
        </is>
      </c>
      <c r="D2745" t="n">
        <v>307.5</v>
      </c>
      <c r="E2745" t="inlineStr">
        <is>
          <t>BBG01T5R6JM8</t>
        </is>
      </c>
    </row>
    <row r="2746">
      <c r="A2746" t="inlineStr">
        <is>
          <t>BBG01PH6SDC9 Equity</t>
        </is>
      </c>
      <c r="B2746" t="inlineStr">
        <is>
          <t>TSLA US 04/17/25 P310</t>
        </is>
      </c>
      <c r="C2746" t="inlineStr">
        <is>
          <t>2025-04-17</t>
        </is>
      </c>
      <c r="D2746" t="n">
        <v>310</v>
      </c>
      <c r="E2746" t="inlineStr">
        <is>
          <t>BBG01PH6SDC9</t>
        </is>
      </c>
    </row>
    <row r="2747">
      <c r="A2747" t="inlineStr">
        <is>
          <t>BBG01T5R6J02 Equity</t>
        </is>
      </c>
      <c r="B2747" t="inlineStr">
        <is>
          <t>TSLA US 04/17/25 P312.5</t>
        </is>
      </c>
      <c r="C2747" t="inlineStr">
        <is>
          <t>2025-04-17</t>
        </is>
      </c>
      <c r="D2747" t="n">
        <v>312.5</v>
      </c>
      <c r="E2747" t="inlineStr">
        <is>
          <t>BBG01T5R6J02</t>
        </is>
      </c>
    </row>
    <row r="2748">
      <c r="A2748" t="inlineStr">
        <is>
          <t>BBG01PH6T4M7 Equity</t>
        </is>
      </c>
      <c r="B2748" t="inlineStr">
        <is>
          <t>TSLA US 04/17/25 P315</t>
        </is>
      </c>
      <c r="C2748" t="inlineStr">
        <is>
          <t>2025-04-17</t>
        </is>
      </c>
      <c r="D2748" t="n">
        <v>315</v>
      </c>
      <c r="E2748" t="inlineStr">
        <is>
          <t>BBG01PH6T4M7</t>
        </is>
      </c>
    </row>
    <row r="2749">
      <c r="A2749" t="inlineStr">
        <is>
          <t>BBG01T5R75Q3 Equity</t>
        </is>
      </c>
      <c r="B2749" t="inlineStr">
        <is>
          <t>TSLA US 04/17/25 P317.5</t>
        </is>
      </c>
      <c r="C2749" t="inlineStr">
        <is>
          <t>2025-04-17</t>
        </is>
      </c>
      <c r="D2749" t="n">
        <v>317.5</v>
      </c>
      <c r="E2749" t="inlineStr">
        <is>
          <t>BBG01T5R75Q3</t>
        </is>
      </c>
    </row>
    <row r="2750">
      <c r="A2750" t="inlineStr">
        <is>
          <t>BBG01PH6RWK9 Equity</t>
        </is>
      </c>
      <c r="B2750" t="inlineStr">
        <is>
          <t>TSLA US 04/17/25 P320</t>
        </is>
      </c>
      <c r="C2750" t="inlineStr">
        <is>
          <t>2025-04-17</t>
        </is>
      </c>
      <c r="D2750" t="n">
        <v>320</v>
      </c>
      <c r="E2750" t="inlineStr">
        <is>
          <t>BBG01PH6RWK9</t>
        </is>
      </c>
    </row>
    <row r="2751">
      <c r="A2751" t="inlineStr">
        <is>
          <t>BBG01T5R6W49 Equity</t>
        </is>
      </c>
      <c r="B2751" t="inlineStr">
        <is>
          <t>TSLA US 04/17/25 P322.5</t>
        </is>
      </c>
      <c r="C2751" t="inlineStr">
        <is>
          <t>2025-04-17</t>
        </is>
      </c>
      <c r="D2751" t="n">
        <v>322.5</v>
      </c>
      <c r="E2751" t="inlineStr">
        <is>
          <t>BBG01T5R6W49</t>
        </is>
      </c>
    </row>
    <row r="2752">
      <c r="A2752" t="inlineStr">
        <is>
          <t>BBG01PH6T2Y8 Equity</t>
        </is>
      </c>
      <c r="B2752" t="inlineStr">
        <is>
          <t>TSLA US 04/17/25 P325</t>
        </is>
      </c>
      <c r="C2752" t="inlineStr">
        <is>
          <t>2025-04-17</t>
        </is>
      </c>
      <c r="D2752" t="n">
        <v>325</v>
      </c>
      <c r="E2752" t="inlineStr">
        <is>
          <t>BBG01PH6T2Y8</t>
        </is>
      </c>
    </row>
    <row r="2753">
      <c r="A2753" t="inlineStr">
        <is>
          <t>BBG01T5R6DP8 Equity</t>
        </is>
      </c>
      <c r="B2753" t="inlineStr">
        <is>
          <t>TSLA US 04/17/25 P327.5</t>
        </is>
      </c>
      <c r="C2753" t="inlineStr">
        <is>
          <t>2025-04-17</t>
        </is>
      </c>
      <c r="D2753" t="n">
        <v>327.5</v>
      </c>
      <c r="E2753" t="inlineStr">
        <is>
          <t>BBG01T5R6DP8</t>
        </is>
      </c>
    </row>
    <row r="2754">
      <c r="A2754" t="inlineStr">
        <is>
          <t>BBG01PH6SBM2 Equity</t>
        </is>
      </c>
      <c r="B2754" t="inlineStr">
        <is>
          <t>TSLA US 04/17/25 P330</t>
        </is>
      </c>
      <c r="C2754" t="inlineStr">
        <is>
          <t>2025-04-17</t>
        </is>
      </c>
      <c r="D2754" t="n">
        <v>330</v>
      </c>
      <c r="E2754" t="inlineStr">
        <is>
          <t>BBG01PH6SBM2</t>
        </is>
      </c>
    </row>
    <row r="2755">
      <c r="A2755" t="inlineStr">
        <is>
          <t>BBG01PH6T410 Equity</t>
        </is>
      </c>
      <c r="B2755" t="inlineStr">
        <is>
          <t>TSLA US 04/17/25 P335</t>
        </is>
      </c>
      <c r="C2755" t="inlineStr">
        <is>
          <t>2025-04-17</t>
        </is>
      </c>
      <c r="D2755" t="n">
        <v>335</v>
      </c>
      <c r="E2755" t="inlineStr">
        <is>
          <t>BBG01PH6T410</t>
        </is>
      </c>
    </row>
    <row r="2756">
      <c r="A2756" t="inlineStr">
        <is>
          <t>BBG01PH6S9G4 Equity</t>
        </is>
      </c>
      <c r="B2756" t="inlineStr">
        <is>
          <t>TSLA US 04/17/25 P340</t>
        </is>
      </c>
      <c r="C2756" t="inlineStr">
        <is>
          <t>2025-04-17</t>
        </is>
      </c>
      <c r="D2756" t="n">
        <v>340</v>
      </c>
      <c r="E2756" t="inlineStr">
        <is>
          <t>BBG01PH6S9G4</t>
        </is>
      </c>
    </row>
    <row r="2757">
      <c r="A2757" t="inlineStr">
        <is>
          <t>BBG01PH6T2C2 Equity</t>
        </is>
      </c>
      <c r="B2757" t="inlineStr">
        <is>
          <t>TSLA US 04/17/25 P345</t>
        </is>
      </c>
      <c r="C2757" t="inlineStr">
        <is>
          <t>2025-04-17</t>
        </is>
      </c>
      <c r="D2757" t="n">
        <v>345</v>
      </c>
      <c r="E2757" t="inlineStr">
        <is>
          <t>BBG01PH6T2C2</t>
        </is>
      </c>
    </row>
    <row r="2758">
      <c r="A2758" t="inlineStr">
        <is>
          <t>BBG01PH6RQH6 Equity</t>
        </is>
      </c>
      <c r="B2758" t="inlineStr">
        <is>
          <t>TSLA US 04/17/25 P350</t>
        </is>
      </c>
      <c r="C2758" t="inlineStr">
        <is>
          <t>2025-04-17</t>
        </is>
      </c>
      <c r="D2758" t="n">
        <v>350</v>
      </c>
      <c r="E2758" t="inlineStr">
        <is>
          <t>BBG01PH6RQH6</t>
        </is>
      </c>
    </row>
    <row r="2759">
      <c r="A2759" t="inlineStr">
        <is>
          <t>BBG01PH6SJV5 Equity</t>
        </is>
      </c>
      <c r="B2759" t="inlineStr">
        <is>
          <t>TSLA US 04/17/25 P355</t>
        </is>
      </c>
      <c r="C2759" t="inlineStr">
        <is>
          <t>2025-04-17</t>
        </is>
      </c>
      <c r="D2759" t="n">
        <v>355</v>
      </c>
      <c r="E2759" t="inlineStr">
        <is>
          <t>BBG01PH6SJV5</t>
        </is>
      </c>
    </row>
    <row r="2760">
      <c r="A2760" t="inlineStr">
        <is>
          <t>BBG01PH6SB15 Equity</t>
        </is>
      </c>
      <c r="B2760" t="inlineStr">
        <is>
          <t>TSLA US 04/17/25 P360</t>
        </is>
      </c>
      <c r="C2760" t="inlineStr">
        <is>
          <t>2025-04-17</t>
        </is>
      </c>
      <c r="D2760" t="n">
        <v>360</v>
      </c>
      <c r="E2760" t="inlineStr">
        <is>
          <t>BBG01PH6SB15</t>
        </is>
      </c>
    </row>
    <row r="2761">
      <c r="A2761" t="inlineStr">
        <is>
          <t>BBG01PH6T562 Equity</t>
        </is>
      </c>
      <c r="B2761" t="inlineStr">
        <is>
          <t>TSLA US 04/17/25 P365</t>
        </is>
      </c>
      <c r="C2761" t="inlineStr">
        <is>
          <t>2025-04-17</t>
        </is>
      </c>
      <c r="D2761" t="n">
        <v>365</v>
      </c>
      <c r="E2761" t="inlineStr">
        <is>
          <t>BBG01PH6T562</t>
        </is>
      </c>
    </row>
    <row r="2762">
      <c r="A2762" t="inlineStr">
        <is>
          <t>BBG01PH6RN10 Equity</t>
        </is>
      </c>
      <c r="B2762" t="inlineStr">
        <is>
          <t>TSLA US 04/17/25 P370</t>
        </is>
      </c>
      <c r="C2762" t="inlineStr">
        <is>
          <t>2025-04-17</t>
        </is>
      </c>
      <c r="D2762" t="n">
        <v>370</v>
      </c>
      <c r="E2762" t="inlineStr">
        <is>
          <t>BBG01PH6RN10</t>
        </is>
      </c>
    </row>
    <row r="2763">
      <c r="A2763" t="inlineStr">
        <is>
          <t>BBG01PH6SL04 Equity</t>
        </is>
      </c>
      <c r="B2763" t="inlineStr">
        <is>
          <t>TSLA US 04/17/25 P375</t>
        </is>
      </c>
      <c r="C2763" t="inlineStr">
        <is>
          <t>2025-04-17</t>
        </is>
      </c>
      <c r="D2763" t="n">
        <v>375</v>
      </c>
      <c r="E2763" t="inlineStr">
        <is>
          <t>BBG01PH6SL04</t>
        </is>
      </c>
    </row>
    <row r="2764">
      <c r="A2764" t="inlineStr">
        <is>
          <t>BBG01PH6S6F1 Equity</t>
        </is>
      </c>
      <c r="B2764" t="inlineStr">
        <is>
          <t>TSLA US 04/17/25 P380</t>
        </is>
      </c>
      <c r="C2764" t="inlineStr">
        <is>
          <t>2025-04-17</t>
        </is>
      </c>
      <c r="D2764" t="n">
        <v>380</v>
      </c>
      <c r="E2764" t="inlineStr">
        <is>
          <t>BBG01PH6S6F1</t>
        </is>
      </c>
    </row>
    <row r="2765">
      <c r="A2765" t="inlineStr">
        <is>
          <t>BBG01PH6S8K1 Equity</t>
        </is>
      </c>
      <c r="B2765" t="inlineStr">
        <is>
          <t>TSLA US 04/17/25 P385</t>
        </is>
      </c>
      <c r="C2765" t="inlineStr">
        <is>
          <t>2025-04-17</t>
        </is>
      </c>
      <c r="D2765" t="n">
        <v>385</v>
      </c>
      <c r="E2765" t="inlineStr">
        <is>
          <t>BBG01PH6S8K1</t>
        </is>
      </c>
    </row>
    <row r="2766">
      <c r="A2766" t="inlineStr">
        <is>
          <t>BBG01PH6S5V5 Equity</t>
        </is>
      </c>
      <c r="B2766" t="inlineStr">
        <is>
          <t>TSLA US 04/17/25 P390</t>
        </is>
      </c>
      <c r="C2766" t="inlineStr">
        <is>
          <t>2025-04-17</t>
        </is>
      </c>
      <c r="D2766" t="n">
        <v>390</v>
      </c>
      <c r="E2766" t="inlineStr">
        <is>
          <t>BBG01PH6S5V5</t>
        </is>
      </c>
    </row>
    <row r="2767">
      <c r="A2767" t="inlineStr">
        <is>
          <t>BBG01PH6SXM4 Equity</t>
        </is>
      </c>
      <c r="B2767" t="inlineStr">
        <is>
          <t>TSLA US 04/17/25 P395</t>
        </is>
      </c>
      <c r="C2767" t="inlineStr">
        <is>
          <t>2025-04-17</t>
        </is>
      </c>
      <c r="D2767" t="n">
        <v>395</v>
      </c>
      <c r="E2767" t="inlineStr">
        <is>
          <t>BBG01PH6SXM4</t>
        </is>
      </c>
    </row>
    <row r="2768">
      <c r="A2768" t="inlineStr">
        <is>
          <t>BBG01PH6T5S8 Equity</t>
        </is>
      </c>
      <c r="B2768" t="inlineStr">
        <is>
          <t>TSLA US 04/17/25 P400</t>
        </is>
      </c>
      <c r="C2768" t="inlineStr">
        <is>
          <t>2025-04-17</t>
        </is>
      </c>
      <c r="D2768" t="n">
        <v>400</v>
      </c>
      <c r="E2768" t="inlineStr">
        <is>
          <t>BBG01PH6T5S8</t>
        </is>
      </c>
    </row>
    <row r="2769">
      <c r="A2769" t="inlineStr">
        <is>
          <t>BBG01PH6RY98 Equity</t>
        </is>
      </c>
      <c r="B2769" t="inlineStr">
        <is>
          <t>TSLA US 04/17/25 P405</t>
        </is>
      </c>
      <c r="C2769" t="inlineStr">
        <is>
          <t>2025-04-17</t>
        </is>
      </c>
      <c r="D2769" t="n">
        <v>405</v>
      </c>
      <c r="E2769" t="inlineStr">
        <is>
          <t>BBG01PH6RY98</t>
        </is>
      </c>
    </row>
    <row r="2770">
      <c r="A2770" t="inlineStr">
        <is>
          <t>BBG01PH6SKF0 Equity</t>
        </is>
      </c>
      <c r="B2770" t="inlineStr">
        <is>
          <t>TSLA US 04/17/25 P410</t>
        </is>
      </c>
      <c r="C2770" t="inlineStr">
        <is>
          <t>2025-04-17</t>
        </is>
      </c>
      <c r="D2770" t="n">
        <v>410</v>
      </c>
      <c r="E2770" t="inlineStr">
        <is>
          <t>BBG01PH6SKF0</t>
        </is>
      </c>
    </row>
    <row r="2771">
      <c r="A2771" t="inlineStr">
        <is>
          <t>BBG01PH6RX45 Equity</t>
        </is>
      </c>
      <c r="B2771" t="inlineStr">
        <is>
          <t>TSLA US 04/17/25 P415</t>
        </is>
      </c>
      <c r="C2771" t="inlineStr">
        <is>
          <t>2025-04-17</t>
        </is>
      </c>
      <c r="D2771" t="n">
        <v>415</v>
      </c>
      <c r="E2771" t="inlineStr">
        <is>
          <t>BBG01PH6RX45</t>
        </is>
      </c>
    </row>
    <row r="2772">
      <c r="A2772" t="inlineStr">
        <is>
          <t>BBG01PH6T6C3 Equity</t>
        </is>
      </c>
      <c r="B2772" t="inlineStr">
        <is>
          <t>TSLA US 04/17/25 P420</t>
        </is>
      </c>
      <c r="C2772" t="inlineStr">
        <is>
          <t>2025-04-17</t>
        </is>
      </c>
      <c r="D2772" t="n">
        <v>420</v>
      </c>
      <c r="E2772" t="inlineStr">
        <is>
          <t>BBG01PH6T6C3</t>
        </is>
      </c>
    </row>
    <row r="2773">
      <c r="A2773" t="inlineStr">
        <is>
          <t>BBG01PH6RXQ1 Equity</t>
        </is>
      </c>
      <c r="B2773" t="inlineStr">
        <is>
          <t>TSLA US 04/17/25 P425</t>
        </is>
      </c>
      <c r="C2773" t="inlineStr">
        <is>
          <t>2025-04-17</t>
        </is>
      </c>
      <c r="D2773" t="n">
        <v>425</v>
      </c>
      <c r="E2773" t="inlineStr">
        <is>
          <t>BBG01PH6RXQ1</t>
        </is>
      </c>
    </row>
    <row r="2774">
      <c r="A2774" t="inlineStr">
        <is>
          <t>BBG01PH6SLL1 Equity</t>
        </is>
      </c>
      <c r="B2774" t="inlineStr">
        <is>
          <t>TSLA US 04/17/25 P430</t>
        </is>
      </c>
      <c r="C2774" t="inlineStr">
        <is>
          <t>2025-04-17</t>
        </is>
      </c>
      <c r="D2774" t="n">
        <v>430</v>
      </c>
      <c r="E2774" t="inlineStr">
        <is>
          <t>BBG01PH6SLL1</t>
        </is>
      </c>
    </row>
    <row r="2775">
      <c r="A2775" t="inlineStr">
        <is>
          <t>BBG01PH6SG32 Equity</t>
        </is>
      </c>
      <c r="B2775" t="inlineStr">
        <is>
          <t>TSLA US 04/17/25 P435</t>
        </is>
      </c>
      <c r="C2775" t="inlineStr">
        <is>
          <t>2025-04-17</t>
        </is>
      </c>
      <c r="D2775" t="n">
        <v>435</v>
      </c>
      <c r="E2775" t="inlineStr">
        <is>
          <t>BBG01PH6SG32</t>
        </is>
      </c>
    </row>
    <row r="2776">
      <c r="A2776" t="inlineStr">
        <is>
          <t>BBG01Q04KYK3 Equity</t>
        </is>
      </c>
      <c r="B2776" t="inlineStr">
        <is>
          <t>TSLA US 04/17/25 P440</t>
        </is>
      </c>
      <c r="C2776" t="inlineStr">
        <is>
          <t>2025-04-17</t>
        </is>
      </c>
      <c r="D2776" t="n">
        <v>440</v>
      </c>
      <c r="E2776" t="inlineStr">
        <is>
          <t>BBG01Q04KYK3</t>
        </is>
      </c>
    </row>
    <row r="2777">
      <c r="A2777" t="inlineStr">
        <is>
          <t>BBG01RWRV6L3 Equity</t>
        </is>
      </c>
      <c r="B2777" t="inlineStr">
        <is>
          <t>TSLA US 04/17/25 P445</t>
        </is>
      </c>
      <c r="C2777" t="inlineStr">
        <is>
          <t>2025-04-17</t>
        </is>
      </c>
      <c r="D2777" t="n">
        <v>445</v>
      </c>
      <c r="E2777" t="inlineStr">
        <is>
          <t>BBG01RWRV6L3</t>
        </is>
      </c>
    </row>
    <row r="2778">
      <c r="A2778" t="inlineStr">
        <is>
          <t>BBG01Q04KGH6 Equity</t>
        </is>
      </c>
      <c r="B2778" t="inlineStr">
        <is>
          <t>TSLA US 04/17/25 P450</t>
        </is>
      </c>
      <c r="C2778" t="inlineStr">
        <is>
          <t>2025-04-17</t>
        </is>
      </c>
      <c r="D2778" t="n">
        <v>450</v>
      </c>
      <c r="E2778" t="inlineStr">
        <is>
          <t>BBG01Q04KGH6</t>
        </is>
      </c>
    </row>
    <row r="2779">
      <c r="A2779" t="inlineStr">
        <is>
          <t>BBG01RWRV465 Equity</t>
        </is>
      </c>
      <c r="B2779" t="inlineStr">
        <is>
          <t>TSLA US 04/17/25 P455</t>
        </is>
      </c>
      <c r="C2779" t="inlineStr">
        <is>
          <t>2025-04-17</t>
        </is>
      </c>
      <c r="D2779" t="n">
        <v>455</v>
      </c>
      <c r="E2779" t="inlineStr">
        <is>
          <t>BBG01RWRV465</t>
        </is>
      </c>
    </row>
    <row r="2780">
      <c r="A2780" t="inlineStr">
        <is>
          <t>BBG01Q04KN81 Equity</t>
        </is>
      </c>
      <c r="B2780" t="inlineStr">
        <is>
          <t>TSLA US 04/17/25 P460</t>
        </is>
      </c>
      <c r="C2780" t="inlineStr">
        <is>
          <t>2025-04-17</t>
        </is>
      </c>
      <c r="D2780" t="n">
        <v>460</v>
      </c>
      <c r="E2780" t="inlineStr">
        <is>
          <t>BBG01Q04KN81</t>
        </is>
      </c>
    </row>
    <row r="2781">
      <c r="A2781" t="inlineStr">
        <is>
          <t>BBG01RWRTBR9 Equity</t>
        </is>
      </c>
      <c r="B2781" t="inlineStr">
        <is>
          <t>TSLA US 04/17/25 P465</t>
        </is>
      </c>
      <c r="C2781" t="inlineStr">
        <is>
          <t>2025-04-17</t>
        </is>
      </c>
      <c r="D2781" t="n">
        <v>465</v>
      </c>
      <c r="E2781" t="inlineStr">
        <is>
          <t>BBG01RWRTBR9</t>
        </is>
      </c>
    </row>
    <row r="2782">
      <c r="A2782" t="inlineStr">
        <is>
          <t>BBG01Q04KFW1 Equity</t>
        </is>
      </c>
      <c r="B2782" t="inlineStr">
        <is>
          <t>TSLA US 04/17/25 P470</t>
        </is>
      </c>
      <c r="C2782" t="inlineStr">
        <is>
          <t>2025-04-17</t>
        </is>
      </c>
      <c r="D2782" t="n">
        <v>470</v>
      </c>
      <c r="E2782" t="inlineStr">
        <is>
          <t>BBG01Q04KFW1</t>
        </is>
      </c>
    </row>
    <row r="2783">
      <c r="A2783" t="inlineStr">
        <is>
          <t>BBG01RWRTJC8 Equity</t>
        </is>
      </c>
      <c r="B2783" t="inlineStr">
        <is>
          <t>TSLA US 04/17/25 P475</t>
        </is>
      </c>
      <c r="C2783" t="inlineStr">
        <is>
          <t>2025-04-17</t>
        </is>
      </c>
      <c r="D2783" t="n">
        <v>475</v>
      </c>
      <c r="E2783" t="inlineStr">
        <is>
          <t>BBG01RWRTJC8</t>
        </is>
      </c>
    </row>
    <row r="2784">
      <c r="A2784" t="inlineStr">
        <is>
          <t>BBG01Q04KXY0 Equity</t>
        </is>
      </c>
      <c r="B2784" t="inlineStr">
        <is>
          <t>TSLA US 04/17/25 P480</t>
        </is>
      </c>
      <c r="C2784" t="inlineStr">
        <is>
          <t>2025-04-17</t>
        </is>
      </c>
      <c r="D2784" t="n">
        <v>480</v>
      </c>
      <c r="E2784" t="inlineStr">
        <is>
          <t>BBG01Q04KXY0</t>
        </is>
      </c>
    </row>
    <row r="2785">
      <c r="A2785" t="inlineStr">
        <is>
          <t>BBG01RWRTKL5 Equity</t>
        </is>
      </c>
      <c r="B2785" t="inlineStr">
        <is>
          <t>TSLA US 04/17/25 P485</t>
        </is>
      </c>
      <c r="C2785" t="inlineStr">
        <is>
          <t>2025-04-17</t>
        </is>
      </c>
      <c r="D2785" t="n">
        <v>485</v>
      </c>
      <c r="E2785" t="inlineStr">
        <is>
          <t>BBG01RWRTKL5</t>
        </is>
      </c>
    </row>
    <row r="2786">
      <c r="A2786" t="inlineStr">
        <is>
          <t>BBG01Q04KH39 Equity</t>
        </is>
      </c>
      <c r="B2786" t="inlineStr">
        <is>
          <t>TSLA US 04/17/25 P490</t>
        </is>
      </c>
      <c r="C2786" t="inlineStr">
        <is>
          <t>2025-04-17</t>
        </is>
      </c>
      <c r="D2786" t="n">
        <v>490</v>
      </c>
      <c r="E2786" t="inlineStr">
        <is>
          <t>BBG01Q04KH39</t>
        </is>
      </c>
    </row>
    <row r="2787">
      <c r="A2787" t="inlineStr">
        <is>
          <t>BBG01RWRTWZ4 Equity</t>
        </is>
      </c>
      <c r="B2787" t="inlineStr">
        <is>
          <t>TSLA US 04/17/25 P495</t>
        </is>
      </c>
      <c r="C2787" t="inlineStr">
        <is>
          <t>2025-04-17</t>
        </is>
      </c>
      <c r="D2787" t="n">
        <v>495</v>
      </c>
      <c r="E2787" t="inlineStr">
        <is>
          <t>BBG01RWRTWZ4</t>
        </is>
      </c>
    </row>
    <row r="2788">
      <c r="A2788" t="inlineStr">
        <is>
          <t>BBG01Q04KNW4 Equity</t>
        </is>
      </c>
      <c r="B2788" t="inlineStr">
        <is>
          <t>TSLA US 04/17/25 P500</t>
        </is>
      </c>
      <c r="C2788" t="inlineStr">
        <is>
          <t>2025-04-17</t>
        </is>
      </c>
      <c r="D2788" t="n">
        <v>500</v>
      </c>
      <c r="E2788" t="inlineStr">
        <is>
          <t>BBG01Q04KNW4</t>
        </is>
      </c>
    </row>
    <row r="2789">
      <c r="A2789" t="inlineStr">
        <is>
          <t>BBG01RWRTCY9 Equity</t>
        </is>
      </c>
      <c r="B2789" t="inlineStr">
        <is>
          <t>TSLA US 04/17/25 P505</t>
        </is>
      </c>
      <c r="C2789" t="inlineStr">
        <is>
          <t>2025-04-17</t>
        </is>
      </c>
      <c r="D2789" t="n">
        <v>505</v>
      </c>
      <c r="E2789" t="inlineStr">
        <is>
          <t>BBG01RWRTCY9</t>
        </is>
      </c>
    </row>
    <row r="2790">
      <c r="A2790" t="inlineStr">
        <is>
          <t>BBG01Q2ZB767 Equity</t>
        </is>
      </c>
      <c r="B2790" t="inlineStr">
        <is>
          <t>TSLA US 04/17/25 P510</t>
        </is>
      </c>
      <c r="C2790" t="inlineStr">
        <is>
          <t>2025-04-17</t>
        </is>
      </c>
      <c r="D2790" t="n">
        <v>510</v>
      </c>
      <c r="E2790" t="inlineStr">
        <is>
          <t>BBG01Q2ZB767</t>
        </is>
      </c>
    </row>
    <row r="2791">
      <c r="A2791" t="inlineStr">
        <is>
          <t>BBG01RWRTDK2 Equity</t>
        </is>
      </c>
      <c r="B2791" t="inlineStr">
        <is>
          <t>TSLA US 04/17/25 P515</t>
        </is>
      </c>
      <c r="C2791" t="inlineStr">
        <is>
          <t>2025-04-17</t>
        </is>
      </c>
      <c r="D2791" t="n">
        <v>515</v>
      </c>
      <c r="E2791" t="inlineStr">
        <is>
          <t>BBG01RWRTDK2</t>
        </is>
      </c>
    </row>
    <row r="2792">
      <c r="A2792" t="inlineStr">
        <is>
          <t>BBG01Q2ZB7T2 Equity</t>
        </is>
      </c>
      <c r="B2792" t="inlineStr">
        <is>
          <t>TSLA US 04/17/25 P520</t>
        </is>
      </c>
      <c r="C2792" t="inlineStr">
        <is>
          <t>2025-04-17</t>
        </is>
      </c>
      <c r="D2792" t="n">
        <v>520</v>
      </c>
      <c r="E2792" t="inlineStr">
        <is>
          <t>BBG01Q2ZB7T2</t>
        </is>
      </c>
    </row>
    <row r="2793">
      <c r="A2793" t="inlineStr">
        <is>
          <t>BBG01Q8TQ7G8 Equity</t>
        </is>
      </c>
      <c r="B2793" t="inlineStr">
        <is>
          <t>TSLA US 05/16/25 P215</t>
        </is>
      </c>
      <c r="C2793" t="inlineStr">
        <is>
          <t>2025-05-16</t>
        </is>
      </c>
      <c r="D2793" t="n">
        <v>215</v>
      </c>
      <c r="E2793" t="inlineStr">
        <is>
          <t>BBG01Q8TQ7G8</t>
        </is>
      </c>
    </row>
    <row r="2794">
      <c r="A2794" t="inlineStr">
        <is>
          <t>BBG01Q8TQHW8 Equity</t>
        </is>
      </c>
      <c r="B2794" t="inlineStr">
        <is>
          <t>TSLA US 05/16/25 P220</t>
        </is>
      </c>
      <c r="C2794" t="inlineStr">
        <is>
          <t>2025-05-16</t>
        </is>
      </c>
      <c r="D2794" t="n">
        <v>220</v>
      </c>
      <c r="E2794" t="inlineStr">
        <is>
          <t>BBG01Q8TQHW8</t>
        </is>
      </c>
    </row>
    <row r="2795">
      <c r="A2795" t="inlineStr">
        <is>
          <t>BBG01Q8TR2W0 Equity</t>
        </is>
      </c>
      <c r="B2795" t="inlineStr">
        <is>
          <t>TSLA US 05/16/25 P225</t>
        </is>
      </c>
      <c r="C2795" t="inlineStr">
        <is>
          <t>2025-05-16</t>
        </is>
      </c>
      <c r="D2795" t="n">
        <v>225</v>
      </c>
      <c r="E2795" t="inlineStr">
        <is>
          <t>BBG01Q8TR2W0</t>
        </is>
      </c>
    </row>
    <row r="2796">
      <c r="A2796" t="inlineStr">
        <is>
          <t>BBG01Q8TQ0T9 Equity</t>
        </is>
      </c>
      <c r="B2796" t="inlineStr">
        <is>
          <t>TSLA US 05/16/25 P230</t>
        </is>
      </c>
      <c r="C2796" t="inlineStr">
        <is>
          <t>2025-05-16</t>
        </is>
      </c>
      <c r="D2796" t="n">
        <v>230</v>
      </c>
      <c r="E2796" t="inlineStr">
        <is>
          <t>BBG01Q8TQ0T9</t>
        </is>
      </c>
    </row>
    <row r="2797">
      <c r="A2797" t="inlineStr">
        <is>
          <t>BBG01Q8TQ545 Equity</t>
        </is>
      </c>
      <c r="B2797" t="inlineStr">
        <is>
          <t>TSLA US 05/16/25 P235</t>
        </is>
      </c>
      <c r="C2797" t="inlineStr">
        <is>
          <t>2025-05-16</t>
        </is>
      </c>
      <c r="D2797" t="n">
        <v>235</v>
      </c>
      <c r="E2797" t="inlineStr">
        <is>
          <t>BBG01Q8TQ545</t>
        </is>
      </c>
    </row>
    <row r="2798">
      <c r="A2798" t="inlineStr">
        <is>
          <t>BBG01Q8TPC32 Equity</t>
        </is>
      </c>
      <c r="B2798" t="inlineStr">
        <is>
          <t>TSLA US 05/16/25 P240</t>
        </is>
      </c>
      <c r="C2798" t="inlineStr">
        <is>
          <t>2025-05-16</t>
        </is>
      </c>
      <c r="D2798" t="n">
        <v>240</v>
      </c>
      <c r="E2798" t="inlineStr">
        <is>
          <t>BBG01Q8TPC32</t>
        </is>
      </c>
    </row>
    <row r="2799">
      <c r="A2799" t="inlineStr">
        <is>
          <t>BBG01Q8TR3H5 Equity</t>
        </is>
      </c>
      <c r="B2799" t="inlineStr">
        <is>
          <t>TSLA US 05/16/25 P245</t>
        </is>
      </c>
      <c r="C2799" t="inlineStr">
        <is>
          <t>2025-05-16</t>
        </is>
      </c>
      <c r="D2799" t="n">
        <v>245</v>
      </c>
      <c r="E2799" t="inlineStr">
        <is>
          <t>BBG01Q8TR3H5</t>
        </is>
      </c>
    </row>
    <row r="2800">
      <c r="A2800" t="inlineStr">
        <is>
          <t>BBG01Q8TQ215 Equity</t>
        </is>
      </c>
      <c r="B2800" t="inlineStr">
        <is>
          <t>TSLA US 05/16/25 P250</t>
        </is>
      </c>
      <c r="C2800" t="inlineStr">
        <is>
          <t>2025-05-16</t>
        </is>
      </c>
      <c r="D2800" t="n">
        <v>250</v>
      </c>
      <c r="E2800" t="inlineStr">
        <is>
          <t>BBG01Q8TQ215</t>
        </is>
      </c>
    </row>
    <row r="2801">
      <c r="A2801" t="inlineStr">
        <is>
          <t>BBG01Q8TQ821 Equity</t>
        </is>
      </c>
      <c r="B2801" t="inlineStr">
        <is>
          <t>TSLA US 05/16/25 P255</t>
        </is>
      </c>
      <c r="C2801" t="inlineStr">
        <is>
          <t>2025-05-16</t>
        </is>
      </c>
      <c r="D2801" t="n">
        <v>255</v>
      </c>
      <c r="E2801" t="inlineStr">
        <is>
          <t>BBG01Q8TQ821</t>
        </is>
      </c>
    </row>
    <row r="2802">
      <c r="A2802" t="inlineStr">
        <is>
          <t>BBG01Q8TQH85 Equity</t>
        </is>
      </c>
      <c r="B2802" t="inlineStr">
        <is>
          <t>TSLA US 05/16/25 P260</t>
        </is>
      </c>
      <c r="C2802" t="inlineStr">
        <is>
          <t>2025-05-16</t>
        </is>
      </c>
      <c r="D2802" t="n">
        <v>260</v>
      </c>
      <c r="E2802" t="inlineStr">
        <is>
          <t>BBG01Q8TQH85</t>
        </is>
      </c>
    </row>
    <row r="2803">
      <c r="A2803" t="inlineStr">
        <is>
          <t>BBG01Q8TQNX4 Equity</t>
        </is>
      </c>
      <c r="B2803" t="inlineStr">
        <is>
          <t>TSLA US 05/16/25 P265</t>
        </is>
      </c>
      <c r="C2803" t="inlineStr">
        <is>
          <t>2025-05-16</t>
        </is>
      </c>
      <c r="D2803" t="n">
        <v>265</v>
      </c>
      <c r="E2803" t="inlineStr">
        <is>
          <t>BBG01Q8TQNX4</t>
        </is>
      </c>
    </row>
    <row r="2804">
      <c r="A2804" t="inlineStr">
        <is>
          <t>BBG01Q8TQ9Y4 Equity</t>
        </is>
      </c>
      <c r="B2804" t="inlineStr">
        <is>
          <t>TSLA US 05/16/25 P270</t>
        </is>
      </c>
      <c r="C2804" t="inlineStr">
        <is>
          <t>2025-05-16</t>
        </is>
      </c>
      <c r="D2804" t="n">
        <v>270</v>
      </c>
      <c r="E2804" t="inlineStr">
        <is>
          <t>BBG01Q8TQ9Y4</t>
        </is>
      </c>
    </row>
    <row r="2805">
      <c r="A2805" t="inlineStr">
        <is>
          <t>BBG01Q8TPZB2 Equity</t>
        </is>
      </c>
      <c r="B2805" t="inlineStr">
        <is>
          <t>TSLA US 05/16/25 P275</t>
        </is>
      </c>
      <c r="C2805" t="inlineStr">
        <is>
          <t>2025-05-16</t>
        </is>
      </c>
      <c r="D2805" t="n">
        <v>275</v>
      </c>
      <c r="E2805" t="inlineStr">
        <is>
          <t>BBG01Q8TPZB2</t>
        </is>
      </c>
    </row>
    <row r="2806">
      <c r="A2806" t="inlineStr">
        <is>
          <t>BBG01Q8TPKS7 Equity</t>
        </is>
      </c>
      <c r="B2806" t="inlineStr">
        <is>
          <t>TSLA US 05/16/25 P280</t>
        </is>
      </c>
      <c r="C2806" t="inlineStr">
        <is>
          <t>2025-05-16</t>
        </is>
      </c>
      <c r="D2806" t="n">
        <v>280</v>
      </c>
      <c r="E2806" t="inlineStr">
        <is>
          <t>BBG01Q8TPKS7</t>
        </is>
      </c>
    </row>
    <row r="2807">
      <c r="A2807" t="inlineStr">
        <is>
          <t>BBG01Q8TQDN7 Equity</t>
        </is>
      </c>
      <c r="B2807" t="inlineStr">
        <is>
          <t>TSLA US 05/16/25 P285</t>
        </is>
      </c>
      <c r="C2807" t="inlineStr">
        <is>
          <t>2025-05-16</t>
        </is>
      </c>
      <c r="D2807" t="n">
        <v>285</v>
      </c>
      <c r="E2807" t="inlineStr">
        <is>
          <t>BBG01Q8TQDN7</t>
        </is>
      </c>
    </row>
    <row r="2808">
      <c r="A2808" t="inlineStr">
        <is>
          <t>BBG01Q8TPWC8 Equity</t>
        </is>
      </c>
      <c r="B2808" t="inlineStr">
        <is>
          <t>TSLA US 05/16/25 P290</t>
        </is>
      </c>
      <c r="C2808" t="inlineStr">
        <is>
          <t>2025-05-16</t>
        </is>
      </c>
      <c r="D2808" t="n">
        <v>290</v>
      </c>
      <c r="E2808" t="inlineStr">
        <is>
          <t>BBG01Q8TPWC8</t>
        </is>
      </c>
    </row>
    <row r="2809">
      <c r="A2809" t="inlineStr">
        <is>
          <t>BBG01Q8TQ992 Equity</t>
        </is>
      </c>
      <c r="B2809" t="inlineStr">
        <is>
          <t>TSLA US 05/16/25 P295</t>
        </is>
      </c>
      <c r="C2809" t="inlineStr">
        <is>
          <t>2025-05-16</t>
        </is>
      </c>
      <c r="D2809" t="n">
        <v>295</v>
      </c>
      <c r="E2809" t="inlineStr">
        <is>
          <t>BBG01Q8TQ992</t>
        </is>
      </c>
    </row>
    <row r="2810">
      <c r="A2810" t="inlineStr">
        <is>
          <t>BBG01Q8TR1N2 Equity</t>
        </is>
      </c>
      <c r="B2810" t="inlineStr">
        <is>
          <t>TSLA US 05/16/25 P300</t>
        </is>
      </c>
      <c r="C2810" t="inlineStr">
        <is>
          <t>2025-05-16</t>
        </is>
      </c>
      <c r="D2810" t="n">
        <v>300</v>
      </c>
      <c r="E2810" t="inlineStr">
        <is>
          <t>BBG01Q8TR1N2</t>
        </is>
      </c>
    </row>
    <row r="2811">
      <c r="A2811" t="inlineStr">
        <is>
          <t>BBG01Q8TPYQ9 Equity</t>
        </is>
      </c>
      <c r="B2811" t="inlineStr">
        <is>
          <t>TSLA US 05/16/25 P305</t>
        </is>
      </c>
      <c r="C2811" t="inlineStr">
        <is>
          <t>2025-05-16</t>
        </is>
      </c>
      <c r="D2811" t="n">
        <v>305</v>
      </c>
      <c r="E2811" t="inlineStr">
        <is>
          <t>BBG01Q8TPYQ9</t>
        </is>
      </c>
    </row>
    <row r="2812">
      <c r="A2812" t="inlineStr">
        <is>
          <t>BBG01Q8TQYB4 Equity</t>
        </is>
      </c>
      <c r="B2812" t="inlineStr">
        <is>
          <t>TSLA US 05/16/25 P310</t>
        </is>
      </c>
      <c r="C2812" t="inlineStr">
        <is>
          <t>2025-05-16</t>
        </is>
      </c>
      <c r="D2812" t="n">
        <v>310</v>
      </c>
      <c r="E2812" t="inlineStr">
        <is>
          <t>BBG01Q8TQYB4</t>
        </is>
      </c>
    </row>
    <row r="2813">
      <c r="A2813" t="inlineStr">
        <is>
          <t>BBG01Q8TQBK4 Equity</t>
        </is>
      </c>
      <c r="B2813" t="inlineStr">
        <is>
          <t>TSLA US 05/16/25 P315</t>
        </is>
      </c>
      <c r="C2813" t="inlineStr">
        <is>
          <t>2025-05-16</t>
        </is>
      </c>
      <c r="D2813" t="n">
        <v>315</v>
      </c>
      <c r="E2813" t="inlineStr">
        <is>
          <t>BBG01Q8TQBK4</t>
        </is>
      </c>
    </row>
    <row r="2814">
      <c r="A2814" t="inlineStr">
        <is>
          <t>BBG01Q8TQN91 Equity</t>
        </is>
      </c>
      <c r="B2814" t="inlineStr">
        <is>
          <t>TSLA US 05/16/25 P320</t>
        </is>
      </c>
      <c r="C2814" t="inlineStr">
        <is>
          <t>2025-05-16</t>
        </is>
      </c>
      <c r="D2814" t="n">
        <v>320</v>
      </c>
      <c r="E2814" t="inlineStr">
        <is>
          <t>BBG01Q8TQN91</t>
        </is>
      </c>
    </row>
    <row r="2815">
      <c r="A2815" t="inlineStr">
        <is>
          <t>BBG01Q8TPNL8 Equity</t>
        </is>
      </c>
      <c r="B2815" t="inlineStr">
        <is>
          <t>TSLA US 05/16/25 P325</t>
        </is>
      </c>
      <c r="C2815" t="inlineStr">
        <is>
          <t>2025-05-16</t>
        </is>
      </c>
      <c r="D2815" t="n">
        <v>325</v>
      </c>
      <c r="E2815" t="inlineStr">
        <is>
          <t>BBG01Q8TPNL8</t>
        </is>
      </c>
    </row>
    <row r="2816">
      <c r="A2816" t="inlineStr">
        <is>
          <t>BBG01Q8TQMP5 Equity</t>
        </is>
      </c>
      <c r="B2816" t="inlineStr">
        <is>
          <t>TSLA US 05/16/25 P330</t>
        </is>
      </c>
      <c r="C2816" t="inlineStr">
        <is>
          <t>2025-05-16</t>
        </is>
      </c>
      <c r="D2816" t="n">
        <v>330</v>
      </c>
      <c r="E2816" t="inlineStr">
        <is>
          <t>BBG01Q8TQMP5</t>
        </is>
      </c>
    </row>
    <row r="2817">
      <c r="A2817" t="inlineStr">
        <is>
          <t>BBG01Q8TPGJ6 Equity</t>
        </is>
      </c>
      <c r="B2817" t="inlineStr">
        <is>
          <t>TSLA US 05/16/25 P335</t>
        </is>
      </c>
      <c r="C2817" t="inlineStr">
        <is>
          <t>2025-05-16</t>
        </is>
      </c>
      <c r="D2817" t="n">
        <v>335</v>
      </c>
      <c r="E2817" t="inlineStr">
        <is>
          <t>BBG01Q8TPGJ6</t>
        </is>
      </c>
    </row>
    <row r="2818">
      <c r="A2818" t="inlineStr">
        <is>
          <t>BBG01Q8TR287 Equity</t>
        </is>
      </c>
      <c r="B2818" t="inlineStr">
        <is>
          <t>TSLA US 05/16/25 P340</t>
        </is>
      </c>
      <c r="C2818" t="inlineStr">
        <is>
          <t>2025-05-16</t>
        </is>
      </c>
      <c r="D2818" t="n">
        <v>340</v>
      </c>
      <c r="E2818" t="inlineStr">
        <is>
          <t>BBG01Q8TR287</t>
        </is>
      </c>
    </row>
    <row r="2819">
      <c r="A2819" t="inlineStr">
        <is>
          <t>BBG01Q8TQ3N9 Equity</t>
        </is>
      </c>
      <c r="B2819" t="inlineStr">
        <is>
          <t>TSLA US 05/16/25 P345</t>
        </is>
      </c>
      <c r="C2819" t="inlineStr">
        <is>
          <t>2025-05-16</t>
        </is>
      </c>
      <c r="D2819" t="n">
        <v>345</v>
      </c>
      <c r="E2819" t="inlineStr">
        <is>
          <t>BBG01Q8TQ3N9</t>
        </is>
      </c>
    </row>
    <row r="2820">
      <c r="A2820" t="inlineStr">
        <is>
          <t>BBG01Q8TQVP5 Equity</t>
        </is>
      </c>
      <c r="B2820" t="inlineStr">
        <is>
          <t>TSLA US 05/16/25 P350</t>
        </is>
      </c>
      <c r="C2820" t="inlineStr">
        <is>
          <t>2025-05-16</t>
        </is>
      </c>
      <c r="D2820" t="n">
        <v>350</v>
      </c>
      <c r="E2820" t="inlineStr">
        <is>
          <t>BBG01Q8TQVP5</t>
        </is>
      </c>
    </row>
    <row r="2821">
      <c r="A2821" t="inlineStr">
        <is>
          <t>BBG01Q8TQ064 Equity</t>
        </is>
      </c>
      <c r="B2821" t="inlineStr">
        <is>
          <t>TSLA US 05/16/25 P355</t>
        </is>
      </c>
      <c r="C2821" t="inlineStr">
        <is>
          <t>2025-05-16</t>
        </is>
      </c>
      <c r="D2821" t="n">
        <v>355</v>
      </c>
      <c r="E2821" t="inlineStr">
        <is>
          <t>BBG01Q8TQ064</t>
        </is>
      </c>
    </row>
    <row r="2822">
      <c r="A2822" t="inlineStr">
        <is>
          <t>BBG01Q8TQ5R0 Equity</t>
        </is>
      </c>
      <c r="B2822" t="inlineStr">
        <is>
          <t>TSLA US 05/16/25 P360</t>
        </is>
      </c>
      <c r="C2822" t="inlineStr">
        <is>
          <t>2025-05-16</t>
        </is>
      </c>
      <c r="D2822" t="n">
        <v>360</v>
      </c>
      <c r="E2822" t="inlineStr">
        <is>
          <t>BBG01Q8TQ5R0</t>
        </is>
      </c>
    </row>
    <row r="2823">
      <c r="A2823" t="inlineStr">
        <is>
          <t>BBG01Q8TPHB2 Equity</t>
        </is>
      </c>
      <c r="B2823" t="inlineStr">
        <is>
          <t>TSLA US 05/16/25 P365</t>
        </is>
      </c>
      <c r="C2823" t="inlineStr">
        <is>
          <t>2025-05-16</t>
        </is>
      </c>
      <c r="D2823" t="n">
        <v>365</v>
      </c>
      <c r="E2823" t="inlineStr">
        <is>
          <t>BBG01Q8TPHB2</t>
        </is>
      </c>
    </row>
    <row r="2824">
      <c r="A2824" t="inlineStr">
        <is>
          <t>BBG01Q8TQV20 Equity</t>
        </is>
      </c>
      <c r="B2824" t="inlineStr">
        <is>
          <t>TSLA US 05/16/25 P370</t>
        </is>
      </c>
      <c r="C2824" t="inlineStr">
        <is>
          <t>2025-05-16</t>
        </is>
      </c>
      <c r="D2824" t="n">
        <v>370</v>
      </c>
      <c r="E2824" t="inlineStr">
        <is>
          <t>BBG01Q8TQV20</t>
        </is>
      </c>
    </row>
    <row r="2825">
      <c r="A2825" t="inlineStr">
        <is>
          <t>BBG01Q8TPFX2 Equity</t>
        </is>
      </c>
      <c r="B2825" t="inlineStr">
        <is>
          <t>TSLA US 05/16/25 P375</t>
        </is>
      </c>
      <c r="C2825" t="inlineStr">
        <is>
          <t>2025-05-16</t>
        </is>
      </c>
      <c r="D2825" t="n">
        <v>375</v>
      </c>
      <c r="E2825" t="inlineStr">
        <is>
          <t>BBG01Q8TPFX2</t>
        </is>
      </c>
    </row>
    <row r="2826">
      <c r="A2826" t="inlineStr">
        <is>
          <t>BBG01Q8TQ8P6 Equity</t>
        </is>
      </c>
      <c r="B2826" t="inlineStr">
        <is>
          <t>TSLA US 05/16/25 P380</t>
        </is>
      </c>
      <c r="C2826" t="inlineStr">
        <is>
          <t>2025-05-16</t>
        </is>
      </c>
      <c r="D2826" t="n">
        <v>380</v>
      </c>
      <c r="E2826" t="inlineStr">
        <is>
          <t>BBG01Q8TQ8P6</t>
        </is>
      </c>
    </row>
    <row r="2827">
      <c r="A2827" t="inlineStr">
        <is>
          <t>BBG01Q8TPJK8 Equity</t>
        </is>
      </c>
      <c r="B2827" t="inlineStr">
        <is>
          <t>TSLA US 05/16/25 P385</t>
        </is>
      </c>
      <c r="C2827" t="inlineStr">
        <is>
          <t>2025-05-16</t>
        </is>
      </c>
      <c r="D2827" t="n">
        <v>385</v>
      </c>
      <c r="E2827" t="inlineStr">
        <is>
          <t>BBG01Q8TPJK8</t>
        </is>
      </c>
    </row>
    <row r="2828">
      <c r="A2828" t="inlineStr">
        <is>
          <t>BBG01Q8TQLK2 Equity</t>
        </is>
      </c>
      <c r="B2828" t="inlineStr">
        <is>
          <t>TSLA US 05/16/25 P390</t>
        </is>
      </c>
      <c r="C2828" t="inlineStr">
        <is>
          <t>2025-05-16</t>
        </is>
      </c>
      <c r="D2828" t="n">
        <v>390</v>
      </c>
      <c r="E2828" t="inlineStr">
        <is>
          <t>BBG01Q8TQLK2</t>
        </is>
      </c>
    </row>
    <row r="2829">
      <c r="A2829" t="inlineStr">
        <is>
          <t>BBG01Q8TPK52 Equity</t>
        </is>
      </c>
      <c r="B2829" t="inlineStr">
        <is>
          <t>TSLA US 05/16/25 P395</t>
        </is>
      </c>
      <c r="C2829" t="inlineStr">
        <is>
          <t>2025-05-16</t>
        </is>
      </c>
      <c r="D2829" t="n">
        <v>395</v>
      </c>
      <c r="E2829" t="inlineStr">
        <is>
          <t>BBG01Q8TPK52</t>
        </is>
      </c>
    </row>
    <row r="2830">
      <c r="A2830" t="inlineStr">
        <is>
          <t>BBG01Q8TPHY7 Equity</t>
        </is>
      </c>
      <c r="B2830" t="inlineStr">
        <is>
          <t>TSLA US 05/16/25 P400</t>
        </is>
      </c>
      <c r="C2830" t="inlineStr">
        <is>
          <t>2025-05-16</t>
        </is>
      </c>
      <c r="D2830" t="n">
        <v>400</v>
      </c>
      <c r="E2830" t="inlineStr">
        <is>
          <t>BBG01Q8TPHY7</t>
        </is>
      </c>
    </row>
    <row r="2831">
      <c r="A2831" t="inlineStr">
        <is>
          <t>BBG01SJQJTL2 Equity</t>
        </is>
      </c>
      <c r="B2831" t="inlineStr">
        <is>
          <t>TSLA US 05/16/25 P405</t>
        </is>
      </c>
      <c r="C2831" t="inlineStr">
        <is>
          <t>2025-05-16</t>
        </is>
      </c>
      <c r="D2831" t="n">
        <v>405</v>
      </c>
      <c r="E2831" t="inlineStr">
        <is>
          <t>BBG01SJQJTL2</t>
        </is>
      </c>
    </row>
    <row r="2832">
      <c r="A2832" t="inlineStr">
        <is>
          <t>BBG01QJ26517 Equity</t>
        </is>
      </c>
      <c r="B2832" t="inlineStr">
        <is>
          <t>TSLA US 05/16/25 P410</t>
        </is>
      </c>
      <c r="C2832" t="inlineStr">
        <is>
          <t>2025-05-16</t>
        </is>
      </c>
      <c r="D2832" t="n">
        <v>410</v>
      </c>
      <c r="E2832" t="inlineStr">
        <is>
          <t>BBG01QJ26517</t>
        </is>
      </c>
    </row>
    <row r="2833">
      <c r="A2833" t="inlineStr">
        <is>
          <t>BBG01SJQKTH5 Equity</t>
        </is>
      </c>
      <c r="B2833" t="inlineStr">
        <is>
          <t>TSLA US 05/16/25 P415</t>
        </is>
      </c>
      <c r="C2833" t="inlineStr">
        <is>
          <t>2025-05-16</t>
        </is>
      </c>
      <c r="D2833" t="n">
        <v>415</v>
      </c>
      <c r="E2833" t="inlineStr">
        <is>
          <t>BBG01SJQKTH5</t>
        </is>
      </c>
    </row>
    <row r="2834">
      <c r="A2834" t="inlineStr">
        <is>
          <t>BBG01QJ27ZV7 Equity</t>
        </is>
      </c>
      <c r="B2834" t="inlineStr">
        <is>
          <t>TSLA US 05/16/25 P420</t>
        </is>
      </c>
      <c r="C2834" t="inlineStr">
        <is>
          <t>2025-05-16</t>
        </is>
      </c>
      <c r="D2834" t="n">
        <v>420</v>
      </c>
      <c r="E2834" t="inlineStr">
        <is>
          <t>BBG01QJ27ZV7</t>
        </is>
      </c>
    </row>
    <row r="2835">
      <c r="A2835" t="inlineStr">
        <is>
          <t>BBG01SJQJQ01 Equity</t>
        </is>
      </c>
      <c r="B2835" t="inlineStr">
        <is>
          <t>TSLA US 05/16/25 P425</t>
        </is>
      </c>
      <c r="C2835" t="inlineStr">
        <is>
          <t>2025-05-16</t>
        </is>
      </c>
      <c r="D2835" t="n">
        <v>425</v>
      </c>
      <c r="E2835" t="inlineStr">
        <is>
          <t>BBG01SJQJQ01</t>
        </is>
      </c>
    </row>
    <row r="2836">
      <c r="A2836" t="inlineStr">
        <is>
          <t>BBG01QJ26919 Equity</t>
        </is>
      </c>
      <c r="B2836" t="inlineStr">
        <is>
          <t>TSLA US 05/16/25 P430</t>
        </is>
      </c>
      <c r="C2836" t="inlineStr">
        <is>
          <t>2025-05-16</t>
        </is>
      </c>
      <c r="D2836" t="n">
        <v>430</v>
      </c>
      <c r="E2836" t="inlineStr">
        <is>
          <t>BBG01QJ26919</t>
        </is>
      </c>
    </row>
    <row r="2837">
      <c r="A2837" t="inlineStr">
        <is>
          <t>BBG01SJQKNP9 Equity</t>
        </is>
      </c>
      <c r="B2837" t="inlineStr">
        <is>
          <t>TSLA US 05/16/25 P435</t>
        </is>
      </c>
      <c r="C2837" t="inlineStr">
        <is>
          <t>2025-05-16</t>
        </is>
      </c>
      <c r="D2837" t="n">
        <v>435</v>
      </c>
      <c r="E2837" t="inlineStr">
        <is>
          <t>BBG01SJQKNP9</t>
        </is>
      </c>
    </row>
    <row r="2838">
      <c r="A2838" t="inlineStr">
        <is>
          <t>BBG01QJ26768 Equity</t>
        </is>
      </c>
      <c r="B2838" t="inlineStr">
        <is>
          <t>TSLA US 05/16/25 P440</t>
        </is>
      </c>
      <c r="C2838" t="inlineStr">
        <is>
          <t>2025-05-16</t>
        </is>
      </c>
      <c r="D2838" t="n">
        <v>440</v>
      </c>
      <c r="E2838" t="inlineStr">
        <is>
          <t>BBG01QJ26768</t>
        </is>
      </c>
    </row>
    <row r="2839">
      <c r="A2839" t="inlineStr">
        <is>
          <t>BBG01SJQKPX5 Equity</t>
        </is>
      </c>
      <c r="B2839" t="inlineStr">
        <is>
          <t>TSLA US 05/16/25 P445</t>
        </is>
      </c>
      <c r="C2839" t="inlineStr">
        <is>
          <t>2025-05-16</t>
        </is>
      </c>
      <c r="D2839" t="n">
        <v>445</v>
      </c>
      <c r="E2839" t="inlineStr">
        <is>
          <t>BBG01SJQKPX5</t>
        </is>
      </c>
    </row>
    <row r="2840">
      <c r="A2840" t="inlineStr">
        <is>
          <t>BBG01QJ28908 Equity</t>
        </is>
      </c>
      <c r="B2840" t="inlineStr">
        <is>
          <t>TSLA US 05/16/25 P450</t>
        </is>
      </c>
      <c r="C2840" t="inlineStr">
        <is>
          <t>2025-05-16</t>
        </is>
      </c>
      <c r="D2840" t="n">
        <v>450</v>
      </c>
      <c r="E2840" t="inlineStr">
        <is>
          <t>BBG01QJ28908</t>
        </is>
      </c>
    </row>
    <row r="2841">
      <c r="A2841" t="inlineStr">
        <is>
          <t>BBG01SJQKP92 Equity</t>
        </is>
      </c>
      <c r="B2841" t="inlineStr">
        <is>
          <t>TSLA US 05/16/25 P455</t>
        </is>
      </c>
      <c r="C2841" t="inlineStr">
        <is>
          <t>2025-05-16</t>
        </is>
      </c>
      <c r="D2841" t="n">
        <v>455</v>
      </c>
      <c r="E2841" t="inlineStr">
        <is>
          <t>BBG01SJQKP92</t>
        </is>
      </c>
    </row>
    <row r="2842">
      <c r="A2842" t="inlineStr">
        <is>
          <t>BBG01QJ267T3 Equity</t>
        </is>
      </c>
      <c r="B2842" t="inlineStr">
        <is>
          <t>TSLA US 05/16/25 P460</t>
        </is>
      </c>
      <c r="C2842" t="inlineStr">
        <is>
          <t>2025-05-16</t>
        </is>
      </c>
      <c r="D2842" t="n">
        <v>460</v>
      </c>
      <c r="E2842" t="inlineStr">
        <is>
          <t>BBG01QJ267T3</t>
        </is>
      </c>
    </row>
    <row r="2843">
      <c r="A2843" t="inlineStr">
        <is>
          <t>BBG01SJQKSW0 Equity</t>
        </is>
      </c>
      <c r="B2843" t="inlineStr">
        <is>
          <t>TSLA US 05/16/25 P465</t>
        </is>
      </c>
      <c r="C2843" t="inlineStr">
        <is>
          <t>2025-05-16</t>
        </is>
      </c>
      <c r="D2843" t="n">
        <v>465</v>
      </c>
      <c r="E2843" t="inlineStr">
        <is>
          <t>BBG01SJQKSW0</t>
        </is>
      </c>
    </row>
    <row r="2844">
      <c r="A2844" t="inlineStr">
        <is>
          <t>BBG01QJ268F6 Equity</t>
        </is>
      </c>
      <c r="B2844" t="inlineStr">
        <is>
          <t>TSLA US 05/16/25 P470</t>
        </is>
      </c>
      <c r="C2844" t="inlineStr">
        <is>
          <t>2025-05-16</t>
        </is>
      </c>
      <c r="D2844" t="n">
        <v>470</v>
      </c>
      <c r="E2844" t="inlineStr">
        <is>
          <t>BBG01QJ268F6</t>
        </is>
      </c>
    </row>
    <row r="2845">
      <c r="A2845" t="inlineStr">
        <is>
          <t>BBG01SJQKQJ9 Equity</t>
        </is>
      </c>
      <c r="B2845" t="inlineStr">
        <is>
          <t>TSLA US 05/16/25 P475</t>
        </is>
      </c>
      <c r="C2845" t="inlineStr">
        <is>
          <t>2025-05-16</t>
        </is>
      </c>
      <c r="D2845" t="n">
        <v>475</v>
      </c>
      <c r="E2845" t="inlineStr">
        <is>
          <t>BBG01SJQKQJ9</t>
        </is>
      </c>
    </row>
    <row r="2846">
      <c r="A2846" t="inlineStr">
        <is>
          <t>BBG01QJ264F5 Equity</t>
        </is>
      </c>
      <c r="B2846" t="inlineStr">
        <is>
          <t>TSLA US 05/16/25 P480</t>
        </is>
      </c>
      <c r="C2846" t="inlineStr">
        <is>
          <t>2025-05-16</t>
        </is>
      </c>
      <c r="D2846" t="n">
        <v>480</v>
      </c>
      <c r="E2846" t="inlineStr">
        <is>
          <t>BBG01QJ264F5</t>
        </is>
      </c>
    </row>
    <row r="2847">
      <c r="A2847" t="inlineStr">
        <is>
          <t>BBG01SJQKS87 Equity</t>
        </is>
      </c>
      <c r="B2847" t="inlineStr">
        <is>
          <t>TSLA US 05/16/25 P485</t>
        </is>
      </c>
      <c r="C2847" t="inlineStr">
        <is>
          <t>2025-05-16</t>
        </is>
      </c>
      <c r="D2847" t="n">
        <v>485</v>
      </c>
      <c r="E2847" t="inlineStr">
        <is>
          <t>BBG01SJQKS87</t>
        </is>
      </c>
    </row>
    <row r="2848">
      <c r="A2848" t="inlineStr">
        <is>
          <t>BBG01QJ27Z74 Equity</t>
        </is>
      </c>
      <c r="B2848" t="inlineStr">
        <is>
          <t>TSLA US 05/16/25 P490</t>
        </is>
      </c>
      <c r="C2848" t="inlineStr">
        <is>
          <t>2025-05-16</t>
        </is>
      </c>
      <c r="D2848" t="n">
        <v>490</v>
      </c>
      <c r="E2848" t="inlineStr">
        <is>
          <t>BBG01QJ27Z74</t>
        </is>
      </c>
    </row>
    <row r="2849">
      <c r="A2849" t="inlineStr">
        <is>
          <t>BBG01SJQKV35 Equity</t>
        </is>
      </c>
      <c r="B2849" t="inlineStr">
        <is>
          <t>TSLA US 05/16/25 P495</t>
        </is>
      </c>
      <c r="C2849" t="inlineStr">
        <is>
          <t>2025-05-16</t>
        </is>
      </c>
      <c r="D2849" t="n">
        <v>495</v>
      </c>
      <c r="E2849" t="inlineStr">
        <is>
          <t>BBG01SJQKV35</t>
        </is>
      </c>
    </row>
    <row r="2850">
      <c r="A2850" t="inlineStr">
        <is>
          <t>BBG01QJ265N3 Equity</t>
        </is>
      </c>
      <c r="B2850" t="inlineStr">
        <is>
          <t>TSLA US 05/16/25 P500</t>
        </is>
      </c>
      <c r="C2850" t="inlineStr">
        <is>
          <t>2025-05-16</t>
        </is>
      </c>
      <c r="D2850" t="n">
        <v>500</v>
      </c>
      <c r="E2850" t="inlineStr">
        <is>
          <t>BBG01QJ265N3</t>
        </is>
      </c>
    </row>
    <row r="2851">
      <c r="A2851" t="inlineStr">
        <is>
          <t>BBG01QJ26QB0 Equity</t>
        </is>
      </c>
      <c r="B2851" t="inlineStr">
        <is>
          <t>TSLA US 05/16/25 P510</t>
        </is>
      </c>
      <c r="C2851" t="inlineStr">
        <is>
          <t>2025-05-16</t>
        </is>
      </c>
      <c r="D2851" t="n">
        <v>510</v>
      </c>
      <c r="E2851" t="inlineStr">
        <is>
          <t>BBG01QJ26QB0</t>
        </is>
      </c>
    </row>
    <row r="2852">
      <c r="A2852" t="inlineStr">
        <is>
          <t>BBG01QJ26PQ6 Equity</t>
        </is>
      </c>
      <c r="B2852" t="inlineStr">
        <is>
          <t>TSLA US 05/16/25 P520</t>
        </is>
      </c>
      <c r="C2852" t="inlineStr">
        <is>
          <t>2025-05-16</t>
        </is>
      </c>
      <c r="D2852" t="n">
        <v>520</v>
      </c>
      <c r="E2852" t="inlineStr">
        <is>
          <t>BBG01QJ26PQ6</t>
        </is>
      </c>
    </row>
    <row r="2853">
      <c r="A2853" t="inlineStr">
        <is>
          <t>BBG01C9S20N3 Equity</t>
        </is>
      </c>
      <c r="B2853" t="inlineStr">
        <is>
          <t>TSLA US 06/20/25 P215</t>
        </is>
      </c>
      <c r="C2853" t="inlineStr">
        <is>
          <t>2025-06-20</t>
        </is>
      </c>
      <c r="D2853" t="n">
        <v>215</v>
      </c>
      <c r="E2853" t="inlineStr">
        <is>
          <t>BBG01C9S20N3</t>
        </is>
      </c>
    </row>
    <row r="2854">
      <c r="A2854" t="inlineStr">
        <is>
          <t>BBG01C9S21R7 Equity</t>
        </is>
      </c>
      <c r="B2854" t="inlineStr">
        <is>
          <t>TSLA US 06/20/25 P220</t>
        </is>
      </c>
      <c r="C2854" t="inlineStr">
        <is>
          <t>2025-06-20</t>
        </is>
      </c>
      <c r="D2854" t="n">
        <v>220</v>
      </c>
      <c r="E2854" t="inlineStr">
        <is>
          <t>BBG01C9S21R7</t>
        </is>
      </c>
    </row>
    <row r="2855">
      <c r="A2855" t="inlineStr">
        <is>
          <t>BBG01C9S22W9 Equity</t>
        </is>
      </c>
      <c r="B2855" t="inlineStr">
        <is>
          <t>TSLA US 06/20/25 P225</t>
        </is>
      </c>
      <c r="C2855" t="inlineStr">
        <is>
          <t>2025-06-20</t>
        </is>
      </c>
      <c r="D2855" t="n">
        <v>225</v>
      </c>
      <c r="E2855" t="inlineStr">
        <is>
          <t>BBG01C9S22W9</t>
        </is>
      </c>
    </row>
    <row r="2856">
      <c r="A2856" t="inlineStr">
        <is>
          <t>BBG01C9S23Z4 Equity</t>
        </is>
      </c>
      <c r="B2856" t="inlineStr">
        <is>
          <t>TSLA US 06/20/25 P230</t>
        </is>
      </c>
      <c r="C2856" t="inlineStr">
        <is>
          <t>2025-06-20</t>
        </is>
      </c>
      <c r="D2856" t="n">
        <v>230</v>
      </c>
      <c r="E2856" t="inlineStr">
        <is>
          <t>BBG01C9S23Z4</t>
        </is>
      </c>
    </row>
    <row r="2857">
      <c r="A2857" t="inlineStr">
        <is>
          <t>BBG01C9S2525 Equity</t>
        </is>
      </c>
      <c r="B2857" t="inlineStr">
        <is>
          <t>TSLA US 06/20/25 P235</t>
        </is>
      </c>
      <c r="C2857" t="inlineStr">
        <is>
          <t>2025-06-20</t>
        </is>
      </c>
      <c r="D2857" t="n">
        <v>235</v>
      </c>
      <c r="E2857" t="inlineStr">
        <is>
          <t>BBG01C9S2525</t>
        </is>
      </c>
    </row>
    <row r="2858">
      <c r="A2858" t="inlineStr">
        <is>
          <t>BBG01C9S2669 Equity</t>
        </is>
      </c>
      <c r="B2858" t="inlineStr">
        <is>
          <t>TSLA US 06/20/25 P240</t>
        </is>
      </c>
      <c r="C2858" t="inlineStr">
        <is>
          <t>2025-06-20</t>
        </is>
      </c>
      <c r="D2858" t="n">
        <v>240</v>
      </c>
      <c r="E2858" t="inlineStr">
        <is>
          <t>BBG01C9S2669</t>
        </is>
      </c>
    </row>
    <row r="2859">
      <c r="A2859" t="inlineStr">
        <is>
          <t>BBG01QCZ6245 Equity</t>
        </is>
      </c>
      <c r="B2859" t="inlineStr">
        <is>
          <t>TSLA US 06/20/25 P245</t>
        </is>
      </c>
      <c r="C2859" t="inlineStr">
        <is>
          <t>2025-06-20</t>
        </is>
      </c>
      <c r="D2859" t="n">
        <v>245</v>
      </c>
      <c r="E2859" t="inlineStr">
        <is>
          <t>BBG01QCZ6245</t>
        </is>
      </c>
    </row>
    <row r="2860">
      <c r="A2860" t="inlineStr">
        <is>
          <t>BBG01DJ4QJG4 Equity</t>
        </is>
      </c>
      <c r="B2860" t="inlineStr">
        <is>
          <t>TSLA US 06/20/25 P250</t>
        </is>
      </c>
      <c r="C2860" t="inlineStr">
        <is>
          <t>2025-06-20</t>
        </is>
      </c>
      <c r="D2860" t="n">
        <v>250</v>
      </c>
      <c r="E2860" t="inlineStr">
        <is>
          <t>BBG01DJ4QJG4</t>
        </is>
      </c>
    </row>
    <row r="2861">
      <c r="A2861" t="inlineStr">
        <is>
          <t>BBG01QCZ63Z9 Equity</t>
        </is>
      </c>
      <c r="B2861" t="inlineStr">
        <is>
          <t>TSLA US 06/20/25 P255</t>
        </is>
      </c>
      <c r="C2861" t="inlineStr">
        <is>
          <t>2025-06-20</t>
        </is>
      </c>
      <c r="D2861" t="n">
        <v>255</v>
      </c>
      <c r="E2861" t="inlineStr">
        <is>
          <t>BBG01QCZ63Z9</t>
        </is>
      </c>
    </row>
    <row r="2862">
      <c r="A2862" t="inlineStr">
        <is>
          <t>BBG01DJ4QKL5 Equity</t>
        </is>
      </c>
      <c r="B2862" t="inlineStr">
        <is>
          <t>TSLA US 06/20/25 P260</t>
        </is>
      </c>
      <c r="C2862" t="inlineStr">
        <is>
          <t>2025-06-20</t>
        </is>
      </c>
      <c r="D2862" t="n">
        <v>260</v>
      </c>
      <c r="E2862" t="inlineStr">
        <is>
          <t>BBG01DJ4QKL5</t>
        </is>
      </c>
    </row>
    <row r="2863">
      <c r="A2863" t="inlineStr">
        <is>
          <t>BBG01QCZ63C4 Equity</t>
        </is>
      </c>
      <c r="B2863" t="inlineStr">
        <is>
          <t>TSLA US 06/20/25 P265</t>
        </is>
      </c>
      <c r="C2863" t="inlineStr">
        <is>
          <t>2025-06-20</t>
        </is>
      </c>
      <c r="D2863" t="n">
        <v>265</v>
      </c>
      <c r="E2863" t="inlineStr">
        <is>
          <t>BBG01QCZ63C4</t>
        </is>
      </c>
    </row>
    <row r="2864">
      <c r="A2864" t="inlineStr">
        <is>
          <t>BBG01DJ4QLP9 Equity</t>
        </is>
      </c>
      <c r="B2864" t="inlineStr">
        <is>
          <t>TSLA US 06/20/25 P270</t>
        </is>
      </c>
      <c r="C2864" t="inlineStr">
        <is>
          <t>2025-06-20</t>
        </is>
      </c>
      <c r="D2864" t="n">
        <v>270</v>
      </c>
      <c r="E2864" t="inlineStr">
        <is>
          <t>BBG01DJ4QLP9</t>
        </is>
      </c>
    </row>
    <row r="2865">
      <c r="A2865" t="inlineStr">
        <is>
          <t>BBG01QCZ6C70 Equity</t>
        </is>
      </c>
      <c r="B2865" t="inlineStr">
        <is>
          <t>TSLA US 06/20/25 P275</t>
        </is>
      </c>
      <c r="C2865" t="inlineStr">
        <is>
          <t>2025-06-20</t>
        </is>
      </c>
      <c r="D2865" t="n">
        <v>275</v>
      </c>
      <c r="E2865" t="inlineStr">
        <is>
          <t>BBG01QCZ6C70</t>
        </is>
      </c>
    </row>
    <row r="2866">
      <c r="A2866" t="inlineStr">
        <is>
          <t>BBG01DJ4QMW9 Equity</t>
        </is>
      </c>
      <c r="B2866" t="inlineStr">
        <is>
          <t>TSLA US 06/20/25 P280</t>
        </is>
      </c>
      <c r="C2866" t="inlineStr">
        <is>
          <t>2025-06-20</t>
        </is>
      </c>
      <c r="D2866" t="n">
        <v>280</v>
      </c>
      <c r="E2866" t="inlineStr">
        <is>
          <t>BBG01DJ4QMW9</t>
        </is>
      </c>
    </row>
    <row r="2867">
      <c r="A2867" t="inlineStr">
        <is>
          <t>BBG01QCZ6LY0 Equity</t>
        </is>
      </c>
      <c r="B2867" t="inlineStr">
        <is>
          <t>TSLA US 06/20/25 P285</t>
        </is>
      </c>
      <c r="C2867" t="inlineStr">
        <is>
          <t>2025-06-20</t>
        </is>
      </c>
      <c r="D2867" t="n">
        <v>285</v>
      </c>
      <c r="E2867" t="inlineStr">
        <is>
          <t>BBG01QCZ6LY0</t>
        </is>
      </c>
    </row>
    <row r="2868">
      <c r="A2868" t="inlineStr">
        <is>
          <t>BBG01DJ4QNZ4 Equity</t>
        </is>
      </c>
      <c r="B2868" t="inlineStr">
        <is>
          <t>TSLA US 06/20/25 P290</t>
        </is>
      </c>
      <c r="C2868" t="inlineStr">
        <is>
          <t>2025-06-20</t>
        </is>
      </c>
      <c r="D2868" t="n">
        <v>290</v>
      </c>
      <c r="E2868" t="inlineStr">
        <is>
          <t>BBG01DJ4QNZ4</t>
        </is>
      </c>
    </row>
    <row r="2869">
      <c r="A2869" t="inlineStr">
        <is>
          <t>BBG01QCZ6LB5 Equity</t>
        </is>
      </c>
      <c r="B2869" t="inlineStr">
        <is>
          <t>TSLA US 06/20/25 P295</t>
        </is>
      </c>
      <c r="C2869" t="inlineStr">
        <is>
          <t>2025-06-20</t>
        </is>
      </c>
      <c r="D2869" t="n">
        <v>295</v>
      </c>
      <c r="E2869" t="inlineStr">
        <is>
          <t>BBG01QCZ6LB5</t>
        </is>
      </c>
    </row>
    <row r="2870">
      <c r="A2870" t="inlineStr">
        <is>
          <t>BBG01DJ4QQ23 Equity</t>
        </is>
      </c>
      <c r="B2870" t="inlineStr">
        <is>
          <t>TSLA US 06/20/25 P300</t>
        </is>
      </c>
      <c r="C2870" t="inlineStr">
        <is>
          <t>2025-06-20</t>
        </is>
      </c>
      <c r="D2870" t="n">
        <v>300</v>
      </c>
      <c r="E2870" t="inlineStr">
        <is>
          <t>BBG01DJ4QQ23</t>
        </is>
      </c>
    </row>
    <row r="2871">
      <c r="A2871" t="inlineStr">
        <is>
          <t>BBG01QCZ4ZT7 Equity</t>
        </is>
      </c>
      <c r="B2871" t="inlineStr">
        <is>
          <t>TSLA US 06/20/25 P305</t>
        </is>
      </c>
      <c r="C2871" t="inlineStr">
        <is>
          <t>2025-06-20</t>
        </is>
      </c>
      <c r="D2871" t="n">
        <v>305</v>
      </c>
      <c r="E2871" t="inlineStr">
        <is>
          <t>BBG01QCZ4ZT7</t>
        </is>
      </c>
    </row>
    <row r="2872">
      <c r="A2872" t="inlineStr">
        <is>
          <t>BBG01DJ4QR67 Equity</t>
        </is>
      </c>
      <c r="B2872" t="inlineStr">
        <is>
          <t>TSLA US 06/20/25 P310</t>
        </is>
      </c>
      <c r="C2872" t="inlineStr">
        <is>
          <t>2025-06-20</t>
        </is>
      </c>
      <c r="D2872" t="n">
        <v>310</v>
      </c>
      <c r="E2872" t="inlineStr">
        <is>
          <t>BBG01DJ4QR67</t>
        </is>
      </c>
    </row>
    <row r="2873">
      <c r="A2873" t="inlineStr">
        <is>
          <t>BBG01QCZ62R0 Equity</t>
        </is>
      </c>
      <c r="B2873" t="inlineStr">
        <is>
          <t>TSLA US 06/20/25 P315</t>
        </is>
      </c>
      <c r="C2873" t="inlineStr">
        <is>
          <t>2025-06-20</t>
        </is>
      </c>
      <c r="D2873" t="n">
        <v>315</v>
      </c>
      <c r="E2873" t="inlineStr">
        <is>
          <t>BBG01QCZ62R0</t>
        </is>
      </c>
    </row>
    <row r="2874">
      <c r="A2874" t="inlineStr">
        <is>
          <t>BBG01DJ4QS92 Equity</t>
        </is>
      </c>
      <c r="B2874" t="inlineStr">
        <is>
          <t>TSLA US 06/20/25 P320</t>
        </is>
      </c>
      <c r="C2874" t="inlineStr">
        <is>
          <t>2025-06-20</t>
        </is>
      </c>
      <c r="D2874" t="n">
        <v>320</v>
      </c>
      <c r="E2874" t="inlineStr">
        <is>
          <t>BBG01DJ4QS92</t>
        </is>
      </c>
    </row>
    <row r="2875">
      <c r="A2875" t="inlineStr">
        <is>
          <t>BBG01T4J2Z27 Equity</t>
        </is>
      </c>
      <c r="B2875" t="inlineStr">
        <is>
          <t>TSLA US 06/20/25 P325</t>
        </is>
      </c>
      <c r="C2875" t="inlineStr">
        <is>
          <t>2025-06-20</t>
        </is>
      </c>
      <c r="D2875" t="n">
        <v>325</v>
      </c>
      <c r="E2875" t="inlineStr">
        <is>
          <t>BBG01T4J2Z27</t>
        </is>
      </c>
    </row>
    <row r="2876">
      <c r="A2876" t="inlineStr">
        <is>
          <t>BBG01DMN5K96 Equity</t>
        </is>
      </c>
      <c r="B2876" t="inlineStr">
        <is>
          <t>TSLA US 06/20/25 P330</t>
        </is>
      </c>
      <c r="C2876" t="inlineStr">
        <is>
          <t>2025-06-20</t>
        </is>
      </c>
      <c r="D2876" t="n">
        <v>330</v>
      </c>
      <c r="E2876" t="inlineStr">
        <is>
          <t>BBG01DMN5K96</t>
        </is>
      </c>
    </row>
    <row r="2877">
      <c r="A2877" t="inlineStr">
        <is>
          <t>BBG01T4J2ZP2 Equity</t>
        </is>
      </c>
      <c r="B2877" t="inlineStr">
        <is>
          <t>TSLA US 06/20/25 P335</t>
        </is>
      </c>
      <c r="C2877" t="inlineStr">
        <is>
          <t>2025-06-20</t>
        </is>
      </c>
      <c r="D2877" t="n">
        <v>335</v>
      </c>
      <c r="E2877" t="inlineStr">
        <is>
          <t>BBG01T4J2ZP2</t>
        </is>
      </c>
    </row>
    <row r="2878">
      <c r="A2878" t="inlineStr">
        <is>
          <t>BBG01DMN5LD9 Equity</t>
        </is>
      </c>
      <c r="B2878" t="inlineStr">
        <is>
          <t>TSLA US 06/20/25 P340</t>
        </is>
      </c>
      <c r="C2878" t="inlineStr">
        <is>
          <t>2025-06-20</t>
        </is>
      </c>
      <c r="D2878" t="n">
        <v>340</v>
      </c>
      <c r="E2878" t="inlineStr">
        <is>
          <t>BBG01DMN5LD9</t>
        </is>
      </c>
    </row>
    <row r="2879">
      <c r="A2879" t="inlineStr">
        <is>
          <t>BBG01T4J2VY1 Equity</t>
        </is>
      </c>
      <c r="B2879" t="inlineStr">
        <is>
          <t>TSLA US 06/20/25 P345</t>
        </is>
      </c>
      <c r="C2879" t="inlineStr">
        <is>
          <t>2025-06-20</t>
        </is>
      </c>
      <c r="D2879" t="n">
        <v>345</v>
      </c>
      <c r="E2879" t="inlineStr">
        <is>
          <t>BBG01T4J2VY1</t>
        </is>
      </c>
    </row>
    <row r="2880">
      <c r="A2880" t="inlineStr">
        <is>
          <t>BBG01DMN5MH3 Equity</t>
        </is>
      </c>
      <c r="B2880" t="inlineStr">
        <is>
          <t>TSLA US 06/20/25 P350</t>
        </is>
      </c>
      <c r="C2880" t="inlineStr">
        <is>
          <t>2025-06-20</t>
        </is>
      </c>
      <c r="D2880" t="n">
        <v>350</v>
      </c>
      <c r="E2880" t="inlineStr">
        <is>
          <t>BBG01DMN5MH3</t>
        </is>
      </c>
    </row>
    <row r="2881">
      <c r="A2881" t="inlineStr">
        <is>
          <t>BBG01T4J2TQ5 Equity</t>
        </is>
      </c>
      <c r="B2881" t="inlineStr">
        <is>
          <t>TSLA US 06/20/25 P355</t>
        </is>
      </c>
      <c r="C2881" t="inlineStr">
        <is>
          <t>2025-06-20</t>
        </is>
      </c>
      <c r="D2881" t="n">
        <v>355</v>
      </c>
      <c r="E2881" t="inlineStr">
        <is>
          <t>BBG01T4J2TQ5</t>
        </is>
      </c>
    </row>
    <row r="2882">
      <c r="A2882" t="inlineStr">
        <is>
          <t>BBG01DMN5NM5 Equity</t>
        </is>
      </c>
      <c r="B2882" t="inlineStr">
        <is>
          <t>TSLA US 06/20/25 P360</t>
        </is>
      </c>
      <c r="C2882" t="inlineStr">
        <is>
          <t>2025-06-20</t>
        </is>
      </c>
      <c r="D2882" t="n">
        <v>360</v>
      </c>
      <c r="E2882" t="inlineStr">
        <is>
          <t>BBG01DMN5NM5</t>
        </is>
      </c>
    </row>
    <row r="2883">
      <c r="A2883" t="inlineStr">
        <is>
          <t>BBG01T4J2T30 Equity</t>
        </is>
      </c>
      <c r="B2883" t="inlineStr">
        <is>
          <t>TSLA US 06/20/25 P365</t>
        </is>
      </c>
      <c r="C2883" t="inlineStr">
        <is>
          <t>2025-06-20</t>
        </is>
      </c>
      <c r="D2883" t="n">
        <v>365</v>
      </c>
      <c r="E2883" t="inlineStr">
        <is>
          <t>BBG01T4J2T30</t>
        </is>
      </c>
    </row>
    <row r="2884">
      <c r="A2884" t="inlineStr">
        <is>
          <t>BBG01F2T7BW2 Equity</t>
        </is>
      </c>
      <c r="B2884" t="inlineStr">
        <is>
          <t>TSLA US 06/20/25 P370</t>
        </is>
      </c>
      <c r="C2884" t="inlineStr">
        <is>
          <t>2025-06-20</t>
        </is>
      </c>
      <c r="D2884" t="n">
        <v>370</v>
      </c>
      <c r="E2884" t="inlineStr">
        <is>
          <t>BBG01F2T7BW2</t>
        </is>
      </c>
    </row>
    <row r="2885">
      <c r="A2885" t="inlineStr">
        <is>
          <t>BBG01T4J2VB6 Equity</t>
        </is>
      </c>
      <c r="B2885" t="inlineStr">
        <is>
          <t>TSLA US 06/20/25 P375</t>
        </is>
      </c>
      <c r="C2885" t="inlineStr">
        <is>
          <t>2025-06-20</t>
        </is>
      </c>
      <c r="D2885" t="n">
        <v>375</v>
      </c>
      <c r="E2885" t="inlineStr">
        <is>
          <t>BBG01T4J2VB6</t>
        </is>
      </c>
    </row>
    <row r="2886">
      <c r="A2886" t="inlineStr">
        <is>
          <t>BBG01F2T7CZ7 Equity</t>
        </is>
      </c>
      <c r="B2886" t="inlineStr">
        <is>
          <t>TSLA US 06/20/25 P380</t>
        </is>
      </c>
      <c r="C2886" t="inlineStr">
        <is>
          <t>2025-06-20</t>
        </is>
      </c>
      <c r="D2886" t="n">
        <v>380</v>
      </c>
      <c r="E2886" t="inlineStr">
        <is>
          <t>BBG01F2T7CZ7</t>
        </is>
      </c>
    </row>
    <row r="2887">
      <c r="A2887" t="inlineStr">
        <is>
          <t>BBG01T4J2WK4 Equity</t>
        </is>
      </c>
      <c r="B2887" t="inlineStr">
        <is>
          <t>TSLA US 06/20/25 P385</t>
        </is>
      </c>
      <c r="C2887" t="inlineStr">
        <is>
          <t>2025-06-20</t>
        </is>
      </c>
      <c r="D2887" t="n">
        <v>385</v>
      </c>
      <c r="E2887" t="inlineStr">
        <is>
          <t>BBG01T4J2WK4</t>
        </is>
      </c>
    </row>
    <row r="2888">
      <c r="A2888" t="inlineStr">
        <is>
          <t>BBG01F2T7F26 Equity</t>
        </is>
      </c>
      <c r="B2888" t="inlineStr">
        <is>
          <t>TSLA US 06/20/25 P390</t>
        </is>
      </c>
      <c r="C2888" t="inlineStr">
        <is>
          <t>2025-06-20</t>
        </is>
      </c>
      <c r="D2888" t="n">
        <v>390</v>
      </c>
      <c r="E2888" t="inlineStr">
        <is>
          <t>BBG01F2T7F26</t>
        </is>
      </c>
    </row>
    <row r="2889">
      <c r="A2889" t="inlineStr">
        <is>
          <t>BBG01T4J2YG5 Equity</t>
        </is>
      </c>
      <c r="B2889" t="inlineStr">
        <is>
          <t>TSLA US 06/20/25 P395</t>
        </is>
      </c>
      <c r="C2889" t="inlineStr">
        <is>
          <t>2025-06-20</t>
        </is>
      </c>
      <c r="D2889" t="n">
        <v>395</v>
      </c>
      <c r="E2889" t="inlineStr">
        <is>
          <t>BBG01T4J2YG5</t>
        </is>
      </c>
    </row>
    <row r="2890">
      <c r="A2890" t="inlineStr">
        <is>
          <t>BBG01FFLBBY8 Equity</t>
        </is>
      </c>
      <c r="B2890" t="inlineStr">
        <is>
          <t>TSLA US 06/20/25 P400</t>
        </is>
      </c>
      <c r="C2890" t="inlineStr">
        <is>
          <t>2025-06-20</t>
        </is>
      </c>
      <c r="D2890" t="n">
        <v>400</v>
      </c>
      <c r="E2890" t="inlineStr">
        <is>
          <t>BBG01FFLBBY8</t>
        </is>
      </c>
    </row>
    <row r="2891">
      <c r="A2891" t="inlineStr">
        <is>
          <t>BBG01T4J2X77 Equity</t>
        </is>
      </c>
      <c r="B2891" t="inlineStr">
        <is>
          <t>TSLA US 06/20/25 P405</t>
        </is>
      </c>
      <c r="C2891" t="inlineStr">
        <is>
          <t>2025-06-20</t>
        </is>
      </c>
      <c r="D2891" t="n">
        <v>405</v>
      </c>
      <c r="E2891" t="inlineStr">
        <is>
          <t>BBG01T4J2X77</t>
        </is>
      </c>
    </row>
    <row r="2892">
      <c r="A2892" t="inlineStr">
        <is>
          <t>BBG01FFLBD29 Equity</t>
        </is>
      </c>
      <c r="B2892" t="inlineStr">
        <is>
          <t>TSLA US 06/20/25 P410</t>
        </is>
      </c>
      <c r="C2892" t="inlineStr">
        <is>
          <t>2025-06-20</t>
        </is>
      </c>
      <c r="D2892" t="n">
        <v>410</v>
      </c>
      <c r="E2892" t="inlineStr">
        <is>
          <t>BBG01FFLBD29</t>
        </is>
      </c>
    </row>
    <row r="2893">
      <c r="A2893" t="inlineStr">
        <is>
          <t>BBG01T4J2XV0 Equity</t>
        </is>
      </c>
      <c r="B2893" t="inlineStr">
        <is>
          <t>TSLA US 06/20/25 P415</t>
        </is>
      </c>
      <c r="C2893" t="inlineStr">
        <is>
          <t>2025-06-20</t>
        </is>
      </c>
      <c r="D2893" t="n">
        <v>415</v>
      </c>
      <c r="E2893" t="inlineStr">
        <is>
          <t>BBG01T4J2XV0</t>
        </is>
      </c>
    </row>
    <row r="2894">
      <c r="A2894" t="inlineStr">
        <is>
          <t>BBG01FP9SZG3 Equity</t>
        </is>
      </c>
      <c r="B2894" t="inlineStr">
        <is>
          <t>TSLA US 06/20/25 P420</t>
        </is>
      </c>
      <c r="C2894" t="inlineStr">
        <is>
          <t>2025-06-20</t>
        </is>
      </c>
      <c r="D2894" t="n">
        <v>420</v>
      </c>
      <c r="E2894" t="inlineStr">
        <is>
          <t>BBG01FP9SZG3</t>
        </is>
      </c>
    </row>
    <row r="2895">
      <c r="A2895" t="inlineStr">
        <is>
          <t>BBG01GZR9QZ0 Equity</t>
        </is>
      </c>
      <c r="B2895" t="inlineStr">
        <is>
          <t>TSLA US 06/20/25 P425</t>
        </is>
      </c>
      <c r="C2895" t="inlineStr">
        <is>
          <t>2025-06-20</t>
        </is>
      </c>
      <c r="D2895" t="n">
        <v>425</v>
      </c>
      <c r="E2895" t="inlineStr">
        <is>
          <t>BBG01GZR9QZ0</t>
        </is>
      </c>
    </row>
    <row r="2896">
      <c r="A2896" t="inlineStr">
        <is>
          <t>BBG01GXF1421 Equity</t>
        </is>
      </c>
      <c r="B2896" t="inlineStr">
        <is>
          <t>TSLA US 06/20/25 P430</t>
        </is>
      </c>
      <c r="C2896" t="inlineStr">
        <is>
          <t>2025-06-20</t>
        </is>
      </c>
      <c r="D2896" t="n">
        <v>430</v>
      </c>
      <c r="E2896" t="inlineStr">
        <is>
          <t>BBG01GXF1421</t>
        </is>
      </c>
    </row>
    <row r="2897">
      <c r="A2897" t="inlineStr">
        <is>
          <t>BBG01GXQ0MD6 Equity</t>
        </is>
      </c>
      <c r="B2897" t="inlineStr">
        <is>
          <t>TSLA US 06/20/25 P440</t>
        </is>
      </c>
      <c r="C2897" t="inlineStr">
        <is>
          <t>2025-06-20</t>
        </is>
      </c>
      <c r="D2897" t="n">
        <v>440</v>
      </c>
      <c r="E2897" t="inlineStr">
        <is>
          <t>BBG01GXQ0MD6</t>
        </is>
      </c>
    </row>
    <row r="2898">
      <c r="A2898" t="inlineStr">
        <is>
          <t>BBG01GYSN188 Equity</t>
        </is>
      </c>
      <c r="B2898" t="inlineStr">
        <is>
          <t>TSLA US 06/20/25 P450</t>
        </is>
      </c>
      <c r="C2898" t="inlineStr">
        <is>
          <t>2025-06-20</t>
        </is>
      </c>
      <c r="D2898" t="n">
        <v>450</v>
      </c>
      <c r="E2898" t="inlineStr">
        <is>
          <t>BBG01GYSN188</t>
        </is>
      </c>
    </row>
    <row r="2899">
      <c r="A2899" t="inlineStr">
        <is>
          <t>BBG01GYSN2C1 Equity</t>
        </is>
      </c>
      <c r="B2899" t="inlineStr">
        <is>
          <t>TSLA US 06/20/25 P460</t>
        </is>
      </c>
      <c r="C2899" t="inlineStr">
        <is>
          <t>2025-06-20</t>
        </is>
      </c>
      <c r="D2899" t="n">
        <v>460</v>
      </c>
      <c r="E2899" t="inlineStr">
        <is>
          <t>BBG01GYSN2C1</t>
        </is>
      </c>
    </row>
    <row r="2900">
      <c r="A2900" t="inlineStr">
        <is>
          <t>BBG01GZR9S22 Equity</t>
        </is>
      </c>
      <c r="B2900" t="inlineStr">
        <is>
          <t>TSLA US 06/20/25 P470</t>
        </is>
      </c>
      <c r="C2900" t="inlineStr">
        <is>
          <t>2025-06-20</t>
        </is>
      </c>
      <c r="D2900" t="n">
        <v>470</v>
      </c>
      <c r="E2900" t="inlineStr">
        <is>
          <t>BBG01GZR9S22</t>
        </is>
      </c>
    </row>
    <row r="2901">
      <c r="A2901" t="inlineStr">
        <is>
          <t>BBG01GZR9T57 Equity</t>
        </is>
      </c>
      <c r="B2901" t="inlineStr">
        <is>
          <t>TSLA US 06/20/25 P475</t>
        </is>
      </c>
      <c r="C2901" t="inlineStr">
        <is>
          <t>2025-06-20</t>
        </is>
      </c>
      <c r="D2901" t="n">
        <v>475</v>
      </c>
      <c r="E2901" t="inlineStr">
        <is>
          <t>BBG01GZR9T57</t>
        </is>
      </c>
    </row>
    <row r="2902">
      <c r="A2902" t="inlineStr">
        <is>
          <t>BBG01GZR9V98 Equity</t>
        </is>
      </c>
      <c r="B2902" t="inlineStr">
        <is>
          <t>TSLA US 06/20/25 P480</t>
        </is>
      </c>
      <c r="C2902" t="inlineStr">
        <is>
          <t>2025-06-20</t>
        </is>
      </c>
      <c r="D2902" t="n">
        <v>480</v>
      </c>
      <c r="E2902" t="inlineStr">
        <is>
          <t>BBG01GZR9V98</t>
        </is>
      </c>
    </row>
    <row r="2903">
      <c r="A2903" t="inlineStr">
        <is>
          <t>BBG01GZR9WD1 Equity</t>
        </is>
      </c>
      <c r="B2903" t="inlineStr">
        <is>
          <t>TSLA US 06/20/25 P490</t>
        </is>
      </c>
      <c r="C2903" t="inlineStr">
        <is>
          <t>2025-06-20</t>
        </is>
      </c>
      <c r="D2903" t="n">
        <v>490</v>
      </c>
      <c r="E2903" t="inlineStr">
        <is>
          <t>BBG01GZR9WD1</t>
        </is>
      </c>
    </row>
    <row r="2904">
      <c r="A2904" t="inlineStr">
        <is>
          <t>BBG01GZR9XH5 Equity</t>
        </is>
      </c>
      <c r="B2904" t="inlineStr">
        <is>
          <t>TSLA US 06/20/25 P500</t>
        </is>
      </c>
      <c r="C2904" t="inlineStr">
        <is>
          <t>2025-06-20</t>
        </is>
      </c>
      <c r="D2904" t="n">
        <v>500</v>
      </c>
      <c r="E2904" t="inlineStr">
        <is>
          <t>BBG01GZR9XH5</t>
        </is>
      </c>
    </row>
    <row r="2905">
      <c r="A2905" t="inlineStr">
        <is>
          <t>BBG01H458GX5 Equity</t>
        </is>
      </c>
      <c r="B2905" t="inlineStr">
        <is>
          <t>TSLA US 06/20/25 P510</t>
        </is>
      </c>
      <c r="C2905" t="inlineStr">
        <is>
          <t>2025-06-20</t>
        </is>
      </c>
      <c r="D2905" t="n">
        <v>510</v>
      </c>
      <c r="E2905" t="inlineStr">
        <is>
          <t>BBG01H458GX5</t>
        </is>
      </c>
    </row>
    <row r="2906">
      <c r="A2906" t="inlineStr">
        <is>
          <t>BBG01H458J05 Equity</t>
        </is>
      </c>
      <c r="B2906" t="inlineStr">
        <is>
          <t>TSLA US 06/20/25 P520</t>
        </is>
      </c>
      <c r="C2906" t="inlineStr">
        <is>
          <t>2025-06-20</t>
        </is>
      </c>
      <c r="D2906" t="n">
        <v>520</v>
      </c>
      <c r="E2906" t="inlineStr">
        <is>
          <t>BBG01H458J05</t>
        </is>
      </c>
    </row>
    <row r="2907">
      <c r="A2907" t="inlineStr">
        <is>
          <t>BBG01R6CXY14 Equity</t>
        </is>
      </c>
      <c r="B2907" t="inlineStr">
        <is>
          <t>TSLA US 07/18/25 P215</t>
        </is>
      </c>
      <c r="C2907" t="inlineStr">
        <is>
          <t>2025-07-18</t>
        </is>
      </c>
      <c r="D2907" t="n">
        <v>215</v>
      </c>
      <c r="E2907" t="inlineStr">
        <is>
          <t>BBG01R6CXY14</t>
        </is>
      </c>
    </row>
    <row r="2908">
      <c r="A2908" t="inlineStr">
        <is>
          <t>BBG01R6CYR90 Equity</t>
        </is>
      </c>
      <c r="B2908" t="inlineStr">
        <is>
          <t>TSLA US 07/18/25 P220</t>
        </is>
      </c>
      <c r="C2908" t="inlineStr">
        <is>
          <t>2025-07-18</t>
        </is>
      </c>
      <c r="D2908" t="n">
        <v>220</v>
      </c>
      <c r="E2908" t="inlineStr">
        <is>
          <t>BBG01R6CYR90</t>
        </is>
      </c>
    </row>
    <row r="2909">
      <c r="A2909" t="inlineStr">
        <is>
          <t>BBG01R6CX401 Equity</t>
        </is>
      </c>
      <c r="B2909" t="inlineStr">
        <is>
          <t>TSLA US 07/18/25 P225</t>
        </is>
      </c>
      <c r="C2909" t="inlineStr">
        <is>
          <t>2025-07-18</t>
        </is>
      </c>
      <c r="D2909" t="n">
        <v>225</v>
      </c>
      <c r="E2909" t="inlineStr">
        <is>
          <t>BBG01R6CX401</t>
        </is>
      </c>
    </row>
    <row r="2910">
      <c r="A2910" t="inlineStr">
        <is>
          <t>BBG01R6CX7K2 Equity</t>
        </is>
      </c>
      <c r="B2910" t="inlineStr">
        <is>
          <t>TSLA US 07/18/25 P230</t>
        </is>
      </c>
      <c r="C2910" t="inlineStr">
        <is>
          <t>2025-07-18</t>
        </is>
      </c>
      <c r="D2910" t="n">
        <v>230</v>
      </c>
      <c r="E2910" t="inlineStr">
        <is>
          <t>BBG01R6CX7K2</t>
        </is>
      </c>
    </row>
    <row r="2911">
      <c r="A2911" t="inlineStr">
        <is>
          <t>BBG01R6CXYN0 Equity</t>
        </is>
      </c>
      <c r="B2911" t="inlineStr">
        <is>
          <t>TSLA US 07/18/25 P235</t>
        </is>
      </c>
      <c r="C2911" t="inlineStr">
        <is>
          <t>2025-07-18</t>
        </is>
      </c>
      <c r="D2911" t="n">
        <v>235</v>
      </c>
      <c r="E2911" t="inlineStr">
        <is>
          <t>BBG01R6CXYN0</t>
        </is>
      </c>
    </row>
    <row r="2912">
      <c r="A2912" t="inlineStr">
        <is>
          <t>BBG01R6CYQP4 Equity</t>
        </is>
      </c>
      <c r="B2912" t="inlineStr">
        <is>
          <t>TSLA US 07/18/25 P240</t>
        </is>
      </c>
      <c r="C2912" t="inlineStr">
        <is>
          <t>2025-07-18</t>
        </is>
      </c>
      <c r="D2912" t="n">
        <v>240</v>
      </c>
      <c r="E2912" t="inlineStr">
        <is>
          <t>BBG01R6CYQP4</t>
        </is>
      </c>
    </row>
    <row r="2913">
      <c r="A2913" t="inlineStr">
        <is>
          <t>BBG01R6CX4M7 Equity</t>
        </is>
      </c>
      <c r="B2913" t="inlineStr">
        <is>
          <t>TSLA US 07/18/25 P245</t>
        </is>
      </c>
      <c r="C2913" t="inlineStr">
        <is>
          <t>2025-07-18</t>
        </is>
      </c>
      <c r="D2913" t="n">
        <v>245</v>
      </c>
      <c r="E2913" t="inlineStr">
        <is>
          <t>BBG01R6CX4M7</t>
        </is>
      </c>
    </row>
    <row r="2914">
      <c r="A2914" t="inlineStr">
        <is>
          <t>BBG01R6CXDG4 Equity</t>
        </is>
      </c>
      <c r="B2914" t="inlineStr">
        <is>
          <t>TSLA US 07/18/25 P250</t>
        </is>
      </c>
      <c r="C2914" t="inlineStr">
        <is>
          <t>2025-07-18</t>
        </is>
      </c>
      <c r="D2914" t="n">
        <v>250</v>
      </c>
      <c r="E2914" t="inlineStr">
        <is>
          <t>BBG01R6CXDG4</t>
        </is>
      </c>
    </row>
    <row r="2915">
      <c r="A2915" t="inlineStr">
        <is>
          <t>BBG01R6CXZ84 Equity</t>
        </is>
      </c>
      <c r="B2915" t="inlineStr">
        <is>
          <t>TSLA US 07/18/25 P255</t>
        </is>
      </c>
      <c r="C2915" t="inlineStr">
        <is>
          <t>2025-07-18</t>
        </is>
      </c>
      <c r="D2915" t="n">
        <v>255</v>
      </c>
      <c r="E2915" t="inlineStr">
        <is>
          <t>BBG01R6CXZ84</t>
        </is>
      </c>
    </row>
    <row r="2916">
      <c r="A2916" t="inlineStr">
        <is>
          <t>BBG01R6CY6C2 Equity</t>
        </is>
      </c>
      <c r="B2916" t="inlineStr">
        <is>
          <t>TSLA US 07/18/25 P260</t>
        </is>
      </c>
      <c r="C2916" t="inlineStr">
        <is>
          <t>2025-07-18</t>
        </is>
      </c>
      <c r="D2916" t="n">
        <v>260</v>
      </c>
      <c r="E2916" t="inlineStr">
        <is>
          <t>BBG01R6CY6C2</t>
        </is>
      </c>
    </row>
    <row r="2917">
      <c r="A2917" t="inlineStr">
        <is>
          <t>BBG01R6CXH84 Equity</t>
        </is>
      </c>
      <c r="B2917" t="inlineStr">
        <is>
          <t>TSLA US 07/18/25 P265</t>
        </is>
      </c>
      <c r="C2917" t="inlineStr">
        <is>
          <t>2025-07-18</t>
        </is>
      </c>
      <c r="D2917" t="n">
        <v>265</v>
      </c>
      <c r="E2917" t="inlineStr">
        <is>
          <t>BBG01R6CXH84</t>
        </is>
      </c>
    </row>
    <row r="2918">
      <c r="A2918" t="inlineStr">
        <is>
          <t>BBG01R6CXC76 Equity</t>
        </is>
      </c>
      <c r="B2918" t="inlineStr">
        <is>
          <t>TSLA US 07/18/25 P270</t>
        </is>
      </c>
      <c r="C2918" t="inlineStr">
        <is>
          <t>2025-07-18</t>
        </is>
      </c>
      <c r="D2918" t="n">
        <v>270</v>
      </c>
      <c r="E2918" t="inlineStr">
        <is>
          <t>BBG01R6CXC76</t>
        </is>
      </c>
    </row>
    <row r="2919">
      <c r="A2919" t="inlineStr">
        <is>
          <t>BBG01R6CYBC1 Equity</t>
        </is>
      </c>
      <c r="B2919" t="inlineStr">
        <is>
          <t>TSLA US 07/18/25 P275</t>
        </is>
      </c>
      <c r="C2919" t="inlineStr">
        <is>
          <t>2025-07-18</t>
        </is>
      </c>
      <c r="D2919" t="n">
        <v>275</v>
      </c>
      <c r="E2919" t="inlineStr">
        <is>
          <t>BBG01R6CYBC1</t>
        </is>
      </c>
    </row>
    <row r="2920">
      <c r="A2920" t="inlineStr">
        <is>
          <t>BBG01R6CY9R0 Equity</t>
        </is>
      </c>
      <c r="B2920" t="inlineStr">
        <is>
          <t>TSLA US 07/18/25 P280</t>
        </is>
      </c>
      <c r="C2920" t="inlineStr">
        <is>
          <t>2025-07-18</t>
        </is>
      </c>
      <c r="D2920" t="n">
        <v>280</v>
      </c>
      <c r="E2920" t="inlineStr">
        <is>
          <t>BBG01R6CY9R0</t>
        </is>
      </c>
    </row>
    <row r="2921">
      <c r="A2921" t="inlineStr">
        <is>
          <t>BBG01R6CXHW7 Equity</t>
        </is>
      </c>
      <c r="B2921" t="inlineStr">
        <is>
          <t>TSLA US 07/18/25 P285</t>
        </is>
      </c>
      <c r="C2921" t="inlineStr">
        <is>
          <t>2025-07-18</t>
        </is>
      </c>
      <c r="D2921" t="n">
        <v>285</v>
      </c>
      <c r="E2921" t="inlineStr">
        <is>
          <t>BBG01R6CXHW7</t>
        </is>
      </c>
    </row>
    <row r="2922">
      <c r="A2922" t="inlineStr">
        <is>
          <t>BBG01R6CX6Y9 Equity</t>
        </is>
      </c>
      <c r="B2922" t="inlineStr">
        <is>
          <t>TSLA US 07/18/25 P290</t>
        </is>
      </c>
      <c r="C2922" t="inlineStr">
        <is>
          <t>2025-07-18</t>
        </is>
      </c>
      <c r="D2922" t="n">
        <v>290</v>
      </c>
      <c r="E2922" t="inlineStr">
        <is>
          <t>BBG01R6CX6Y9</t>
        </is>
      </c>
    </row>
    <row r="2923">
      <c r="A2923" t="inlineStr">
        <is>
          <t>BBG01R6CXJR9 Equity</t>
        </is>
      </c>
      <c r="B2923" t="inlineStr">
        <is>
          <t>TSLA US 07/18/25 P295</t>
        </is>
      </c>
      <c r="C2923" t="inlineStr">
        <is>
          <t>2025-07-18</t>
        </is>
      </c>
      <c r="D2923" t="n">
        <v>295</v>
      </c>
      <c r="E2923" t="inlineStr">
        <is>
          <t>BBG01R6CXJR9</t>
        </is>
      </c>
    </row>
    <row r="2924">
      <c r="A2924" t="inlineStr">
        <is>
          <t>BBG01VQKQHJ1 Equity</t>
        </is>
      </c>
      <c r="B2924" t="inlineStr">
        <is>
          <t>TSLA US 07/18/25 P297.5</t>
        </is>
      </c>
      <c r="C2924" t="inlineStr">
        <is>
          <t>2025-07-18</t>
        </is>
      </c>
      <c r="D2924" t="n">
        <v>297.5</v>
      </c>
      <c r="E2924" t="inlineStr">
        <is>
          <t>BBG01VQKQHJ1</t>
        </is>
      </c>
    </row>
    <row r="2925">
      <c r="A2925" t="inlineStr">
        <is>
          <t>BBG01R6CX3D9 Equity</t>
        </is>
      </c>
      <c r="B2925" t="inlineStr">
        <is>
          <t>TSLA US 07/18/25 P300</t>
        </is>
      </c>
      <c r="C2925" t="inlineStr">
        <is>
          <t>2025-07-18</t>
        </is>
      </c>
      <c r="D2925" t="n">
        <v>300</v>
      </c>
      <c r="E2925" t="inlineStr">
        <is>
          <t>BBG01R6CX3D9</t>
        </is>
      </c>
    </row>
    <row r="2926">
      <c r="A2926" t="inlineStr">
        <is>
          <t>BBG01VQKPH02 Equity</t>
        </is>
      </c>
      <c r="B2926" t="inlineStr">
        <is>
          <t>TSLA US 07/18/25 P302.5</t>
        </is>
      </c>
      <c r="C2926" t="inlineStr">
        <is>
          <t>2025-07-18</t>
        </is>
      </c>
      <c r="D2926" t="n">
        <v>302.5</v>
      </c>
      <c r="E2926" t="inlineStr">
        <is>
          <t>BBG01VQKPH02</t>
        </is>
      </c>
    </row>
    <row r="2927">
      <c r="A2927" t="inlineStr">
        <is>
          <t>BBG01TN8PCS8 Equity</t>
        </is>
      </c>
      <c r="B2927" t="inlineStr">
        <is>
          <t>TSLA US 07/18/25 P305</t>
        </is>
      </c>
      <c r="C2927" t="inlineStr">
        <is>
          <t>2025-07-18</t>
        </is>
      </c>
      <c r="D2927" t="n">
        <v>305</v>
      </c>
      <c r="E2927" t="inlineStr">
        <is>
          <t>BBG01TN8PCS8</t>
        </is>
      </c>
    </row>
    <row r="2928">
      <c r="A2928" t="inlineStr">
        <is>
          <t>BBG01VQKPHM8 Equity</t>
        </is>
      </c>
      <c r="B2928" t="inlineStr">
        <is>
          <t>TSLA US 07/18/25 P307.5</t>
        </is>
      </c>
      <c r="C2928" t="inlineStr">
        <is>
          <t>2025-07-18</t>
        </is>
      </c>
      <c r="D2928" t="n">
        <v>307.5</v>
      </c>
      <c r="E2928" t="inlineStr">
        <is>
          <t>BBG01VQKPHM8</t>
        </is>
      </c>
    </row>
    <row r="2929">
      <c r="A2929" t="inlineStr">
        <is>
          <t>BBG01R6CXQ20 Equity</t>
        </is>
      </c>
      <c r="B2929" t="inlineStr">
        <is>
          <t>TSLA US 07/18/25 P310</t>
        </is>
      </c>
      <c r="C2929" t="inlineStr">
        <is>
          <t>2025-07-18</t>
        </is>
      </c>
      <c r="D2929" t="n">
        <v>310</v>
      </c>
      <c r="E2929" t="inlineStr">
        <is>
          <t>BBG01R6CXQ20</t>
        </is>
      </c>
    </row>
    <row r="2930">
      <c r="A2930" t="inlineStr">
        <is>
          <t>BBG01VQKQJ43 Equity</t>
        </is>
      </c>
      <c r="B2930" t="inlineStr">
        <is>
          <t>TSLA US 07/18/25 P312.5</t>
        </is>
      </c>
      <c r="C2930" t="inlineStr">
        <is>
          <t>2025-07-18</t>
        </is>
      </c>
      <c r="D2930" t="n">
        <v>312.5</v>
      </c>
      <c r="E2930" t="inlineStr">
        <is>
          <t>BBG01VQKQJ43</t>
        </is>
      </c>
    </row>
    <row r="2931">
      <c r="A2931" t="inlineStr">
        <is>
          <t>BBG01TN8PDD2 Equity</t>
        </is>
      </c>
      <c r="B2931" t="inlineStr">
        <is>
          <t>TSLA US 07/18/25 P315</t>
        </is>
      </c>
      <c r="C2931" t="inlineStr">
        <is>
          <t>2025-07-18</t>
        </is>
      </c>
      <c r="D2931" t="n">
        <v>315</v>
      </c>
      <c r="E2931" t="inlineStr">
        <is>
          <t>BBG01TN8PDD2</t>
        </is>
      </c>
    </row>
    <row r="2932">
      <c r="A2932" t="inlineStr">
        <is>
          <t>BBG01VQKPJ71 Equity</t>
        </is>
      </c>
      <c r="B2932" t="inlineStr">
        <is>
          <t>TSLA US 07/18/25 P317.5</t>
        </is>
      </c>
      <c r="C2932" t="inlineStr">
        <is>
          <t>2025-07-18</t>
        </is>
      </c>
      <c r="D2932" t="n">
        <v>317.5</v>
      </c>
      <c r="E2932" t="inlineStr">
        <is>
          <t>BBG01VQKPJ71</t>
        </is>
      </c>
    </row>
    <row r="2933">
      <c r="A2933" t="inlineStr">
        <is>
          <t>BBG01R6CXGN9 Equity</t>
        </is>
      </c>
      <c r="B2933" t="inlineStr">
        <is>
          <t>TSLA US 07/18/25 P320</t>
        </is>
      </c>
      <c r="C2933" t="inlineStr">
        <is>
          <t>2025-07-18</t>
        </is>
      </c>
      <c r="D2933" t="n">
        <v>320</v>
      </c>
      <c r="E2933" t="inlineStr">
        <is>
          <t>BBG01R6CXGN9</t>
        </is>
      </c>
    </row>
    <row r="2934">
      <c r="A2934" t="inlineStr">
        <is>
          <t>BBG01VQKQ1C3 Equity</t>
        </is>
      </c>
      <c r="B2934" t="inlineStr">
        <is>
          <t>TSLA US 07/18/25 P322.5</t>
        </is>
      </c>
      <c r="C2934" t="inlineStr">
        <is>
          <t>2025-07-18</t>
        </is>
      </c>
      <c r="D2934" t="n">
        <v>322.5</v>
      </c>
      <c r="E2934" t="inlineStr">
        <is>
          <t>BBG01VQKQ1C3</t>
        </is>
      </c>
    </row>
    <row r="2935">
      <c r="A2935" t="inlineStr">
        <is>
          <t>BBG01TN8PFM7 Equity</t>
        </is>
      </c>
      <c r="B2935" t="inlineStr">
        <is>
          <t>TSLA US 07/18/25 P325</t>
        </is>
      </c>
      <c r="C2935" t="inlineStr">
        <is>
          <t>2025-07-18</t>
        </is>
      </c>
      <c r="D2935" t="n">
        <v>325</v>
      </c>
      <c r="E2935" t="inlineStr">
        <is>
          <t>BBG01TN8PFM7</t>
        </is>
      </c>
    </row>
    <row r="2936">
      <c r="A2936" t="inlineStr">
        <is>
          <t>BBG01VQKPGD0 Equity</t>
        </is>
      </c>
      <c r="B2936" t="inlineStr">
        <is>
          <t>TSLA US 07/18/25 P327.5</t>
        </is>
      </c>
      <c r="C2936" t="inlineStr">
        <is>
          <t>2025-07-18</t>
        </is>
      </c>
      <c r="D2936" t="n">
        <v>327.5</v>
      </c>
      <c r="E2936" t="inlineStr">
        <is>
          <t>BBG01VQKPGD0</t>
        </is>
      </c>
    </row>
    <row r="2937">
      <c r="A2937" t="inlineStr">
        <is>
          <t>BBG01R6CYBZ6 Equity</t>
        </is>
      </c>
      <c r="B2937" t="inlineStr">
        <is>
          <t>TSLA US 07/18/25 P330</t>
        </is>
      </c>
      <c r="C2937" t="inlineStr">
        <is>
          <t>2025-07-18</t>
        </is>
      </c>
      <c r="D2937" t="n">
        <v>330</v>
      </c>
      <c r="E2937" t="inlineStr">
        <is>
          <t>BBG01R6CYBZ6</t>
        </is>
      </c>
    </row>
    <row r="2938">
      <c r="A2938" t="inlineStr">
        <is>
          <t>BBG01VQKQ0R9 Equity</t>
        </is>
      </c>
      <c r="B2938" t="inlineStr">
        <is>
          <t>TSLA US 07/18/25 P332.5</t>
        </is>
      </c>
      <c r="C2938" t="inlineStr">
        <is>
          <t>2025-07-18</t>
        </is>
      </c>
      <c r="D2938" t="n">
        <v>332.5</v>
      </c>
      <c r="E2938" t="inlineStr">
        <is>
          <t>BBG01VQKQ0R9</t>
        </is>
      </c>
    </row>
    <row r="2939">
      <c r="A2939" t="inlineStr">
        <is>
          <t>BBG01TN8PF01 Equity</t>
        </is>
      </c>
      <c r="B2939" t="inlineStr">
        <is>
          <t>TSLA US 07/18/25 P335</t>
        </is>
      </c>
      <c r="C2939" t="inlineStr">
        <is>
          <t>2025-07-18</t>
        </is>
      </c>
      <c r="D2939" t="n">
        <v>335</v>
      </c>
      <c r="E2939" t="inlineStr">
        <is>
          <t>BBG01TN8PF01</t>
        </is>
      </c>
    </row>
    <row r="2940">
      <c r="A2940" t="inlineStr">
        <is>
          <t>BBG01VQKQ8G4 Equity</t>
        </is>
      </c>
      <c r="B2940" t="inlineStr">
        <is>
          <t>TSLA US 07/18/25 P337.5</t>
        </is>
      </c>
      <c r="C2940" t="inlineStr">
        <is>
          <t>2025-07-18</t>
        </is>
      </c>
      <c r="D2940" t="n">
        <v>337.5</v>
      </c>
      <c r="E2940" t="inlineStr">
        <is>
          <t>BBG01VQKQ8G4</t>
        </is>
      </c>
    </row>
    <row r="2941">
      <c r="A2941" t="inlineStr">
        <is>
          <t>BBG01R6CXL12 Equity</t>
        </is>
      </c>
      <c r="B2941" t="inlineStr">
        <is>
          <t>TSLA US 07/18/25 P340</t>
        </is>
      </c>
      <c r="C2941" t="inlineStr">
        <is>
          <t>2025-07-18</t>
        </is>
      </c>
      <c r="D2941" t="n">
        <v>340</v>
      </c>
      <c r="E2941" t="inlineStr">
        <is>
          <t>BBG01R6CXL12</t>
        </is>
      </c>
    </row>
    <row r="2942">
      <c r="A2942" t="inlineStr">
        <is>
          <t>BBG01VQKQGX7 Equity</t>
        </is>
      </c>
      <c r="B2942" t="inlineStr">
        <is>
          <t>TSLA US 07/18/25 P342.5</t>
        </is>
      </c>
      <c r="C2942" t="inlineStr">
        <is>
          <t>2025-07-18</t>
        </is>
      </c>
      <c r="D2942" t="n">
        <v>342.5</v>
      </c>
      <c r="E2942" t="inlineStr">
        <is>
          <t>BBG01VQKQGX7</t>
        </is>
      </c>
    </row>
    <row r="2943">
      <c r="A2943" t="inlineStr">
        <is>
          <t>BBG01TRZ9M37 Equity</t>
        </is>
      </c>
      <c r="B2943" t="inlineStr">
        <is>
          <t>TSLA US 07/18/25 P345</t>
        </is>
      </c>
      <c r="C2943" t="inlineStr">
        <is>
          <t>2025-07-18</t>
        </is>
      </c>
      <c r="D2943" t="n">
        <v>345</v>
      </c>
      <c r="E2943" t="inlineStr">
        <is>
          <t>BBG01TRZ9M37</t>
        </is>
      </c>
    </row>
    <row r="2944">
      <c r="A2944" t="inlineStr">
        <is>
          <t>BBG01R6CXKC2 Equity</t>
        </is>
      </c>
      <c r="B2944" t="inlineStr">
        <is>
          <t>TSLA US 07/18/25 P350</t>
        </is>
      </c>
      <c r="C2944" t="inlineStr">
        <is>
          <t>2025-07-18</t>
        </is>
      </c>
      <c r="D2944" t="n">
        <v>350</v>
      </c>
      <c r="E2944" t="inlineStr">
        <is>
          <t>BBG01R6CXKC2</t>
        </is>
      </c>
    </row>
    <row r="2945">
      <c r="A2945" t="inlineStr">
        <is>
          <t>BBG01TRZ9PM9 Equity</t>
        </is>
      </c>
      <c r="B2945" t="inlineStr">
        <is>
          <t>TSLA US 07/18/25 P355</t>
        </is>
      </c>
      <c r="C2945" t="inlineStr">
        <is>
          <t>2025-07-18</t>
        </is>
      </c>
      <c r="D2945" t="n">
        <v>355</v>
      </c>
      <c r="E2945" t="inlineStr">
        <is>
          <t>BBG01TRZ9PM9</t>
        </is>
      </c>
    </row>
    <row r="2946">
      <c r="A2946" t="inlineStr">
        <is>
          <t>BBG01R6CWTN2 Equity</t>
        </is>
      </c>
      <c r="B2946" t="inlineStr">
        <is>
          <t>TSLA US 07/18/25 P360</t>
        </is>
      </c>
      <c r="C2946" t="inlineStr">
        <is>
          <t>2025-07-18</t>
        </is>
      </c>
      <c r="D2946" t="n">
        <v>360</v>
      </c>
      <c r="E2946" t="inlineStr">
        <is>
          <t>BBG01R6CWTN2</t>
        </is>
      </c>
    </row>
    <row r="2947">
      <c r="A2947" t="inlineStr">
        <is>
          <t>BBG01TRZ9Q74 Equity</t>
        </is>
      </c>
      <c r="B2947" t="inlineStr">
        <is>
          <t>TSLA US 07/18/25 P365</t>
        </is>
      </c>
      <c r="C2947" t="inlineStr">
        <is>
          <t>2025-07-18</t>
        </is>
      </c>
      <c r="D2947" t="n">
        <v>365</v>
      </c>
      <c r="E2947" t="inlineStr">
        <is>
          <t>BBG01TRZ9Q74</t>
        </is>
      </c>
    </row>
    <row r="2948">
      <c r="A2948" t="inlineStr">
        <is>
          <t>BBG01R6CYD64 Equity</t>
        </is>
      </c>
      <c r="B2948" t="inlineStr">
        <is>
          <t>TSLA US 07/18/25 P370</t>
        </is>
      </c>
      <c r="C2948" t="inlineStr">
        <is>
          <t>2025-07-18</t>
        </is>
      </c>
      <c r="D2948" t="n">
        <v>370</v>
      </c>
      <c r="E2948" t="inlineStr">
        <is>
          <t>BBG01R6CYD64</t>
        </is>
      </c>
    </row>
    <row r="2949">
      <c r="A2949" t="inlineStr">
        <is>
          <t>BBG01TRZ8V47 Equity</t>
        </is>
      </c>
      <c r="B2949" t="inlineStr">
        <is>
          <t>TSLA US 07/18/25 P375</t>
        </is>
      </c>
      <c r="C2949" t="inlineStr">
        <is>
          <t>2025-07-18</t>
        </is>
      </c>
      <c r="D2949" t="n">
        <v>375</v>
      </c>
      <c r="E2949" t="inlineStr">
        <is>
          <t>BBG01TRZ8V47</t>
        </is>
      </c>
    </row>
    <row r="2950">
      <c r="A2950" t="inlineStr">
        <is>
          <t>BBG01R6CXMW6 Equity</t>
        </is>
      </c>
      <c r="B2950" t="inlineStr">
        <is>
          <t>TSLA US 07/18/25 P380</t>
        </is>
      </c>
      <c r="C2950" t="inlineStr">
        <is>
          <t>2025-07-18</t>
        </is>
      </c>
      <c r="D2950" t="n">
        <v>380</v>
      </c>
      <c r="E2950" t="inlineStr">
        <is>
          <t>BBG01R6CXMW6</t>
        </is>
      </c>
    </row>
    <row r="2951">
      <c r="A2951" t="inlineStr">
        <is>
          <t>BBG01TRZ8TJ6 Equity</t>
        </is>
      </c>
      <c r="B2951" t="inlineStr">
        <is>
          <t>TSLA US 07/18/25 P385</t>
        </is>
      </c>
      <c r="C2951" t="inlineStr">
        <is>
          <t>2025-07-18</t>
        </is>
      </c>
      <c r="D2951" t="n">
        <v>385</v>
      </c>
      <c r="E2951" t="inlineStr">
        <is>
          <t>BBG01TRZ8TJ6</t>
        </is>
      </c>
    </row>
    <row r="2952">
      <c r="A2952" t="inlineStr">
        <is>
          <t>BBG01R6CXR91 Equity</t>
        </is>
      </c>
      <c r="B2952" t="inlineStr">
        <is>
          <t>TSLA US 07/18/25 P390</t>
        </is>
      </c>
      <c r="C2952" t="inlineStr">
        <is>
          <t>2025-07-18</t>
        </is>
      </c>
      <c r="D2952" t="n">
        <v>390</v>
      </c>
      <c r="E2952" t="inlineStr">
        <is>
          <t>BBG01R6CXR91</t>
        </is>
      </c>
    </row>
    <row r="2953">
      <c r="A2953" t="inlineStr">
        <is>
          <t>BBG01P3ZF0S5 Equity</t>
        </is>
      </c>
      <c r="B2953" t="inlineStr">
        <is>
          <t>TSLA US 08/15/25 P215</t>
        </is>
      </c>
      <c r="C2953" t="inlineStr">
        <is>
          <t>2025-08-15</t>
        </is>
      </c>
      <c r="D2953" t="n">
        <v>215</v>
      </c>
      <c r="E2953" t="inlineStr">
        <is>
          <t>BBG01P3ZF0S5</t>
        </is>
      </c>
    </row>
    <row r="2954">
      <c r="A2954" t="inlineStr">
        <is>
          <t>BBG01P3ZF1C0 Equity</t>
        </is>
      </c>
      <c r="B2954" t="inlineStr">
        <is>
          <t>TSLA US 08/15/25 P220</t>
        </is>
      </c>
      <c r="C2954" t="inlineStr">
        <is>
          <t>2025-08-15</t>
        </is>
      </c>
      <c r="D2954" t="n">
        <v>220</v>
      </c>
      <c r="E2954" t="inlineStr">
        <is>
          <t>BBG01P3ZF1C0</t>
        </is>
      </c>
    </row>
    <row r="2955">
      <c r="A2955" t="inlineStr">
        <is>
          <t>BBG01P3ZDZ19 Equity</t>
        </is>
      </c>
      <c r="B2955" t="inlineStr">
        <is>
          <t>TSLA US 08/15/25 P225</t>
        </is>
      </c>
      <c r="C2955" t="inlineStr">
        <is>
          <t>2025-08-15</t>
        </is>
      </c>
      <c r="D2955" t="n">
        <v>225</v>
      </c>
      <c r="E2955" t="inlineStr">
        <is>
          <t>BBG01P3ZDZ19</t>
        </is>
      </c>
    </row>
    <row r="2956">
      <c r="A2956" t="inlineStr">
        <is>
          <t>BBG01P3ZF9T5 Equity</t>
        </is>
      </c>
      <c r="B2956" t="inlineStr">
        <is>
          <t>TSLA US 08/15/25 P230</t>
        </is>
      </c>
      <c r="C2956" t="inlineStr">
        <is>
          <t>2025-08-15</t>
        </is>
      </c>
      <c r="D2956" t="n">
        <v>230</v>
      </c>
      <c r="E2956" t="inlineStr">
        <is>
          <t>BBG01P3ZF9T5</t>
        </is>
      </c>
    </row>
    <row r="2957">
      <c r="A2957" t="inlineStr">
        <is>
          <t>BBG01P3ZDN61 Equity</t>
        </is>
      </c>
      <c r="B2957" t="inlineStr">
        <is>
          <t>TSLA US 08/15/25 P235</t>
        </is>
      </c>
      <c r="C2957" t="inlineStr">
        <is>
          <t>2025-08-15</t>
        </is>
      </c>
      <c r="D2957" t="n">
        <v>235</v>
      </c>
      <c r="E2957" t="inlineStr">
        <is>
          <t>BBG01P3ZDN61</t>
        </is>
      </c>
    </row>
    <row r="2958">
      <c r="A2958" t="inlineStr">
        <is>
          <t>BBG01P3ZB4J1 Equity</t>
        </is>
      </c>
      <c r="B2958" t="inlineStr">
        <is>
          <t>TSLA US 08/15/25 P240</t>
        </is>
      </c>
      <c r="C2958" t="inlineStr">
        <is>
          <t>2025-08-15</t>
        </is>
      </c>
      <c r="D2958" t="n">
        <v>240</v>
      </c>
      <c r="E2958" t="inlineStr">
        <is>
          <t>BBG01P3ZB4J1</t>
        </is>
      </c>
    </row>
    <row r="2959">
      <c r="A2959" t="inlineStr">
        <is>
          <t>BBG01P3ZDZM6 Equity</t>
        </is>
      </c>
      <c r="B2959" t="inlineStr">
        <is>
          <t>TSLA US 08/15/25 P245</t>
        </is>
      </c>
      <c r="C2959" t="inlineStr">
        <is>
          <t>2025-08-15</t>
        </is>
      </c>
      <c r="D2959" t="n">
        <v>245</v>
      </c>
      <c r="E2959" t="inlineStr">
        <is>
          <t>BBG01P3ZDZM6</t>
        </is>
      </c>
    </row>
    <row r="2960">
      <c r="A2960" t="inlineStr">
        <is>
          <t>BBG01P3ZCTY8 Equity</t>
        </is>
      </c>
      <c r="B2960" t="inlineStr">
        <is>
          <t>TSLA US 08/15/25 P250</t>
        </is>
      </c>
      <c r="C2960" t="inlineStr">
        <is>
          <t>2025-08-15</t>
        </is>
      </c>
      <c r="D2960" t="n">
        <v>250</v>
      </c>
      <c r="E2960" t="inlineStr">
        <is>
          <t>BBG01P3ZCTY8</t>
        </is>
      </c>
    </row>
    <row r="2961">
      <c r="A2961" t="inlineStr">
        <is>
          <t>BBG01P3ZCKV0 Equity</t>
        </is>
      </c>
      <c r="B2961" t="inlineStr">
        <is>
          <t>TSLA US 08/15/25 P255</t>
        </is>
      </c>
      <c r="C2961" t="inlineStr">
        <is>
          <t>2025-08-15</t>
        </is>
      </c>
      <c r="D2961" t="n">
        <v>255</v>
      </c>
      <c r="E2961" t="inlineStr">
        <is>
          <t>BBG01P3ZCKV0</t>
        </is>
      </c>
    </row>
    <row r="2962">
      <c r="A2962" t="inlineStr">
        <is>
          <t>BBG01P3ZBFT5 Equity</t>
        </is>
      </c>
      <c r="B2962" t="inlineStr">
        <is>
          <t>TSLA US 08/15/25 P260</t>
        </is>
      </c>
      <c r="C2962" t="inlineStr">
        <is>
          <t>2025-08-15</t>
        </is>
      </c>
      <c r="D2962" t="n">
        <v>260</v>
      </c>
      <c r="E2962" t="inlineStr">
        <is>
          <t>BBG01P3ZBFT5</t>
        </is>
      </c>
    </row>
    <row r="2963">
      <c r="A2963" t="inlineStr">
        <is>
          <t>BBG01P3ZBY87 Equity</t>
        </is>
      </c>
      <c r="B2963" t="inlineStr">
        <is>
          <t>TSLA US 08/15/25 P265</t>
        </is>
      </c>
      <c r="C2963" t="inlineStr">
        <is>
          <t>2025-08-15</t>
        </is>
      </c>
      <c r="D2963" t="n">
        <v>265</v>
      </c>
      <c r="E2963" t="inlineStr">
        <is>
          <t>BBG01P3ZBY87</t>
        </is>
      </c>
    </row>
    <row r="2964">
      <c r="A2964" t="inlineStr">
        <is>
          <t>BBG01P3ZBQD8 Equity</t>
        </is>
      </c>
      <c r="B2964" t="inlineStr">
        <is>
          <t>TSLA US 08/15/25 P270</t>
        </is>
      </c>
      <c r="C2964" t="inlineStr">
        <is>
          <t>2025-08-15</t>
        </is>
      </c>
      <c r="D2964" t="n">
        <v>270</v>
      </c>
      <c r="E2964" t="inlineStr">
        <is>
          <t>BBG01P3ZBQD8</t>
        </is>
      </c>
    </row>
    <row r="2965">
      <c r="A2965" t="inlineStr">
        <is>
          <t>BBG01P3ZBRK8 Equity</t>
        </is>
      </c>
      <c r="B2965" t="inlineStr">
        <is>
          <t>TSLA US 08/15/25 P275</t>
        </is>
      </c>
      <c r="C2965" t="inlineStr">
        <is>
          <t>2025-08-15</t>
        </is>
      </c>
      <c r="D2965" t="n">
        <v>275</v>
      </c>
      <c r="E2965" t="inlineStr">
        <is>
          <t>BBG01P3ZBRK8</t>
        </is>
      </c>
    </row>
    <row r="2966">
      <c r="A2966" t="inlineStr">
        <is>
          <t>BBG01P3ZBP77 Equity</t>
        </is>
      </c>
      <c r="B2966" t="inlineStr">
        <is>
          <t>TSLA US 08/15/25 P280</t>
        </is>
      </c>
      <c r="C2966" t="inlineStr">
        <is>
          <t>2025-08-15</t>
        </is>
      </c>
      <c r="D2966" t="n">
        <v>280</v>
      </c>
      <c r="E2966" t="inlineStr">
        <is>
          <t>BBG01P3ZBP77</t>
        </is>
      </c>
    </row>
    <row r="2967">
      <c r="A2967" t="inlineStr">
        <is>
          <t>BBG01P3ZBYV1 Equity</t>
        </is>
      </c>
      <c r="B2967" t="inlineStr">
        <is>
          <t>TSLA US 08/15/25 P285</t>
        </is>
      </c>
      <c r="C2967" t="inlineStr">
        <is>
          <t>2025-08-15</t>
        </is>
      </c>
      <c r="D2967" t="n">
        <v>285</v>
      </c>
      <c r="E2967" t="inlineStr">
        <is>
          <t>BBG01P3ZBYV1</t>
        </is>
      </c>
    </row>
    <row r="2968">
      <c r="A2968" t="inlineStr">
        <is>
          <t>BBG01P3ZBPT3 Equity</t>
        </is>
      </c>
      <c r="B2968" t="inlineStr">
        <is>
          <t>TSLA US 08/15/25 P290</t>
        </is>
      </c>
      <c r="C2968" t="inlineStr">
        <is>
          <t>2025-08-15</t>
        </is>
      </c>
      <c r="D2968" t="n">
        <v>290</v>
      </c>
      <c r="E2968" t="inlineStr">
        <is>
          <t>BBG01P3ZBPT3</t>
        </is>
      </c>
    </row>
    <row r="2969">
      <c r="A2969" t="inlineStr">
        <is>
          <t>BBG01P3ZBF79 Equity</t>
        </is>
      </c>
      <c r="B2969" t="inlineStr">
        <is>
          <t>TSLA US 08/15/25 P295</t>
        </is>
      </c>
      <c r="C2969" t="inlineStr">
        <is>
          <t>2025-08-15</t>
        </is>
      </c>
      <c r="D2969" t="n">
        <v>295</v>
      </c>
      <c r="E2969" t="inlineStr">
        <is>
          <t>BBG01P3ZBF79</t>
        </is>
      </c>
    </row>
    <row r="2970">
      <c r="A2970" t="inlineStr">
        <is>
          <t>BBG01P3ZF069 Equity</t>
        </is>
      </c>
      <c r="B2970" t="inlineStr">
        <is>
          <t>TSLA US 08/15/25 P300</t>
        </is>
      </c>
      <c r="C2970" t="inlineStr">
        <is>
          <t>2025-08-15</t>
        </is>
      </c>
      <c r="D2970" t="n">
        <v>300</v>
      </c>
      <c r="E2970" t="inlineStr">
        <is>
          <t>BBG01P3ZF069</t>
        </is>
      </c>
    </row>
    <row r="2971">
      <c r="A2971" t="inlineStr">
        <is>
          <t>BBG01P3ZDG66 Equity</t>
        </is>
      </c>
      <c r="B2971" t="inlineStr">
        <is>
          <t>TSLA US 08/15/25 P305</t>
        </is>
      </c>
      <c r="C2971" t="inlineStr">
        <is>
          <t>2025-08-15</t>
        </is>
      </c>
      <c r="D2971" t="n">
        <v>305</v>
      </c>
      <c r="E2971" t="inlineStr">
        <is>
          <t>BBG01P3ZDG66</t>
        </is>
      </c>
    </row>
    <row r="2972">
      <c r="A2972" t="inlineStr">
        <is>
          <t>BBG01P3ZBZF6 Equity</t>
        </is>
      </c>
      <c r="B2972" t="inlineStr">
        <is>
          <t>TSLA US 08/15/25 P310</t>
        </is>
      </c>
      <c r="C2972" t="inlineStr">
        <is>
          <t>2025-08-15</t>
        </is>
      </c>
      <c r="D2972" t="n">
        <v>310</v>
      </c>
      <c r="E2972" t="inlineStr">
        <is>
          <t>BBG01P3ZBZF6</t>
        </is>
      </c>
    </row>
    <row r="2973">
      <c r="A2973" t="inlineStr">
        <is>
          <t>BBG01P3ZDGS2 Equity</t>
        </is>
      </c>
      <c r="B2973" t="inlineStr">
        <is>
          <t>TSLA US 08/15/25 P315</t>
        </is>
      </c>
      <c r="C2973" t="inlineStr">
        <is>
          <t>2025-08-15</t>
        </is>
      </c>
      <c r="D2973" t="n">
        <v>315</v>
      </c>
      <c r="E2973" t="inlineStr">
        <is>
          <t>BBG01P3ZDGS2</t>
        </is>
      </c>
    </row>
    <row r="2974">
      <c r="A2974" t="inlineStr">
        <is>
          <t>BBG01P3ZD7B0 Equity</t>
        </is>
      </c>
      <c r="B2974" t="inlineStr">
        <is>
          <t>TSLA US 08/15/25 P320</t>
        </is>
      </c>
      <c r="C2974" t="inlineStr">
        <is>
          <t>2025-08-15</t>
        </is>
      </c>
      <c r="D2974" t="n">
        <v>320</v>
      </c>
      <c r="E2974" t="inlineStr">
        <is>
          <t>BBG01P3ZD7B0</t>
        </is>
      </c>
    </row>
    <row r="2975">
      <c r="A2975" t="inlineStr">
        <is>
          <t>BBG01V4PXP44 Equity</t>
        </is>
      </c>
      <c r="B2975" t="inlineStr">
        <is>
          <t>TSLA US 08/15/25 P325</t>
        </is>
      </c>
      <c r="C2975" t="inlineStr">
        <is>
          <t>2025-08-15</t>
        </is>
      </c>
      <c r="D2975" t="n">
        <v>325</v>
      </c>
      <c r="E2975" t="inlineStr">
        <is>
          <t>BBG01V4PXP44</t>
        </is>
      </c>
    </row>
    <row r="2976">
      <c r="A2976" t="inlineStr">
        <is>
          <t>BBG01PDQ5H80 Equity</t>
        </is>
      </c>
      <c r="B2976" t="inlineStr">
        <is>
          <t>TSLA US 08/15/25 P330</t>
        </is>
      </c>
      <c r="C2976" t="inlineStr">
        <is>
          <t>2025-08-15</t>
        </is>
      </c>
      <c r="D2976" t="n">
        <v>330</v>
      </c>
      <c r="E2976" t="inlineStr">
        <is>
          <t>BBG01PDQ5H80</t>
        </is>
      </c>
    </row>
    <row r="2977">
      <c r="A2977" t="inlineStr">
        <is>
          <t>BBG01V4PXPR9 Equity</t>
        </is>
      </c>
      <c r="B2977" t="inlineStr">
        <is>
          <t>TSLA US 08/15/25 P335</t>
        </is>
      </c>
      <c r="C2977" t="inlineStr">
        <is>
          <t>2025-08-15</t>
        </is>
      </c>
      <c r="D2977" t="n">
        <v>335</v>
      </c>
      <c r="E2977" t="inlineStr">
        <is>
          <t>BBG01V4PXPR9</t>
        </is>
      </c>
    </row>
    <row r="2978">
      <c r="A2978" t="inlineStr">
        <is>
          <t>BBG01PMH95C7 Equity</t>
        </is>
      </c>
      <c r="B2978" t="inlineStr">
        <is>
          <t>TSLA US 08/15/25 P340</t>
        </is>
      </c>
      <c r="C2978" t="inlineStr">
        <is>
          <t>2025-08-15</t>
        </is>
      </c>
      <c r="D2978" t="n">
        <v>340</v>
      </c>
      <c r="E2978" t="inlineStr">
        <is>
          <t>BBG01PMH95C7</t>
        </is>
      </c>
    </row>
    <row r="2979">
      <c r="A2979" t="inlineStr">
        <is>
          <t>BBG01V4PY8K3 Equity</t>
        </is>
      </c>
      <c r="B2979" t="inlineStr">
        <is>
          <t>TSLA US 08/15/25 P345</t>
        </is>
      </c>
      <c r="C2979" t="inlineStr">
        <is>
          <t>2025-08-15</t>
        </is>
      </c>
      <c r="D2979" t="n">
        <v>345</v>
      </c>
      <c r="E2979" t="inlineStr">
        <is>
          <t>BBG01V4PY8K3</t>
        </is>
      </c>
    </row>
    <row r="2980">
      <c r="A2980" t="inlineStr">
        <is>
          <t>BBG01PYD3RH6 Equity</t>
        </is>
      </c>
      <c r="B2980" t="inlineStr">
        <is>
          <t>TSLA US 08/15/25 P350</t>
        </is>
      </c>
      <c r="C2980" t="inlineStr">
        <is>
          <t>2025-08-15</t>
        </is>
      </c>
      <c r="D2980" t="n">
        <v>350</v>
      </c>
      <c r="E2980" t="inlineStr">
        <is>
          <t>BBG01PYD3RH6</t>
        </is>
      </c>
    </row>
    <row r="2981">
      <c r="A2981" t="inlineStr">
        <is>
          <t>BBG01V4PXKQ1 Equity</t>
        </is>
      </c>
      <c r="B2981" t="inlineStr">
        <is>
          <t>TSLA US 08/15/25 P355</t>
        </is>
      </c>
      <c r="C2981" t="inlineStr">
        <is>
          <t>2025-08-15</t>
        </is>
      </c>
      <c r="D2981" t="n">
        <v>355</v>
      </c>
      <c r="E2981" t="inlineStr">
        <is>
          <t>BBG01V4PXKQ1</t>
        </is>
      </c>
    </row>
    <row r="2982">
      <c r="A2982" t="inlineStr">
        <is>
          <t>BBG01PZCZQ75 Equity</t>
        </is>
      </c>
      <c r="B2982" t="inlineStr">
        <is>
          <t>TSLA US 08/15/25 P360</t>
        </is>
      </c>
      <c r="C2982" t="inlineStr">
        <is>
          <t>2025-08-15</t>
        </is>
      </c>
      <c r="D2982" t="n">
        <v>360</v>
      </c>
      <c r="E2982" t="inlineStr">
        <is>
          <t>BBG01PZCZQ75</t>
        </is>
      </c>
    </row>
    <row r="2983">
      <c r="A2983" t="inlineStr">
        <is>
          <t>BBG01V4PXMX9 Equity</t>
        </is>
      </c>
      <c r="B2983" t="inlineStr">
        <is>
          <t>TSLA US 08/15/25 P365</t>
        </is>
      </c>
      <c r="C2983" t="inlineStr">
        <is>
          <t>2025-08-15</t>
        </is>
      </c>
      <c r="D2983" t="n">
        <v>365</v>
      </c>
      <c r="E2983" t="inlineStr">
        <is>
          <t>BBG01V4PXMX9</t>
        </is>
      </c>
    </row>
    <row r="2984">
      <c r="A2984" t="inlineStr">
        <is>
          <t>BBG01Q04K0T8 Equity</t>
        </is>
      </c>
      <c r="B2984" t="inlineStr">
        <is>
          <t>TSLA US 08/15/25 P370</t>
        </is>
      </c>
      <c r="C2984" t="inlineStr">
        <is>
          <t>2025-08-15</t>
        </is>
      </c>
      <c r="D2984" t="n">
        <v>370</v>
      </c>
      <c r="E2984" t="inlineStr">
        <is>
          <t>BBG01Q04K0T8</t>
        </is>
      </c>
    </row>
    <row r="2985">
      <c r="A2985" t="inlineStr">
        <is>
          <t>BBG01V4PY7Y0 Equity</t>
        </is>
      </c>
      <c r="B2985" t="inlineStr">
        <is>
          <t>TSLA US 08/15/25 P375</t>
        </is>
      </c>
      <c r="C2985" t="inlineStr">
        <is>
          <t>2025-08-15</t>
        </is>
      </c>
      <c r="D2985" t="n">
        <v>375</v>
      </c>
      <c r="E2985" t="inlineStr">
        <is>
          <t>BBG01V4PY7Y0</t>
        </is>
      </c>
    </row>
    <row r="2986">
      <c r="A2986" t="inlineStr">
        <is>
          <t>BBG01Q04K615 Equity</t>
        </is>
      </c>
      <c r="B2986" t="inlineStr">
        <is>
          <t>TSLA US 08/15/25 P380</t>
        </is>
      </c>
      <c r="C2986" t="inlineStr">
        <is>
          <t>2025-08-15</t>
        </is>
      </c>
      <c r="D2986" t="n">
        <v>380</v>
      </c>
      <c r="E2986" t="inlineStr">
        <is>
          <t>BBG01Q04K615</t>
        </is>
      </c>
    </row>
    <row r="2987">
      <c r="A2987" t="inlineStr">
        <is>
          <t>BBG01V4PXNJ3 Equity</t>
        </is>
      </c>
      <c r="B2987" t="inlineStr">
        <is>
          <t>TSLA US 08/15/25 P385</t>
        </is>
      </c>
      <c r="C2987" t="inlineStr">
        <is>
          <t>2025-08-15</t>
        </is>
      </c>
      <c r="D2987" t="n">
        <v>385</v>
      </c>
      <c r="E2987" t="inlineStr">
        <is>
          <t>BBG01V4PXNJ3</t>
        </is>
      </c>
    </row>
    <row r="2988">
      <c r="A2988" t="inlineStr">
        <is>
          <t>BBG01Q04K4S1 Equity</t>
        </is>
      </c>
      <c r="B2988" t="inlineStr">
        <is>
          <t>TSLA US 08/15/25 P390</t>
        </is>
      </c>
      <c r="C2988" t="inlineStr">
        <is>
          <t>2025-08-15</t>
        </is>
      </c>
      <c r="D2988" t="n">
        <v>390</v>
      </c>
      <c r="E2988" t="inlineStr">
        <is>
          <t>BBG01Q04K4S1</t>
        </is>
      </c>
    </row>
    <row r="2989">
      <c r="A2989" t="inlineStr">
        <is>
          <t>BBG01HX6JG32 Equity</t>
        </is>
      </c>
      <c r="B2989" t="inlineStr">
        <is>
          <t>TSLA US 09/19/25 P215</t>
        </is>
      </c>
      <c r="C2989" t="inlineStr">
        <is>
          <t>2025-09-19</t>
        </is>
      </c>
      <c r="D2989" t="n">
        <v>215</v>
      </c>
      <c r="E2989" t="inlineStr">
        <is>
          <t>BBG01HX6JG32</t>
        </is>
      </c>
    </row>
    <row r="2990">
      <c r="A2990" t="inlineStr">
        <is>
          <t>BBG01HX6JH85 Equity</t>
        </is>
      </c>
      <c r="B2990" t="inlineStr">
        <is>
          <t>TSLA US 09/19/25 P220</t>
        </is>
      </c>
      <c r="C2990" t="inlineStr">
        <is>
          <t>2025-09-19</t>
        </is>
      </c>
      <c r="D2990" t="n">
        <v>220</v>
      </c>
      <c r="E2990" t="inlineStr">
        <is>
          <t>BBG01HX6JH85</t>
        </is>
      </c>
    </row>
    <row r="2991">
      <c r="A2991" t="inlineStr">
        <is>
          <t>BBG01HX6JJC6 Equity</t>
        </is>
      </c>
      <c r="B2991" t="inlineStr">
        <is>
          <t>TSLA US 09/19/25 P225</t>
        </is>
      </c>
      <c r="C2991" t="inlineStr">
        <is>
          <t>2025-09-19</t>
        </is>
      </c>
      <c r="D2991" t="n">
        <v>225</v>
      </c>
      <c r="E2991" t="inlineStr">
        <is>
          <t>BBG01HX6JJC6</t>
        </is>
      </c>
    </row>
    <row r="2992">
      <c r="A2992" t="inlineStr">
        <is>
          <t>BBG01HX6JKG9 Equity</t>
        </is>
      </c>
      <c r="B2992" t="inlineStr">
        <is>
          <t>TSLA US 09/19/25 P230</t>
        </is>
      </c>
      <c r="C2992" t="inlineStr">
        <is>
          <t>2025-09-19</t>
        </is>
      </c>
      <c r="D2992" t="n">
        <v>230</v>
      </c>
      <c r="E2992" t="inlineStr">
        <is>
          <t>BBG01HX6JKG9</t>
        </is>
      </c>
    </row>
    <row r="2993">
      <c r="A2993" t="inlineStr">
        <is>
          <t>BBG01HX6JLL1 Equity</t>
        </is>
      </c>
      <c r="B2993" t="inlineStr">
        <is>
          <t>TSLA US 09/19/25 P235</t>
        </is>
      </c>
      <c r="C2993" t="inlineStr">
        <is>
          <t>2025-09-19</t>
        </is>
      </c>
      <c r="D2993" t="n">
        <v>235</v>
      </c>
      <c r="E2993" t="inlineStr">
        <is>
          <t>BBG01HX6JLL1</t>
        </is>
      </c>
    </row>
    <row r="2994">
      <c r="A2994" t="inlineStr">
        <is>
          <t>BBG01HX6JMP5 Equity</t>
        </is>
      </c>
      <c r="B2994" t="inlineStr">
        <is>
          <t>TSLA US 09/19/25 P240</t>
        </is>
      </c>
      <c r="C2994" t="inlineStr">
        <is>
          <t>2025-09-19</t>
        </is>
      </c>
      <c r="D2994" t="n">
        <v>240</v>
      </c>
      <c r="E2994" t="inlineStr">
        <is>
          <t>BBG01HX6JMP5</t>
        </is>
      </c>
    </row>
    <row r="2995">
      <c r="A2995" t="inlineStr">
        <is>
          <t>BBG01HX6JNS0 Equity</t>
        </is>
      </c>
      <c r="B2995" t="inlineStr">
        <is>
          <t>TSLA US 09/19/25 P245</t>
        </is>
      </c>
      <c r="C2995" t="inlineStr">
        <is>
          <t>2025-09-19</t>
        </is>
      </c>
      <c r="D2995" t="n">
        <v>245</v>
      </c>
      <c r="E2995" t="inlineStr">
        <is>
          <t>BBG01HX6JNS0</t>
        </is>
      </c>
    </row>
    <row r="2996">
      <c r="A2996" t="inlineStr">
        <is>
          <t>BBG01HX6JPX9 Equity</t>
        </is>
      </c>
      <c r="B2996" t="inlineStr">
        <is>
          <t>TSLA US 09/19/25 P250</t>
        </is>
      </c>
      <c r="C2996" t="inlineStr">
        <is>
          <t>2025-09-19</t>
        </is>
      </c>
      <c r="D2996" t="n">
        <v>250</v>
      </c>
      <c r="E2996" t="inlineStr">
        <is>
          <t>BBG01HX6JPX9</t>
        </is>
      </c>
    </row>
    <row r="2997">
      <c r="A2997" t="inlineStr">
        <is>
          <t>BBG01HX6JR01 Equity</t>
        </is>
      </c>
      <c r="B2997" t="inlineStr">
        <is>
          <t>TSLA US 09/19/25 P255</t>
        </is>
      </c>
      <c r="C2997" t="inlineStr">
        <is>
          <t>2025-09-19</t>
        </is>
      </c>
      <c r="D2997" t="n">
        <v>255</v>
      </c>
      <c r="E2997" t="inlineStr">
        <is>
          <t>BBG01HX6JR01</t>
        </is>
      </c>
    </row>
    <row r="2998">
      <c r="A2998" t="inlineStr">
        <is>
          <t>BBG01HX6JS36 Equity</t>
        </is>
      </c>
      <c r="B2998" t="inlineStr">
        <is>
          <t>TSLA US 09/19/25 P260</t>
        </is>
      </c>
      <c r="C2998" t="inlineStr">
        <is>
          <t>2025-09-19</t>
        </is>
      </c>
      <c r="D2998" t="n">
        <v>260</v>
      </c>
      <c r="E2998" t="inlineStr">
        <is>
          <t>BBG01HX6JS36</t>
        </is>
      </c>
    </row>
    <row r="2999">
      <c r="A2999" t="inlineStr">
        <is>
          <t>BBG01HX6JT70 Equity</t>
        </is>
      </c>
      <c r="B2999" t="inlineStr">
        <is>
          <t>TSLA US 09/19/25 P265</t>
        </is>
      </c>
      <c r="C2999" t="inlineStr">
        <is>
          <t>2025-09-19</t>
        </is>
      </c>
      <c r="D2999" t="n">
        <v>265</v>
      </c>
      <c r="E2999" t="inlineStr">
        <is>
          <t>BBG01HX6JT70</t>
        </is>
      </c>
    </row>
    <row r="3000">
      <c r="A3000" t="inlineStr">
        <is>
          <t>BBG01HX6JVB0 Equity</t>
        </is>
      </c>
      <c r="B3000" t="inlineStr">
        <is>
          <t>TSLA US 09/19/25 P270</t>
        </is>
      </c>
      <c r="C3000" t="inlineStr">
        <is>
          <t>2025-09-19</t>
        </is>
      </c>
      <c r="D3000" t="n">
        <v>270</v>
      </c>
      <c r="E3000" t="inlineStr">
        <is>
          <t>BBG01HX6JVB0</t>
        </is>
      </c>
    </row>
    <row r="3001">
      <c r="A3001" t="inlineStr">
        <is>
          <t>BBG01HX6JWF4 Equity</t>
        </is>
      </c>
      <c r="B3001" t="inlineStr">
        <is>
          <t>TSLA US 09/19/25 P275</t>
        </is>
      </c>
      <c r="C3001" t="inlineStr">
        <is>
          <t>2025-09-19</t>
        </is>
      </c>
      <c r="D3001" t="n">
        <v>275</v>
      </c>
      <c r="E3001" t="inlineStr">
        <is>
          <t>BBG01HX6JWF4</t>
        </is>
      </c>
    </row>
    <row r="3002">
      <c r="A3002" t="inlineStr">
        <is>
          <t>BBG01HX6JXK6 Equity</t>
        </is>
      </c>
      <c r="B3002" t="inlineStr">
        <is>
          <t>TSLA US 09/19/25 P280</t>
        </is>
      </c>
      <c r="C3002" t="inlineStr">
        <is>
          <t>2025-09-19</t>
        </is>
      </c>
      <c r="D3002" t="n">
        <v>280</v>
      </c>
      <c r="E3002" t="inlineStr">
        <is>
          <t>BBG01HX6JXK6</t>
        </is>
      </c>
    </row>
    <row r="3003">
      <c r="A3003" t="inlineStr">
        <is>
          <t>BBG01HX6JYN1 Equity</t>
        </is>
      </c>
      <c r="B3003" t="inlineStr">
        <is>
          <t>TSLA US 09/19/25 P285</t>
        </is>
      </c>
      <c r="C3003" t="inlineStr">
        <is>
          <t>2025-09-19</t>
        </is>
      </c>
      <c r="D3003" t="n">
        <v>285</v>
      </c>
      <c r="E3003" t="inlineStr">
        <is>
          <t>BBG01HX6JYN1</t>
        </is>
      </c>
    </row>
    <row r="3004">
      <c r="A3004" t="inlineStr">
        <is>
          <t>BBG01HX6JZR4 Equity</t>
        </is>
      </c>
      <c r="B3004" t="inlineStr">
        <is>
          <t>TSLA US 09/19/25 P290</t>
        </is>
      </c>
      <c r="C3004" t="inlineStr">
        <is>
          <t>2025-09-19</t>
        </is>
      </c>
      <c r="D3004" t="n">
        <v>290</v>
      </c>
      <c r="E3004" t="inlineStr">
        <is>
          <t>BBG01HX6JZR4</t>
        </is>
      </c>
    </row>
    <row r="3005">
      <c r="A3005" t="inlineStr">
        <is>
          <t>BBG01HX6K0W3 Equity</t>
        </is>
      </c>
      <c r="B3005" t="inlineStr">
        <is>
          <t>TSLA US 09/19/25 P295</t>
        </is>
      </c>
      <c r="C3005" t="inlineStr">
        <is>
          <t>2025-09-19</t>
        </is>
      </c>
      <c r="D3005" t="n">
        <v>295</v>
      </c>
      <c r="E3005" t="inlineStr">
        <is>
          <t>BBG01HX6K0W3</t>
        </is>
      </c>
    </row>
    <row r="3006">
      <c r="A3006" t="inlineStr">
        <is>
          <t>BBG01HX6K1Z8 Equity</t>
        </is>
      </c>
      <c r="B3006" t="inlineStr">
        <is>
          <t>TSLA US 09/19/25 P300</t>
        </is>
      </c>
      <c r="C3006" t="inlineStr">
        <is>
          <t>2025-09-19</t>
        </is>
      </c>
      <c r="D3006" t="n">
        <v>300</v>
      </c>
      <c r="E3006" t="inlineStr">
        <is>
          <t>BBG01HX6K1Z8</t>
        </is>
      </c>
    </row>
    <row r="3007">
      <c r="A3007" t="inlineStr">
        <is>
          <t>BBG01HX6K320 Equity</t>
        </is>
      </c>
      <c r="B3007" t="inlineStr">
        <is>
          <t>TSLA US 09/19/25 P305</t>
        </is>
      </c>
      <c r="C3007" t="inlineStr">
        <is>
          <t>2025-09-19</t>
        </is>
      </c>
      <c r="D3007" t="n">
        <v>305</v>
      </c>
      <c r="E3007" t="inlineStr">
        <is>
          <t>BBG01HX6K320</t>
        </is>
      </c>
    </row>
    <row r="3008">
      <c r="A3008" t="inlineStr">
        <is>
          <t>BBG01HX6K464 Equity</t>
        </is>
      </c>
      <c r="B3008" t="inlineStr">
        <is>
          <t>TSLA US 09/19/25 P310</t>
        </is>
      </c>
      <c r="C3008" t="inlineStr">
        <is>
          <t>2025-09-19</t>
        </is>
      </c>
      <c r="D3008" t="n">
        <v>310</v>
      </c>
      <c r="E3008" t="inlineStr">
        <is>
          <t>BBG01HX6K464</t>
        </is>
      </c>
    </row>
    <row r="3009">
      <c r="A3009" t="inlineStr">
        <is>
          <t>BBG01HX6K598 Equity</t>
        </is>
      </c>
      <c r="B3009" t="inlineStr">
        <is>
          <t>TSLA US 09/19/25 P315</t>
        </is>
      </c>
      <c r="C3009" t="inlineStr">
        <is>
          <t>2025-09-19</t>
        </is>
      </c>
      <c r="D3009" t="n">
        <v>315</v>
      </c>
      <c r="E3009" t="inlineStr">
        <is>
          <t>BBG01HX6K598</t>
        </is>
      </c>
    </row>
    <row r="3010">
      <c r="A3010" t="inlineStr">
        <is>
          <t>BBG01HX6K6F9 Equity</t>
        </is>
      </c>
      <c r="B3010" t="inlineStr">
        <is>
          <t>TSLA US 09/19/25 P320</t>
        </is>
      </c>
      <c r="C3010" t="inlineStr">
        <is>
          <t>2025-09-19</t>
        </is>
      </c>
      <c r="D3010" t="n">
        <v>320</v>
      </c>
      <c r="E3010" t="inlineStr">
        <is>
          <t>BBG01HX6K6F9</t>
        </is>
      </c>
    </row>
    <row r="3011">
      <c r="A3011" t="inlineStr">
        <is>
          <t>BBG01HX6K7J3 Equity</t>
        </is>
      </c>
      <c r="B3011" t="inlineStr">
        <is>
          <t>TSLA US 09/19/25 P325</t>
        </is>
      </c>
      <c r="C3011" t="inlineStr">
        <is>
          <t>2025-09-19</t>
        </is>
      </c>
      <c r="D3011" t="n">
        <v>325</v>
      </c>
      <c r="E3011" t="inlineStr">
        <is>
          <t>BBG01HX6K7J3</t>
        </is>
      </c>
    </row>
    <row r="3012">
      <c r="A3012" t="inlineStr">
        <is>
          <t>BBG01HX6K8M7 Equity</t>
        </is>
      </c>
      <c r="B3012" t="inlineStr">
        <is>
          <t>TSLA US 09/19/25 P330</t>
        </is>
      </c>
      <c r="C3012" t="inlineStr">
        <is>
          <t>2025-09-19</t>
        </is>
      </c>
      <c r="D3012" t="n">
        <v>330</v>
      </c>
      <c r="E3012" t="inlineStr">
        <is>
          <t>BBG01HX6K8M7</t>
        </is>
      </c>
    </row>
    <row r="3013">
      <c r="A3013" t="inlineStr">
        <is>
          <t>BBG01HX6K9R0 Equity</t>
        </is>
      </c>
      <c r="B3013" t="inlineStr">
        <is>
          <t>TSLA US 09/19/25 P335</t>
        </is>
      </c>
      <c r="C3013" t="inlineStr">
        <is>
          <t>2025-09-19</t>
        </is>
      </c>
      <c r="D3013" t="n">
        <v>335</v>
      </c>
      <c r="E3013" t="inlineStr">
        <is>
          <t>BBG01HX6K9R0</t>
        </is>
      </c>
    </row>
    <row r="3014">
      <c r="A3014" t="inlineStr">
        <is>
          <t>BBG01HX6KBV0 Equity</t>
        </is>
      </c>
      <c r="B3014" t="inlineStr">
        <is>
          <t>TSLA US 09/19/25 P340</t>
        </is>
      </c>
      <c r="C3014" t="inlineStr">
        <is>
          <t>2025-09-19</t>
        </is>
      </c>
      <c r="D3014" t="n">
        <v>340</v>
      </c>
      <c r="E3014" t="inlineStr">
        <is>
          <t>BBG01HX6KBV0</t>
        </is>
      </c>
    </row>
    <row r="3015">
      <c r="A3015" t="inlineStr">
        <is>
          <t>BBG01HX6KCY5 Equity</t>
        </is>
      </c>
      <c r="B3015" t="inlineStr">
        <is>
          <t>TSLA US 09/19/25 P345</t>
        </is>
      </c>
      <c r="C3015" t="inlineStr">
        <is>
          <t>2025-09-19</t>
        </is>
      </c>
      <c r="D3015" t="n">
        <v>345</v>
      </c>
      <c r="E3015" t="inlineStr">
        <is>
          <t>BBG01HX6KCY5</t>
        </is>
      </c>
    </row>
    <row r="3016">
      <c r="A3016" t="inlineStr">
        <is>
          <t>BBG01HX6KF23 Equity</t>
        </is>
      </c>
      <c r="B3016" t="inlineStr">
        <is>
          <t>TSLA US 09/19/25 P350</t>
        </is>
      </c>
      <c r="C3016" t="inlineStr">
        <is>
          <t>2025-09-19</t>
        </is>
      </c>
      <c r="D3016" t="n">
        <v>350</v>
      </c>
      <c r="E3016" t="inlineStr">
        <is>
          <t>BBG01HX6KF23</t>
        </is>
      </c>
    </row>
    <row r="3017">
      <c r="A3017" t="inlineStr">
        <is>
          <t>BBG01HX6KG58 Equity</t>
        </is>
      </c>
      <c r="B3017" t="inlineStr">
        <is>
          <t>TSLA US 09/19/25 P355</t>
        </is>
      </c>
      <c r="C3017" t="inlineStr">
        <is>
          <t>2025-09-19</t>
        </is>
      </c>
      <c r="D3017" t="n">
        <v>355</v>
      </c>
      <c r="E3017" t="inlineStr">
        <is>
          <t>BBG01HX6KG58</t>
        </is>
      </c>
    </row>
    <row r="3018">
      <c r="A3018" t="inlineStr">
        <is>
          <t>BBG01HX6KH83 Equity</t>
        </is>
      </c>
      <c r="B3018" t="inlineStr">
        <is>
          <t>TSLA US 09/19/25 P360</t>
        </is>
      </c>
      <c r="C3018" t="inlineStr">
        <is>
          <t>2025-09-19</t>
        </is>
      </c>
      <c r="D3018" t="n">
        <v>360</v>
      </c>
      <c r="E3018" t="inlineStr">
        <is>
          <t>BBG01HX6KH83</t>
        </is>
      </c>
    </row>
    <row r="3019">
      <c r="A3019" t="inlineStr">
        <is>
          <t>BBG01HX6KJD3 Equity</t>
        </is>
      </c>
      <c r="B3019" t="inlineStr">
        <is>
          <t>TSLA US 09/19/25 P365</t>
        </is>
      </c>
      <c r="C3019" t="inlineStr">
        <is>
          <t>2025-09-19</t>
        </is>
      </c>
      <c r="D3019" t="n">
        <v>365</v>
      </c>
      <c r="E3019" t="inlineStr">
        <is>
          <t>BBG01HX6KJD3</t>
        </is>
      </c>
    </row>
    <row r="3020">
      <c r="A3020" t="inlineStr">
        <is>
          <t>BBG01HX6KKH6 Equity</t>
        </is>
      </c>
      <c r="B3020" t="inlineStr">
        <is>
          <t>TSLA US 09/19/25 P370</t>
        </is>
      </c>
      <c r="C3020" t="inlineStr">
        <is>
          <t>2025-09-19</t>
        </is>
      </c>
      <c r="D3020" t="n">
        <v>370</v>
      </c>
      <c r="E3020" t="inlineStr">
        <is>
          <t>BBG01HX6KKH6</t>
        </is>
      </c>
    </row>
    <row r="3021">
      <c r="A3021" t="inlineStr">
        <is>
          <t>BBG01HX6KLL9 Equity</t>
        </is>
      </c>
      <c r="B3021" t="inlineStr">
        <is>
          <t>TSLA US 09/19/25 P375</t>
        </is>
      </c>
      <c r="C3021" t="inlineStr">
        <is>
          <t>2025-09-19</t>
        </is>
      </c>
      <c r="D3021" t="n">
        <v>375</v>
      </c>
      <c r="E3021" t="inlineStr">
        <is>
          <t>BBG01HX6KLL9</t>
        </is>
      </c>
    </row>
    <row r="3022">
      <c r="A3022" t="inlineStr">
        <is>
          <t>BBG01HX6KMQ2 Equity</t>
        </is>
      </c>
      <c r="B3022" t="inlineStr">
        <is>
          <t>TSLA US 09/19/25 P380</t>
        </is>
      </c>
      <c r="C3022" t="inlineStr">
        <is>
          <t>2025-09-19</t>
        </is>
      </c>
      <c r="D3022" t="n">
        <v>380</v>
      </c>
      <c r="E3022" t="inlineStr">
        <is>
          <t>BBG01HX6KMQ2</t>
        </is>
      </c>
    </row>
    <row r="3023">
      <c r="A3023" t="inlineStr">
        <is>
          <t>BBG01HX6KNT7 Equity</t>
        </is>
      </c>
      <c r="B3023" t="inlineStr">
        <is>
          <t>TSLA US 09/19/25 P385</t>
        </is>
      </c>
      <c r="C3023" t="inlineStr">
        <is>
          <t>2025-09-19</t>
        </is>
      </c>
      <c r="D3023" t="n">
        <v>385</v>
      </c>
      <c r="E3023" t="inlineStr">
        <is>
          <t>BBG01HX6KNT7</t>
        </is>
      </c>
    </row>
    <row r="3024">
      <c r="A3024" t="inlineStr">
        <is>
          <t>BBG01HX6KPX7 Equity</t>
        </is>
      </c>
      <c r="B3024" t="inlineStr">
        <is>
          <t>TSLA US 09/19/25 P390</t>
        </is>
      </c>
      <c r="C3024" t="inlineStr">
        <is>
          <t>2025-09-19</t>
        </is>
      </c>
      <c r="D3024" t="n">
        <v>390</v>
      </c>
      <c r="E3024" t="inlineStr">
        <is>
          <t>BBG01HX6KPX7</t>
        </is>
      </c>
    </row>
    <row r="3025">
      <c r="A3025" t="inlineStr">
        <is>
          <t>BBG01T4J27X5 Equity</t>
        </is>
      </c>
      <c r="B3025" t="inlineStr">
        <is>
          <t>TSLA US 10/17/25 P245</t>
        </is>
      </c>
      <c r="C3025" t="inlineStr">
        <is>
          <t>2025-10-17</t>
        </is>
      </c>
      <c r="D3025" t="n">
        <v>245</v>
      </c>
      <c r="E3025" t="inlineStr">
        <is>
          <t>BBG01T4J27X5</t>
        </is>
      </c>
    </row>
    <row r="3026">
      <c r="A3026" t="inlineStr">
        <is>
          <t>BBG01T4J1BL0 Equity</t>
        </is>
      </c>
      <c r="B3026" t="inlineStr">
        <is>
          <t>TSLA US 10/17/25 P250</t>
        </is>
      </c>
      <c r="C3026" t="inlineStr">
        <is>
          <t>2025-10-17</t>
        </is>
      </c>
      <c r="D3026" t="n">
        <v>250</v>
      </c>
      <c r="E3026" t="inlineStr">
        <is>
          <t>BBG01T4J1BL0</t>
        </is>
      </c>
    </row>
    <row r="3027">
      <c r="A3027" t="inlineStr">
        <is>
          <t>BBG01T4J2HF3 Equity</t>
        </is>
      </c>
      <c r="B3027" t="inlineStr">
        <is>
          <t>TSLA US 10/17/25 P255</t>
        </is>
      </c>
      <c r="C3027" t="inlineStr">
        <is>
          <t>2025-10-17</t>
        </is>
      </c>
      <c r="D3027" t="n">
        <v>255</v>
      </c>
      <c r="E3027" t="inlineStr">
        <is>
          <t>BBG01T4J2HF3</t>
        </is>
      </c>
    </row>
    <row r="3028">
      <c r="A3028" t="inlineStr">
        <is>
          <t>BBG01T4J1VZ1 Equity</t>
        </is>
      </c>
      <c r="B3028" t="inlineStr">
        <is>
          <t>TSLA US 10/17/25 P260</t>
        </is>
      </c>
      <c r="C3028" t="inlineStr">
        <is>
          <t>2025-10-17</t>
        </is>
      </c>
      <c r="D3028" t="n">
        <v>260</v>
      </c>
      <c r="E3028" t="inlineStr">
        <is>
          <t>BBG01T4J1VZ1</t>
        </is>
      </c>
    </row>
    <row r="3029">
      <c r="A3029" t="inlineStr">
        <is>
          <t>BBG01T4J1Y21 Equity</t>
        </is>
      </c>
      <c r="B3029" t="inlineStr">
        <is>
          <t>TSLA US 10/17/25 P265</t>
        </is>
      </c>
      <c r="C3029" t="inlineStr">
        <is>
          <t>2025-10-17</t>
        </is>
      </c>
      <c r="D3029" t="n">
        <v>265</v>
      </c>
      <c r="E3029" t="inlineStr">
        <is>
          <t>BBG01T4J1Y21</t>
        </is>
      </c>
    </row>
    <row r="3030">
      <c r="A3030" t="inlineStr">
        <is>
          <t>BBG01T4J1CT0 Equity</t>
        </is>
      </c>
      <c r="B3030" t="inlineStr">
        <is>
          <t>TSLA US 10/17/25 P270</t>
        </is>
      </c>
      <c r="C3030" t="inlineStr">
        <is>
          <t>2025-10-17</t>
        </is>
      </c>
      <c r="D3030" t="n">
        <v>270</v>
      </c>
      <c r="E3030" t="inlineStr">
        <is>
          <t>BBG01T4J1CT0</t>
        </is>
      </c>
    </row>
    <row r="3031">
      <c r="A3031" t="inlineStr">
        <is>
          <t>BBG01T4J25G8 Equity</t>
        </is>
      </c>
      <c r="B3031" t="inlineStr">
        <is>
          <t>TSLA US 10/17/25 P275</t>
        </is>
      </c>
      <c r="C3031" t="inlineStr">
        <is>
          <t>2025-10-17</t>
        </is>
      </c>
      <c r="D3031" t="n">
        <v>275</v>
      </c>
      <c r="E3031" t="inlineStr">
        <is>
          <t>BBG01T4J25G8</t>
        </is>
      </c>
    </row>
    <row r="3032">
      <c r="A3032" t="inlineStr">
        <is>
          <t>BBG01T4J1Z19 Equity</t>
        </is>
      </c>
      <c r="B3032" t="inlineStr">
        <is>
          <t>TSLA US 10/17/25 P280</t>
        </is>
      </c>
      <c r="C3032" t="inlineStr">
        <is>
          <t>2025-10-17</t>
        </is>
      </c>
      <c r="D3032" t="n">
        <v>280</v>
      </c>
      <c r="E3032" t="inlineStr">
        <is>
          <t>BBG01T4J1Z19</t>
        </is>
      </c>
    </row>
    <row r="3033">
      <c r="A3033" t="inlineStr">
        <is>
          <t>BBG01T4J22Y5 Equity</t>
        </is>
      </c>
      <c r="B3033" t="inlineStr">
        <is>
          <t>TSLA US 10/17/25 P285</t>
        </is>
      </c>
      <c r="C3033" t="inlineStr">
        <is>
          <t>2025-10-17</t>
        </is>
      </c>
      <c r="D3033" t="n">
        <v>285</v>
      </c>
      <c r="E3033" t="inlineStr">
        <is>
          <t>BBG01T4J22Y5</t>
        </is>
      </c>
    </row>
    <row r="3034">
      <c r="A3034" t="inlineStr">
        <is>
          <t>BBG01T4J1C65 Equity</t>
        </is>
      </c>
      <c r="B3034" t="inlineStr">
        <is>
          <t>TSLA US 10/17/25 P290</t>
        </is>
      </c>
      <c r="C3034" t="inlineStr">
        <is>
          <t>2025-10-17</t>
        </is>
      </c>
      <c r="D3034" t="n">
        <v>290</v>
      </c>
      <c r="E3034" t="inlineStr">
        <is>
          <t>BBG01T4J1C65</t>
        </is>
      </c>
    </row>
    <row r="3035">
      <c r="A3035" t="inlineStr">
        <is>
          <t>BBG01T4J2R16 Equity</t>
        </is>
      </c>
      <c r="B3035" t="inlineStr">
        <is>
          <t>TSLA US 10/17/25 P295</t>
        </is>
      </c>
      <c r="C3035" t="inlineStr">
        <is>
          <t>2025-10-17</t>
        </is>
      </c>
      <c r="D3035" t="n">
        <v>295</v>
      </c>
      <c r="E3035" t="inlineStr">
        <is>
          <t>BBG01T4J2R16</t>
        </is>
      </c>
    </row>
    <row r="3036">
      <c r="A3036" t="inlineStr">
        <is>
          <t>BBG01T4J2L46 Equity</t>
        </is>
      </c>
      <c r="B3036" t="inlineStr">
        <is>
          <t>TSLA US 10/17/25 P300</t>
        </is>
      </c>
      <c r="C3036" t="inlineStr">
        <is>
          <t>2025-10-17</t>
        </is>
      </c>
      <c r="D3036" t="n">
        <v>300</v>
      </c>
      <c r="E3036" t="inlineStr">
        <is>
          <t>BBG01T4J2L46</t>
        </is>
      </c>
    </row>
    <row r="3037">
      <c r="A3037" t="inlineStr">
        <is>
          <t>BBG01T4J1338 Equity</t>
        </is>
      </c>
      <c r="B3037" t="inlineStr">
        <is>
          <t>TSLA US 10/17/25 P305</t>
        </is>
      </c>
      <c r="C3037" t="inlineStr">
        <is>
          <t>2025-10-17</t>
        </is>
      </c>
      <c r="D3037" t="n">
        <v>305</v>
      </c>
      <c r="E3037" t="inlineStr">
        <is>
          <t>BBG01T4J1338</t>
        </is>
      </c>
    </row>
    <row r="3038">
      <c r="A3038" t="inlineStr">
        <is>
          <t>BBG01T4J2GB9 Equity</t>
        </is>
      </c>
      <c r="B3038" t="inlineStr">
        <is>
          <t>TSLA US 10/17/25 P310</t>
        </is>
      </c>
      <c r="C3038" t="inlineStr">
        <is>
          <t>2025-10-17</t>
        </is>
      </c>
      <c r="D3038" t="n">
        <v>310</v>
      </c>
      <c r="E3038" t="inlineStr">
        <is>
          <t>BBG01T4J2GB9</t>
        </is>
      </c>
    </row>
    <row r="3039">
      <c r="A3039" t="inlineStr">
        <is>
          <t>BBG01T4J1PZ4 Equity</t>
        </is>
      </c>
      <c r="B3039" t="inlineStr">
        <is>
          <t>TSLA US 10/17/25 P315</t>
        </is>
      </c>
      <c r="C3039" t="inlineStr">
        <is>
          <t>2025-10-17</t>
        </is>
      </c>
      <c r="D3039" t="n">
        <v>315</v>
      </c>
      <c r="E3039" t="inlineStr">
        <is>
          <t>BBG01T4J1PZ4</t>
        </is>
      </c>
    </row>
    <row r="3040">
      <c r="A3040" t="inlineStr">
        <is>
          <t>BBG01T4J2K84 Equity</t>
        </is>
      </c>
      <c r="B3040" t="inlineStr">
        <is>
          <t>TSLA US 10/17/25 P320</t>
        </is>
      </c>
      <c r="C3040" t="inlineStr">
        <is>
          <t>2025-10-17</t>
        </is>
      </c>
      <c r="D3040" t="n">
        <v>320</v>
      </c>
      <c r="E3040" t="inlineStr">
        <is>
          <t>BBG01T4J2K84</t>
        </is>
      </c>
    </row>
    <row r="3041">
      <c r="A3041" t="inlineStr">
        <is>
          <t>BBG01T4J1N43 Equity</t>
        </is>
      </c>
      <c r="B3041" t="inlineStr">
        <is>
          <t>TSLA US 10/17/25 P325</t>
        </is>
      </c>
      <c r="C3041" t="inlineStr">
        <is>
          <t>2025-10-17</t>
        </is>
      </c>
      <c r="D3041" t="n">
        <v>325</v>
      </c>
      <c r="E3041" t="inlineStr">
        <is>
          <t>BBG01T4J1N43</t>
        </is>
      </c>
    </row>
    <row r="3042">
      <c r="A3042" t="inlineStr">
        <is>
          <t>BBG01T4J2621 Equity</t>
        </is>
      </c>
      <c r="B3042" t="inlineStr">
        <is>
          <t>TSLA US 10/17/25 P330</t>
        </is>
      </c>
      <c r="C3042" t="inlineStr">
        <is>
          <t>2025-10-17</t>
        </is>
      </c>
      <c r="D3042" t="n">
        <v>330</v>
      </c>
      <c r="E3042" t="inlineStr">
        <is>
          <t>BBG01T4J2621</t>
        </is>
      </c>
    </row>
    <row r="3043">
      <c r="A3043" t="inlineStr">
        <is>
          <t>BBG01T4J1PC9 Equity</t>
        </is>
      </c>
      <c r="B3043" t="inlineStr">
        <is>
          <t>TSLA US 10/17/25 P335</t>
        </is>
      </c>
      <c r="C3043" t="inlineStr">
        <is>
          <t>2025-10-17</t>
        </is>
      </c>
      <c r="D3043" t="n">
        <v>335</v>
      </c>
      <c r="E3043" t="inlineStr">
        <is>
          <t>BBG01T4J1PC9</t>
        </is>
      </c>
    </row>
    <row r="3044">
      <c r="A3044" t="inlineStr">
        <is>
          <t>BBG01T4J23K8 Equity</t>
        </is>
      </c>
      <c r="B3044" t="inlineStr">
        <is>
          <t>TSLA US 10/17/25 P340</t>
        </is>
      </c>
      <c r="C3044" t="inlineStr">
        <is>
          <t>2025-10-17</t>
        </is>
      </c>
      <c r="D3044" t="n">
        <v>340</v>
      </c>
      <c r="E3044" t="inlineStr">
        <is>
          <t>BBG01T4J23K8</t>
        </is>
      </c>
    </row>
    <row r="3045">
      <c r="A3045" t="inlineStr">
        <is>
          <t>BBG01T4J1QL7 Equity</t>
        </is>
      </c>
      <c r="B3045" t="inlineStr">
        <is>
          <t>TSLA US 10/17/25 P345</t>
        </is>
      </c>
      <c r="C3045" t="inlineStr">
        <is>
          <t>2025-10-17</t>
        </is>
      </c>
      <c r="D3045" t="n">
        <v>345</v>
      </c>
      <c r="E3045" t="inlineStr">
        <is>
          <t>BBG01T4J1QL7</t>
        </is>
      </c>
    </row>
    <row r="3046">
      <c r="A3046" t="inlineStr">
        <is>
          <t>BBG01T4J2453 Equity</t>
        </is>
      </c>
      <c r="B3046" t="inlineStr">
        <is>
          <t>TSLA US 10/17/25 P350</t>
        </is>
      </c>
      <c r="C3046" t="inlineStr">
        <is>
          <t>2025-10-17</t>
        </is>
      </c>
      <c r="D3046" t="n">
        <v>350</v>
      </c>
      <c r="E3046" t="inlineStr">
        <is>
          <t>BBG01T4J2453</t>
        </is>
      </c>
    </row>
    <row r="3047">
      <c r="A3047" t="inlineStr">
        <is>
          <t>BBG01T4J1S97 Equity</t>
        </is>
      </c>
      <c r="B3047" t="inlineStr">
        <is>
          <t>TSLA US 10/17/25 P355</t>
        </is>
      </c>
      <c r="C3047" t="inlineStr">
        <is>
          <t>2025-10-17</t>
        </is>
      </c>
      <c r="D3047" t="n">
        <v>355</v>
      </c>
      <c r="E3047" t="inlineStr">
        <is>
          <t>BBG01T4J1S97</t>
        </is>
      </c>
    </row>
    <row r="3048">
      <c r="A3048" t="inlineStr">
        <is>
          <t>BBG01T4J24S8 Equity</t>
        </is>
      </c>
      <c r="B3048" t="inlineStr">
        <is>
          <t>TSLA US 10/17/25 P360</t>
        </is>
      </c>
      <c r="C3048" t="inlineStr">
        <is>
          <t>2025-10-17</t>
        </is>
      </c>
      <c r="D3048" t="n">
        <v>360</v>
      </c>
      <c r="E3048" t="inlineStr">
        <is>
          <t>BBG01T4J24S8</t>
        </is>
      </c>
    </row>
    <row r="3049">
      <c r="A3049" t="inlineStr">
        <is>
          <t>BBG01T4J10F1 Equity</t>
        </is>
      </c>
      <c r="B3049" t="inlineStr">
        <is>
          <t>TSLA US 10/17/25 P365</t>
        </is>
      </c>
      <c r="C3049" t="inlineStr">
        <is>
          <t>2025-10-17</t>
        </is>
      </c>
      <c r="D3049" t="n">
        <v>365</v>
      </c>
      <c r="E3049" t="inlineStr">
        <is>
          <t>BBG01T4J10F1</t>
        </is>
      </c>
    </row>
    <row r="3050">
      <c r="A3050" t="inlineStr">
        <is>
          <t>BBG01T4J2BZ4 Equity</t>
        </is>
      </c>
      <c r="B3050" t="inlineStr">
        <is>
          <t>TSLA US 10/17/25 P370</t>
        </is>
      </c>
      <c r="C3050" t="inlineStr">
        <is>
          <t>2025-10-17</t>
        </is>
      </c>
      <c r="D3050" t="n">
        <v>370</v>
      </c>
      <c r="E3050" t="inlineStr">
        <is>
          <t>BBG01T4J2BZ4</t>
        </is>
      </c>
    </row>
    <row r="3051">
      <c r="A3051" t="inlineStr">
        <is>
          <t>BBG01T4J1TJ4 Equity</t>
        </is>
      </c>
      <c r="B3051" t="inlineStr">
        <is>
          <t>TSLA US 10/17/25 P375</t>
        </is>
      </c>
      <c r="C3051" t="inlineStr">
        <is>
          <t>2025-10-17</t>
        </is>
      </c>
      <c r="D3051" t="n">
        <v>375</v>
      </c>
      <c r="E3051" t="inlineStr">
        <is>
          <t>BBG01T4J1TJ4</t>
        </is>
      </c>
    </row>
    <row r="3052">
      <c r="A3052" t="inlineStr">
        <is>
          <t>BBG01T4J1GC9 Equity</t>
        </is>
      </c>
      <c r="B3052" t="inlineStr">
        <is>
          <t>TSLA US 10/17/25 P380</t>
        </is>
      </c>
      <c r="C3052" t="inlineStr">
        <is>
          <t>2025-10-17</t>
        </is>
      </c>
      <c r="D3052" t="n">
        <v>380</v>
      </c>
      <c r="E3052" t="inlineStr">
        <is>
          <t>BBG01T4J1GC9</t>
        </is>
      </c>
    </row>
    <row r="3053">
      <c r="A3053" t="inlineStr">
        <is>
          <t>BBG01T4J38P1 Equity</t>
        </is>
      </c>
      <c r="B3053" t="inlineStr">
        <is>
          <t>TSLA US 10/17/25 P385</t>
        </is>
      </c>
      <c r="C3053" t="inlineStr">
        <is>
          <t>2025-10-17</t>
        </is>
      </c>
      <c r="D3053" t="n">
        <v>385</v>
      </c>
      <c r="E3053" t="inlineStr">
        <is>
          <t>BBG01T4J38P1</t>
        </is>
      </c>
    </row>
    <row r="3054">
      <c r="A3054" t="inlineStr">
        <is>
          <t>BBG01T4J2GL8 Equity</t>
        </is>
      </c>
      <c r="B3054" t="inlineStr">
        <is>
          <t>TSLA US 10/17/25 P390</t>
        </is>
      </c>
      <c r="C3054" t="inlineStr">
        <is>
          <t>2025-10-17</t>
        </is>
      </c>
      <c r="D3054" t="n">
        <v>390</v>
      </c>
      <c r="E3054" t="inlineStr">
        <is>
          <t>BBG01T4J2GL8</t>
        </is>
      </c>
    </row>
    <row r="3055">
      <c r="A3055" t="inlineStr">
        <is>
          <t>BBG01T4J1GZ4 Equity</t>
        </is>
      </c>
      <c r="B3055" t="inlineStr">
        <is>
          <t>TSLA US 10/17/25 P395</t>
        </is>
      </c>
      <c r="C3055" t="inlineStr">
        <is>
          <t>2025-10-17</t>
        </is>
      </c>
      <c r="D3055" t="n">
        <v>395</v>
      </c>
      <c r="E3055" t="inlineStr">
        <is>
          <t>BBG01T4J1GZ4</t>
        </is>
      </c>
    </row>
    <row r="3056">
      <c r="A3056" t="inlineStr">
        <is>
          <t>BBG01T4J1RP1 Equity</t>
        </is>
      </c>
      <c r="B3056" t="inlineStr">
        <is>
          <t>TSLA US 10/17/25 P400</t>
        </is>
      </c>
      <c r="C3056" t="inlineStr">
        <is>
          <t>2025-10-17</t>
        </is>
      </c>
      <c r="D3056" t="n">
        <v>400</v>
      </c>
      <c r="E3056" t="inlineStr">
        <is>
          <t>BBG01T4J1RP1</t>
        </is>
      </c>
    </row>
    <row r="3057">
      <c r="A3057" t="inlineStr">
        <is>
          <t>BBG01XGQYKW4 Equity</t>
        </is>
      </c>
      <c r="B3057" t="inlineStr">
        <is>
          <t>TSLA US 10/17/25 P402.5</t>
        </is>
      </c>
      <c r="C3057" t="inlineStr">
        <is>
          <t>2025-10-17</t>
        </is>
      </c>
      <c r="D3057" t="n">
        <v>402.5</v>
      </c>
      <c r="E3057" t="inlineStr">
        <is>
          <t>BBG01XGQYKW4</t>
        </is>
      </c>
    </row>
    <row r="3058">
      <c r="A3058" t="inlineStr">
        <is>
          <t>BBG01T4J1LM7 Equity</t>
        </is>
      </c>
      <c r="B3058" t="inlineStr">
        <is>
          <t>TSLA US 10/17/25 P405</t>
        </is>
      </c>
      <c r="C3058" t="inlineStr">
        <is>
          <t>2025-10-17</t>
        </is>
      </c>
      <c r="D3058" t="n">
        <v>405</v>
      </c>
      <c r="E3058" t="inlineStr">
        <is>
          <t>BBG01T4J1LM7</t>
        </is>
      </c>
    </row>
    <row r="3059">
      <c r="A3059" t="inlineStr">
        <is>
          <t>BBG01XGQSLS4 Equity</t>
        </is>
      </c>
      <c r="B3059" t="inlineStr">
        <is>
          <t>TSLA US 10/17/25 P407.5</t>
        </is>
      </c>
      <c r="C3059" t="inlineStr">
        <is>
          <t>2025-10-17</t>
        </is>
      </c>
      <c r="D3059" t="n">
        <v>407.5</v>
      </c>
      <c r="E3059" t="inlineStr">
        <is>
          <t>BBG01XGQSLS4</t>
        </is>
      </c>
    </row>
    <row r="3060">
      <c r="A3060" t="inlineStr">
        <is>
          <t>BBG01T4J1SX0 Equity</t>
        </is>
      </c>
      <c r="B3060" t="inlineStr">
        <is>
          <t>TSLA US 10/17/25 P410</t>
        </is>
      </c>
      <c r="C3060" t="inlineStr">
        <is>
          <t>2025-10-17</t>
        </is>
      </c>
      <c r="D3060" t="n">
        <v>410</v>
      </c>
      <c r="E3060" t="inlineStr">
        <is>
          <t>BBG01T4J1SX0</t>
        </is>
      </c>
    </row>
    <row r="3061">
      <c r="A3061" t="inlineStr">
        <is>
          <t>BBG01XGQYC16 Equity</t>
        </is>
      </c>
      <c r="B3061" t="inlineStr">
        <is>
          <t>TSLA US 10/17/25 P412.5</t>
        </is>
      </c>
      <c r="C3061" t="inlineStr">
        <is>
          <t>2025-10-17</t>
        </is>
      </c>
      <c r="D3061" t="n">
        <v>412.5</v>
      </c>
      <c r="E3061" t="inlineStr">
        <is>
          <t>BBG01XGQYC16</t>
        </is>
      </c>
    </row>
    <row r="3062">
      <c r="A3062" t="inlineStr">
        <is>
          <t>BBG01T4J2J14 Equity</t>
        </is>
      </c>
      <c r="B3062" t="inlineStr">
        <is>
          <t>TSLA US 10/17/25 P415</t>
        </is>
      </c>
      <c r="C3062" t="inlineStr">
        <is>
          <t>2025-10-17</t>
        </is>
      </c>
      <c r="D3062" t="n">
        <v>415</v>
      </c>
      <c r="E3062" t="inlineStr">
        <is>
          <t>BBG01T4J2J14</t>
        </is>
      </c>
    </row>
    <row r="3063">
      <c r="A3063" t="inlineStr">
        <is>
          <t>BBG01XGQSMD8 Equity</t>
        </is>
      </c>
      <c r="B3063" t="inlineStr">
        <is>
          <t>TSLA US 10/17/25 P417.5</t>
        </is>
      </c>
      <c r="C3063" t="inlineStr">
        <is>
          <t>2025-10-17</t>
        </is>
      </c>
      <c r="D3063" t="n">
        <v>417.5</v>
      </c>
      <c r="E3063" t="inlineStr">
        <is>
          <t>BBG01XGQSMD8</t>
        </is>
      </c>
    </row>
    <row r="3064">
      <c r="A3064" t="inlineStr">
        <is>
          <t>BBG01T4J1NR8 Equity</t>
        </is>
      </c>
      <c r="B3064" t="inlineStr">
        <is>
          <t>TSLA US 10/17/25 P420</t>
        </is>
      </c>
      <c r="C3064" t="inlineStr">
        <is>
          <t>2025-10-17</t>
        </is>
      </c>
      <c r="D3064" t="n">
        <v>420</v>
      </c>
      <c r="E3064" t="inlineStr">
        <is>
          <t>BBG01T4J1NR8</t>
        </is>
      </c>
    </row>
    <row r="3065">
      <c r="A3065" t="inlineStr">
        <is>
          <t>BBG01XGQYBF3 Equity</t>
        </is>
      </c>
      <c r="B3065" t="inlineStr">
        <is>
          <t>TSLA US 10/17/25 P422.5</t>
        </is>
      </c>
      <c r="C3065" t="inlineStr">
        <is>
          <t>2025-10-17</t>
        </is>
      </c>
      <c r="D3065" t="n">
        <v>422.5</v>
      </c>
      <c r="E3065" t="inlineStr">
        <is>
          <t>BBG01XGQYBF3</t>
        </is>
      </c>
    </row>
    <row r="3066">
      <c r="A3066" t="inlineStr">
        <is>
          <t>BBG01T4J2GT0 Equity</t>
        </is>
      </c>
      <c r="B3066" t="inlineStr">
        <is>
          <t>TSLA US 10/17/25 P425</t>
        </is>
      </c>
      <c r="C3066" t="inlineStr">
        <is>
          <t>2025-10-17</t>
        </is>
      </c>
      <c r="D3066" t="n">
        <v>425</v>
      </c>
      <c r="E3066" t="inlineStr">
        <is>
          <t>BBG01T4J2GT0</t>
        </is>
      </c>
    </row>
    <row r="3067">
      <c r="A3067" t="inlineStr">
        <is>
          <t>BBG01XGQYCN2 Equity</t>
        </is>
      </c>
      <c r="B3067" t="inlineStr">
        <is>
          <t>TSLA US 10/17/25 P427.5</t>
        </is>
      </c>
      <c r="C3067" t="inlineStr">
        <is>
          <t>2025-10-17</t>
        </is>
      </c>
      <c r="D3067" t="n">
        <v>427.5</v>
      </c>
      <c r="E3067" t="inlineStr">
        <is>
          <t>BBG01XGQYCN2</t>
        </is>
      </c>
    </row>
    <row r="3068">
      <c r="A3068" t="inlineStr">
        <is>
          <t>BBG01T4J1JS6 Equity</t>
        </is>
      </c>
      <c r="B3068" t="inlineStr">
        <is>
          <t>TSLA US 10/17/25 P430</t>
        </is>
      </c>
      <c r="C3068" t="inlineStr">
        <is>
          <t>2025-10-17</t>
        </is>
      </c>
      <c r="D3068" t="n">
        <v>430</v>
      </c>
      <c r="E3068" t="inlineStr">
        <is>
          <t>BBG01T4J1JS6</t>
        </is>
      </c>
    </row>
    <row r="3069">
      <c r="A3069" t="inlineStr">
        <is>
          <t>BBG01XGQYK81 Equity</t>
        </is>
      </c>
      <c r="B3069" t="inlineStr">
        <is>
          <t>TSLA US 10/17/25 P432.5</t>
        </is>
      </c>
      <c r="C3069" t="inlineStr">
        <is>
          <t>2025-10-17</t>
        </is>
      </c>
      <c r="D3069" t="n">
        <v>432.5</v>
      </c>
      <c r="E3069" t="inlineStr">
        <is>
          <t>BBG01XGQYK81</t>
        </is>
      </c>
    </row>
    <row r="3070">
      <c r="A3070" t="inlineStr">
        <is>
          <t>BBG01T4J2JN0 Equity</t>
        </is>
      </c>
      <c r="B3070" t="inlineStr">
        <is>
          <t>TSLA US 10/17/25 P435</t>
        </is>
      </c>
      <c r="C3070" t="inlineStr">
        <is>
          <t>2025-10-17</t>
        </is>
      </c>
      <c r="D3070" t="n">
        <v>435</v>
      </c>
      <c r="E3070" t="inlineStr">
        <is>
          <t>BBG01T4J2JN0</t>
        </is>
      </c>
    </row>
    <row r="3071">
      <c r="A3071" t="inlineStr">
        <is>
          <t>BBG01XGQYD87 Equity</t>
        </is>
      </c>
      <c r="B3071" t="inlineStr">
        <is>
          <t>TSLA US 10/17/25 P437.5</t>
        </is>
      </c>
      <c r="C3071" t="inlineStr">
        <is>
          <t>2025-10-17</t>
        </is>
      </c>
      <c r="D3071" t="n">
        <v>437.5</v>
      </c>
      <c r="E3071" t="inlineStr">
        <is>
          <t>BBG01XGQYD87</t>
        </is>
      </c>
    </row>
    <row r="3072">
      <c r="A3072" t="inlineStr">
        <is>
          <t>BBG01T4J37G3 Equity</t>
        </is>
      </c>
      <c r="B3072" t="inlineStr">
        <is>
          <t>TSLA US 10/17/25 P440</t>
        </is>
      </c>
      <c r="C3072" t="inlineStr">
        <is>
          <t>2025-10-17</t>
        </is>
      </c>
      <c r="D3072" t="n">
        <v>440</v>
      </c>
      <c r="E3072" t="inlineStr">
        <is>
          <t>BBG01T4J37G3</t>
        </is>
      </c>
    </row>
    <row r="3073">
      <c r="A3073" t="inlineStr">
        <is>
          <t>BBG01XGQSN00 Equity</t>
        </is>
      </c>
      <c r="B3073" t="inlineStr">
        <is>
          <t>TSLA US 10/17/25 P442.5</t>
        </is>
      </c>
      <c r="C3073" t="inlineStr">
        <is>
          <t>2025-10-17</t>
        </is>
      </c>
      <c r="D3073" t="n">
        <v>442.5</v>
      </c>
      <c r="E3073" t="inlineStr">
        <is>
          <t>BBG01XGQSN00</t>
        </is>
      </c>
    </row>
    <row r="3074">
      <c r="A3074" t="inlineStr">
        <is>
          <t>BBG01T4J1M72 Equity</t>
        </is>
      </c>
      <c r="B3074" t="inlineStr">
        <is>
          <t>TSLA US 10/17/25 P445</t>
        </is>
      </c>
      <c r="C3074" t="inlineStr">
        <is>
          <t>2025-10-17</t>
        </is>
      </c>
      <c r="D3074" t="n">
        <v>445</v>
      </c>
      <c r="E3074" t="inlineStr">
        <is>
          <t>BBG01T4J1M72</t>
        </is>
      </c>
    </row>
    <row r="3075">
      <c r="A3075" t="inlineStr">
        <is>
          <t>BBG01XGQS082 Equity</t>
        </is>
      </c>
      <c r="B3075" t="inlineStr">
        <is>
          <t>TSLA US 10/17/25 P447.5</t>
        </is>
      </c>
      <c r="C3075" t="inlineStr">
        <is>
          <t>2025-10-17</t>
        </is>
      </c>
      <c r="D3075" t="n">
        <v>447.5</v>
      </c>
      <c r="E3075" t="inlineStr">
        <is>
          <t>BBG01XGQS082</t>
        </is>
      </c>
    </row>
    <row r="3076">
      <c r="A3076" t="inlineStr">
        <is>
          <t>BBG01T4J1HL7 Equity</t>
        </is>
      </c>
      <c r="B3076" t="inlineStr">
        <is>
          <t>TSLA US 10/17/25 P450</t>
        </is>
      </c>
      <c r="C3076" t="inlineStr">
        <is>
          <t>2025-10-17</t>
        </is>
      </c>
      <c r="D3076" t="n">
        <v>450</v>
      </c>
      <c r="E3076" t="inlineStr">
        <is>
          <t>BBG01T4J1HL7</t>
        </is>
      </c>
    </row>
    <row r="3077">
      <c r="A3077" t="inlineStr">
        <is>
          <t>BBG01T4J3F11 Equity</t>
        </is>
      </c>
      <c r="B3077" t="inlineStr">
        <is>
          <t>TSLA US 10/17/25 P455</t>
        </is>
      </c>
      <c r="C3077" t="inlineStr">
        <is>
          <t>2025-10-17</t>
        </is>
      </c>
      <c r="D3077" t="n">
        <v>455</v>
      </c>
      <c r="E3077" t="inlineStr">
        <is>
          <t>BBG01T4J3F11</t>
        </is>
      </c>
    </row>
    <row r="3078">
      <c r="A3078" t="inlineStr">
        <is>
          <t>BBG01T4J3826 Equity</t>
        </is>
      </c>
      <c r="B3078" t="inlineStr">
        <is>
          <t>TSLA US 10/17/25 P460</t>
        </is>
      </c>
      <c r="C3078" t="inlineStr">
        <is>
          <t>2025-10-17</t>
        </is>
      </c>
      <c r="D3078" t="n">
        <v>460</v>
      </c>
      <c r="E3078" t="inlineStr">
        <is>
          <t>BBG01T4J3826</t>
        </is>
      </c>
    </row>
    <row r="3079">
      <c r="A3079" t="inlineStr">
        <is>
          <t>BBG01T4J1KD9 Equity</t>
        </is>
      </c>
      <c r="B3079" t="inlineStr">
        <is>
          <t>TSLA US 10/17/25 P465</t>
        </is>
      </c>
      <c r="C3079" t="inlineStr">
        <is>
          <t>2025-10-17</t>
        </is>
      </c>
      <c r="D3079" t="n">
        <v>465</v>
      </c>
      <c r="E3079" t="inlineStr">
        <is>
          <t>BBG01T4J1KD9</t>
        </is>
      </c>
    </row>
    <row r="3080">
      <c r="A3080" t="inlineStr">
        <is>
          <t>BBG01T4J1FR5 Equity</t>
        </is>
      </c>
      <c r="B3080" t="inlineStr">
        <is>
          <t>TSLA US 10/17/25 P470</t>
        </is>
      </c>
      <c r="C3080" t="inlineStr">
        <is>
          <t>2025-10-17</t>
        </is>
      </c>
      <c r="D3080" t="n">
        <v>470</v>
      </c>
      <c r="E3080" t="inlineStr">
        <is>
          <t>BBG01T4J1FR5</t>
        </is>
      </c>
    </row>
    <row r="3081">
      <c r="A3081" t="inlineStr">
        <is>
          <t>BBG01T4J3GW5 Equity</t>
        </is>
      </c>
      <c r="B3081" t="inlineStr">
        <is>
          <t>TSLA US 10/17/25 P475</t>
        </is>
      </c>
      <c r="C3081" t="inlineStr">
        <is>
          <t>2025-10-17</t>
        </is>
      </c>
      <c r="D3081" t="n">
        <v>475</v>
      </c>
      <c r="E3081" t="inlineStr">
        <is>
          <t>BBG01T4J3GW5</t>
        </is>
      </c>
    </row>
    <row r="3082">
      <c r="A3082" t="inlineStr">
        <is>
          <t>BBG01T4J36V8 Equity</t>
        </is>
      </c>
      <c r="B3082" t="inlineStr">
        <is>
          <t>TSLA US 10/17/25 P480</t>
        </is>
      </c>
      <c r="C3082" t="inlineStr">
        <is>
          <t>2025-10-17</t>
        </is>
      </c>
      <c r="D3082" t="n">
        <v>480</v>
      </c>
      <c r="E3082" t="inlineStr">
        <is>
          <t>BBG01T4J36V8</t>
        </is>
      </c>
    </row>
    <row r="3083">
      <c r="A3083" t="inlineStr">
        <is>
          <t>BBG01T4J2CW5 Equity</t>
        </is>
      </c>
      <c r="B3083" t="inlineStr">
        <is>
          <t>TSLA US 10/17/25 P485</t>
        </is>
      </c>
      <c r="C3083" t="inlineStr">
        <is>
          <t>2025-10-17</t>
        </is>
      </c>
      <c r="D3083" t="n">
        <v>485</v>
      </c>
      <c r="E3083" t="inlineStr">
        <is>
          <t>BBG01T4J2CW5</t>
        </is>
      </c>
    </row>
    <row r="3084">
      <c r="A3084" t="inlineStr">
        <is>
          <t>BBG01T4J1J60 Equity</t>
        </is>
      </c>
      <c r="B3084" t="inlineStr">
        <is>
          <t>TSLA US 10/17/25 P490</t>
        </is>
      </c>
      <c r="C3084" t="inlineStr">
        <is>
          <t>2025-10-17</t>
        </is>
      </c>
      <c r="D3084" t="n">
        <v>490</v>
      </c>
      <c r="E3084" t="inlineStr">
        <is>
          <t>BBG01T4J1J60</t>
        </is>
      </c>
    </row>
    <row r="3085">
      <c r="A3085" t="inlineStr">
        <is>
          <t>BBG01T4J2BC9 Equity</t>
        </is>
      </c>
      <c r="B3085" t="inlineStr">
        <is>
          <t>TSLA US 10/17/25 P495</t>
        </is>
      </c>
      <c r="C3085" t="inlineStr">
        <is>
          <t>2025-10-17</t>
        </is>
      </c>
      <c r="D3085" t="n">
        <v>495</v>
      </c>
      <c r="E3085" t="inlineStr">
        <is>
          <t>BBG01T4J2BC9</t>
        </is>
      </c>
    </row>
    <row r="3086">
      <c r="A3086" t="inlineStr">
        <is>
          <t>BBG01T4J2DH0 Equity</t>
        </is>
      </c>
      <c r="B3086" t="inlineStr">
        <is>
          <t>TSLA US 10/17/25 P500</t>
        </is>
      </c>
      <c r="C3086" t="inlineStr">
        <is>
          <t>2025-10-17</t>
        </is>
      </c>
      <c r="D3086" t="n">
        <v>500</v>
      </c>
      <c r="E3086" t="inlineStr">
        <is>
          <t>BBG01T4J2DH0</t>
        </is>
      </c>
    </row>
    <row r="3087">
      <c r="A3087" t="inlineStr">
        <is>
          <t>BBG01WMX1QR3 Equity</t>
        </is>
      </c>
      <c r="B3087" t="inlineStr">
        <is>
          <t>TSLA US 10/17/25 P505</t>
        </is>
      </c>
      <c r="C3087" t="inlineStr">
        <is>
          <t>2025-10-17</t>
        </is>
      </c>
      <c r="D3087" t="n">
        <v>505</v>
      </c>
      <c r="E3087" t="inlineStr">
        <is>
          <t>BBG01WMX1QR3</t>
        </is>
      </c>
    </row>
    <row r="3088">
      <c r="A3088" t="inlineStr">
        <is>
          <t>BBG01T4J3997 Equity</t>
        </is>
      </c>
      <c r="B3088" t="inlineStr">
        <is>
          <t>TSLA US 10/17/25 P510</t>
        </is>
      </c>
      <c r="C3088" t="inlineStr">
        <is>
          <t>2025-10-17</t>
        </is>
      </c>
      <c r="D3088" t="n">
        <v>510</v>
      </c>
      <c r="E3088" t="inlineStr">
        <is>
          <t>BBG01T4J3997</t>
        </is>
      </c>
    </row>
    <row r="3089">
      <c r="A3089" t="inlineStr">
        <is>
          <t>BBG01X5P90Y8 Equity</t>
        </is>
      </c>
      <c r="B3089" t="inlineStr">
        <is>
          <t>TSLA US 10/17/25 P515</t>
        </is>
      </c>
      <c r="C3089" t="inlineStr">
        <is>
          <t>2025-10-17</t>
        </is>
      </c>
      <c r="D3089" t="n">
        <v>515</v>
      </c>
      <c r="E3089" t="inlineStr">
        <is>
          <t>BBG01X5P90Y8</t>
        </is>
      </c>
    </row>
    <row r="3090">
      <c r="A3090" t="inlineStr">
        <is>
          <t>BBG01T4J1L01 Equity</t>
        </is>
      </c>
      <c r="B3090" t="inlineStr">
        <is>
          <t>TSLA US 10/17/25 P520</t>
        </is>
      </c>
      <c r="C3090" t="inlineStr">
        <is>
          <t>2025-10-17</t>
        </is>
      </c>
      <c r="D3090" t="n">
        <v>520</v>
      </c>
      <c r="E3090" t="inlineStr">
        <is>
          <t>BBG01T4J1L01</t>
        </is>
      </c>
    </row>
    <row r="3091">
      <c r="A3091" t="inlineStr">
        <is>
          <t>BBG01XJS4WM5 Equity</t>
        </is>
      </c>
      <c r="B3091" t="inlineStr">
        <is>
          <t>TSLA US 10/17/25 P525</t>
        </is>
      </c>
      <c r="C3091" t="inlineStr">
        <is>
          <t>2025-10-17</t>
        </is>
      </c>
      <c r="D3091" t="n">
        <v>525</v>
      </c>
      <c r="E3091" t="inlineStr">
        <is>
          <t>BBG01XJS4WM5</t>
        </is>
      </c>
    </row>
    <row r="3092">
      <c r="A3092" t="inlineStr">
        <is>
          <t>BBG01T4J3G82 Equity</t>
        </is>
      </c>
      <c r="B3092" t="inlineStr">
        <is>
          <t>TSLA US 10/17/25 P530</t>
        </is>
      </c>
      <c r="C3092" t="inlineStr">
        <is>
          <t>2025-10-17</t>
        </is>
      </c>
      <c r="D3092" t="n">
        <v>530</v>
      </c>
      <c r="E3092" t="inlineStr">
        <is>
          <t>BBG01T4J3G82</t>
        </is>
      </c>
    </row>
    <row r="3093">
      <c r="A3093" t="inlineStr">
        <is>
          <t>BBG01XJS4X70 Equity</t>
        </is>
      </c>
      <c r="B3093" t="inlineStr">
        <is>
          <t>TSLA US 10/17/25 P535</t>
        </is>
      </c>
      <c r="C3093" t="inlineStr">
        <is>
          <t>2025-10-17</t>
        </is>
      </c>
      <c r="D3093" t="n">
        <v>535</v>
      </c>
      <c r="E3093" t="inlineStr">
        <is>
          <t>BBG01XJS4X70</t>
        </is>
      </c>
    </row>
    <row r="3094">
      <c r="A3094" t="inlineStr">
        <is>
          <t>BBG01T4J2881 Equity</t>
        </is>
      </c>
      <c r="B3094" t="inlineStr">
        <is>
          <t>TSLA US 10/17/25 P540</t>
        </is>
      </c>
      <c r="C3094" t="inlineStr">
        <is>
          <t>2025-10-17</t>
        </is>
      </c>
      <c r="D3094" t="n">
        <v>540</v>
      </c>
      <c r="E3094" t="inlineStr">
        <is>
          <t>BBG01T4J2881</t>
        </is>
      </c>
    </row>
    <row r="3095">
      <c r="A3095" t="inlineStr">
        <is>
          <t>BBG01XJS6W98 Equity</t>
        </is>
      </c>
      <c r="B3095" t="inlineStr">
        <is>
          <t>TSLA US 10/17/25 P545</t>
        </is>
      </c>
      <c r="C3095" t="inlineStr">
        <is>
          <t>2025-10-17</t>
        </is>
      </c>
      <c r="D3095" t="n">
        <v>545</v>
      </c>
      <c r="E3095" t="inlineStr">
        <is>
          <t>BBG01XJS6W98</t>
        </is>
      </c>
    </row>
    <row r="3096">
      <c r="A3096" t="inlineStr">
        <is>
          <t>BBG01T4J29R8 Equity</t>
        </is>
      </c>
      <c r="B3096" t="inlineStr">
        <is>
          <t>TSLA US 10/17/25 P550</t>
        </is>
      </c>
      <c r="C3096" t="inlineStr">
        <is>
          <t>2025-10-17</t>
        </is>
      </c>
      <c r="D3096" t="n">
        <v>550</v>
      </c>
      <c r="E3096" t="inlineStr">
        <is>
          <t>BBG01T4J29R8</t>
        </is>
      </c>
    </row>
    <row r="3097">
      <c r="A3097" t="inlineStr">
        <is>
          <t>BBG01XJS6WX1 Equity</t>
        </is>
      </c>
      <c r="B3097" t="inlineStr">
        <is>
          <t>TSLA US 10/17/25 P555</t>
        </is>
      </c>
      <c r="C3097" t="inlineStr">
        <is>
          <t>2025-10-17</t>
        </is>
      </c>
      <c r="D3097" t="n">
        <v>555</v>
      </c>
      <c r="E3097" t="inlineStr">
        <is>
          <t>BBG01XJS6WX1</t>
        </is>
      </c>
    </row>
    <row r="3098">
      <c r="A3098" t="inlineStr">
        <is>
          <t>BBG01T4J2F30 Equity</t>
        </is>
      </c>
      <c r="B3098" t="inlineStr">
        <is>
          <t>TSLA US 10/17/25 P560</t>
        </is>
      </c>
      <c r="C3098" t="inlineStr">
        <is>
          <t>2025-10-17</t>
        </is>
      </c>
      <c r="D3098" t="n">
        <v>560</v>
      </c>
      <c r="E3098" t="inlineStr">
        <is>
          <t>BBG01T4J2F30</t>
        </is>
      </c>
    </row>
    <row r="3099">
      <c r="A3099" t="inlineStr">
        <is>
          <t>BBG01XJSD0T8 Equity</t>
        </is>
      </c>
      <c r="B3099" t="inlineStr">
        <is>
          <t>TSLA US 10/17/25 P565</t>
        </is>
      </c>
      <c r="C3099" t="inlineStr">
        <is>
          <t>2025-10-17</t>
        </is>
      </c>
      <c r="D3099" t="n">
        <v>565</v>
      </c>
      <c r="E3099" t="inlineStr">
        <is>
          <t>BBG01XJSD0T8</t>
        </is>
      </c>
    </row>
    <row r="3100">
      <c r="A3100" t="inlineStr">
        <is>
          <t>BBG01T4J3FN7 Equity</t>
        </is>
      </c>
      <c r="B3100" t="inlineStr">
        <is>
          <t>TSLA US 10/17/25 P570</t>
        </is>
      </c>
      <c r="C3100" t="inlineStr">
        <is>
          <t>2025-10-17</t>
        </is>
      </c>
      <c r="D3100" t="n">
        <v>570</v>
      </c>
      <c r="E3100" t="inlineStr">
        <is>
          <t>BBG01T4J3FN7</t>
        </is>
      </c>
    </row>
    <row r="3101">
      <c r="A3101" t="inlineStr">
        <is>
          <t>BBG01XJSCTC4 Equity</t>
        </is>
      </c>
      <c r="B3101" t="inlineStr">
        <is>
          <t>TSLA US 10/17/25 P575</t>
        </is>
      </c>
      <c r="C3101" t="inlineStr">
        <is>
          <t>2025-10-17</t>
        </is>
      </c>
      <c r="D3101" t="n">
        <v>575</v>
      </c>
      <c r="E3101" t="inlineStr">
        <is>
          <t>BBG01XJSCTC4</t>
        </is>
      </c>
    </row>
    <row r="3102">
      <c r="A3102" t="inlineStr">
        <is>
          <t>BBG01V1SCYN4 Equity</t>
        </is>
      </c>
      <c r="B3102" t="inlineStr">
        <is>
          <t>TSLA US 10/17/25 P580</t>
        </is>
      </c>
      <c r="C3102" t="inlineStr">
        <is>
          <t>2025-10-17</t>
        </is>
      </c>
      <c r="D3102" t="n">
        <v>580</v>
      </c>
      <c r="E3102" t="inlineStr">
        <is>
          <t>BBG01V1SCYN4</t>
        </is>
      </c>
    </row>
    <row r="3103">
      <c r="A3103" t="inlineStr">
        <is>
          <t>BBG01XJS53Y5 Equity</t>
        </is>
      </c>
      <c r="B3103" t="inlineStr">
        <is>
          <t>TSLA US 10/17/25 P585</t>
        </is>
      </c>
      <c r="C3103" t="inlineStr">
        <is>
          <t>2025-10-17</t>
        </is>
      </c>
      <c r="D3103" t="n">
        <v>585</v>
      </c>
      <c r="E3103" t="inlineStr">
        <is>
          <t>BBG01XJS53Y5</t>
        </is>
      </c>
    </row>
    <row r="3104">
      <c r="A3104" t="inlineStr">
        <is>
          <t>BBG01V1SCBT8 Equity</t>
        </is>
      </c>
      <c r="B3104" t="inlineStr">
        <is>
          <t>TSLA US 10/17/25 P590</t>
        </is>
      </c>
      <c r="C3104" t="inlineStr">
        <is>
          <t>2025-10-17</t>
        </is>
      </c>
      <c r="D3104" t="n">
        <v>590</v>
      </c>
      <c r="E3104" t="inlineStr">
        <is>
          <t>BBG01V1SCBT8</t>
        </is>
      </c>
    </row>
    <row r="3105">
      <c r="A3105" t="inlineStr">
        <is>
          <t>BBG01XJSCTZ9 Equity</t>
        </is>
      </c>
      <c r="B3105" t="inlineStr">
        <is>
          <t>TSLA US 10/17/25 P595</t>
        </is>
      </c>
      <c r="C3105" t="inlineStr">
        <is>
          <t>2025-10-17</t>
        </is>
      </c>
      <c r="D3105" t="n">
        <v>595</v>
      </c>
      <c r="E3105" t="inlineStr">
        <is>
          <t>BBG01XJSCTZ9</t>
        </is>
      </c>
    </row>
    <row r="3106">
      <c r="A3106" t="inlineStr">
        <is>
          <t>BBG01RMDT6G4 Equity</t>
        </is>
      </c>
      <c r="B3106" t="inlineStr">
        <is>
          <t>TSLA US 11/21/25 P245</t>
        </is>
      </c>
      <c r="C3106" t="inlineStr">
        <is>
          <t>2025-11-21</t>
        </is>
      </c>
      <c r="D3106" t="n">
        <v>245</v>
      </c>
      <c r="E3106" t="inlineStr">
        <is>
          <t>BBG01RMDT6G4</t>
        </is>
      </c>
    </row>
    <row r="3107">
      <c r="A3107" t="inlineStr">
        <is>
          <t>BBG01RMDS041 Equity</t>
        </is>
      </c>
      <c r="B3107" t="inlineStr">
        <is>
          <t>TSLA US 11/21/25 P250</t>
        </is>
      </c>
      <c r="C3107" t="inlineStr">
        <is>
          <t>2025-11-21</t>
        </is>
      </c>
      <c r="D3107" t="n">
        <v>250</v>
      </c>
      <c r="E3107" t="inlineStr">
        <is>
          <t>BBG01RMDS041</t>
        </is>
      </c>
    </row>
    <row r="3108">
      <c r="A3108" t="inlineStr">
        <is>
          <t>BBG01RMDT727 Equity</t>
        </is>
      </c>
      <c r="B3108" t="inlineStr">
        <is>
          <t>TSLA US 11/21/25 P255</t>
        </is>
      </c>
      <c r="C3108" t="inlineStr">
        <is>
          <t>2025-11-21</t>
        </is>
      </c>
      <c r="D3108" t="n">
        <v>255</v>
      </c>
      <c r="E3108" t="inlineStr">
        <is>
          <t>BBG01RMDT727</t>
        </is>
      </c>
    </row>
    <row r="3109">
      <c r="A3109" t="inlineStr">
        <is>
          <t>BBG01RMDSQ71 Equity</t>
        </is>
      </c>
      <c r="B3109" t="inlineStr">
        <is>
          <t>TSLA US 11/21/25 P260</t>
        </is>
      </c>
      <c r="C3109" t="inlineStr">
        <is>
          <t>2025-11-21</t>
        </is>
      </c>
      <c r="D3109" t="n">
        <v>260</v>
      </c>
      <c r="E3109" t="inlineStr">
        <is>
          <t>BBG01RMDSQ71</t>
        </is>
      </c>
    </row>
    <row r="3110">
      <c r="A3110" t="inlineStr">
        <is>
          <t>BBG01RMDS0V1 Equity</t>
        </is>
      </c>
      <c r="B3110" t="inlineStr">
        <is>
          <t>TSLA US 11/21/25 P265</t>
        </is>
      </c>
      <c r="C3110" t="inlineStr">
        <is>
          <t>2025-11-21</t>
        </is>
      </c>
      <c r="D3110" t="n">
        <v>265</v>
      </c>
      <c r="E3110" t="inlineStr">
        <is>
          <t>BBG01RMDS0V1</t>
        </is>
      </c>
    </row>
    <row r="3111">
      <c r="A3111" t="inlineStr">
        <is>
          <t>BBG01RMDS5T3 Equity</t>
        </is>
      </c>
      <c r="B3111" t="inlineStr">
        <is>
          <t>TSLA US 11/21/25 P270</t>
        </is>
      </c>
      <c r="C3111" t="inlineStr">
        <is>
          <t>2025-11-21</t>
        </is>
      </c>
      <c r="D3111" t="n">
        <v>270</v>
      </c>
      <c r="E3111" t="inlineStr">
        <is>
          <t>BBG01RMDS5T3</t>
        </is>
      </c>
    </row>
    <row r="3112">
      <c r="A3112" t="inlineStr">
        <is>
          <t>BBG01RMDS9J6 Equity</t>
        </is>
      </c>
      <c r="B3112" t="inlineStr">
        <is>
          <t>TSLA US 11/21/25 P275</t>
        </is>
      </c>
      <c r="C3112" t="inlineStr">
        <is>
          <t>2025-11-21</t>
        </is>
      </c>
      <c r="D3112" t="n">
        <v>275</v>
      </c>
      <c r="E3112" t="inlineStr">
        <is>
          <t>BBG01RMDS9J6</t>
        </is>
      </c>
    </row>
    <row r="3113">
      <c r="A3113" t="inlineStr">
        <is>
          <t>BBG01RMDS8X2 Equity</t>
        </is>
      </c>
      <c r="B3113" t="inlineStr">
        <is>
          <t>TSLA US 11/21/25 P280</t>
        </is>
      </c>
      <c r="C3113" t="inlineStr">
        <is>
          <t>2025-11-21</t>
        </is>
      </c>
      <c r="D3113" t="n">
        <v>280</v>
      </c>
      <c r="E3113" t="inlineStr">
        <is>
          <t>BBG01RMDS8X2</t>
        </is>
      </c>
    </row>
    <row r="3114">
      <c r="A3114" t="inlineStr">
        <is>
          <t>BBG01RMDRQF3 Equity</t>
        </is>
      </c>
      <c r="B3114" t="inlineStr">
        <is>
          <t>TSLA US 11/21/25 P285</t>
        </is>
      </c>
      <c r="C3114" t="inlineStr">
        <is>
          <t>2025-11-21</t>
        </is>
      </c>
      <c r="D3114" t="n">
        <v>285</v>
      </c>
      <c r="E3114" t="inlineStr">
        <is>
          <t>BBG01RMDRQF3</t>
        </is>
      </c>
    </row>
    <row r="3115">
      <c r="A3115" t="inlineStr">
        <is>
          <t>BBG01RMDS6F6 Equity</t>
        </is>
      </c>
      <c r="B3115" t="inlineStr">
        <is>
          <t>TSLA US 11/21/25 P290</t>
        </is>
      </c>
      <c r="C3115" t="inlineStr">
        <is>
          <t>2025-11-21</t>
        </is>
      </c>
      <c r="D3115" t="n">
        <v>290</v>
      </c>
      <c r="E3115" t="inlineStr">
        <is>
          <t>BBG01RMDS6F6</t>
        </is>
      </c>
    </row>
    <row r="3116">
      <c r="A3116" t="inlineStr">
        <is>
          <t>BBG01RMDTH89 Equity</t>
        </is>
      </c>
      <c r="B3116" t="inlineStr">
        <is>
          <t>TSLA US 11/21/25 P295</t>
        </is>
      </c>
      <c r="C3116" t="inlineStr">
        <is>
          <t>2025-11-21</t>
        </is>
      </c>
      <c r="D3116" t="n">
        <v>295</v>
      </c>
      <c r="E3116" t="inlineStr">
        <is>
          <t>BBG01RMDTH89</t>
        </is>
      </c>
    </row>
    <row r="3117">
      <c r="A3117" t="inlineStr">
        <is>
          <t>BBG01RMDR765 Equity</t>
        </is>
      </c>
      <c r="B3117" t="inlineStr">
        <is>
          <t>TSLA US 11/21/25 P300</t>
        </is>
      </c>
      <c r="C3117" t="inlineStr">
        <is>
          <t>2025-11-21</t>
        </is>
      </c>
      <c r="D3117" t="n">
        <v>300</v>
      </c>
      <c r="E3117" t="inlineStr">
        <is>
          <t>BBG01RMDR765</t>
        </is>
      </c>
    </row>
    <row r="3118">
      <c r="A3118" t="inlineStr">
        <is>
          <t>BBG01RMDRHZ1 Equity</t>
        </is>
      </c>
      <c r="B3118" t="inlineStr">
        <is>
          <t>TSLA US 11/21/25 P305</t>
        </is>
      </c>
      <c r="C3118" t="inlineStr">
        <is>
          <t>2025-11-21</t>
        </is>
      </c>
      <c r="D3118" t="n">
        <v>305</v>
      </c>
      <c r="E3118" t="inlineStr">
        <is>
          <t>BBG01RMDRHZ1</t>
        </is>
      </c>
    </row>
    <row r="3119">
      <c r="A3119" t="inlineStr">
        <is>
          <t>BBG01RMDR7T0 Equity</t>
        </is>
      </c>
      <c r="B3119" t="inlineStr">
        <is>
          <t>TSLA US 11/21/25 P310</t>
        </is>
      </c>
      <c r="C3119" t="inlineStr">
        <is>
          <t>2025-11-21</t>
        </is>
      </c>
      <c r="D3119" t="n">
        <v>310</v>
      </c>
      <c r="E3119" t="inlineStr">
        <is>
          <t>BBG01RMDR7T0</t>
        </is>
      </c>
    </row>
    <row r="3120">
      <c r="A3120" t="inlineStr">
        <is>
          <t>BBG01RMDQVZ1 Equity</t>
        </is>
      </c>
      <c r="B3120" t="inlineStr">
        <is>
          <t>TSLA US 11/21/25 P315</t>
        </is>
      </c>
      <c r="C3120" t="inlineStr">
        <is>
          <t>2025-11-21</t>
        </is>
      </c>
      <c r="D3120" t="n">
        <v>315</v>
      </c>
      <c r="E3120" t="inlineStr">
        <is>
          <t>BBG01RMDQVZ1</t>
        </is>
      </c>
    </row>
    <row r="3121">
      <c r="A3121" t="inlineStr">
        <is>
          <t>BBG01RMDRS87 Equity</t>
        </is>
      </c>
      <c r="B3121" t="inlineStr">
        <is>
          <t>TSLA US 11/21/25 P320</t>
        </is>
      </c>
      <c r="C3121" t="inlineStr">
        <is>
          <t>2025-11-21</t>
        </is>
      </c>
      <c r="D3121" t="n">
        <v>320</v>
      </c>
      <c r="E3121" t="inlineStr">
        <is>
          <t>BBG01RMDRS87</t>
        </is>
      </c>
    </row>
    <row r="3122">
      <c r="A3122" t="inlineStr">
        <is>
          <t>BBG01RMDRJL2 Equity</t>
        </is>
      </c>
      <c r="B3122" t="inlineStr">
        <is>
          <t>TSLA US 11/21/25 P325</t>
        </is>
      </c>
      <c r="C3122" t="inlineStr">
        <is>
          <t>2025-11-21</t>
        </is>
      </c>
      <c r="D3122" t="n">
        <v>325</v>
      </c>
      <c r="E3122" t="inlineStr">
        <is>
          <t>BBG01RMDRJL2</t>
        </is>
      </c>
    </row>
    <row r="3123">
      <c r="A3123" t="inlineStr">
        <is>
          <t>BBG01RMDTCV4 Equity</t>
        </is>
      </c>
      <c r="B3123" t="inlineStr">
        <is>
          <t>TSLA US 11/21/25 P330</t>
        </is>
      </c>
      <c r="C3123" t="inlineStr">
        <is>
          <t>2025-11-21</t>
        </is>
      </c>
      <c r="D3123" t="n">
        <v>330</v>
      </c>
      <c r="E3123" t="inlineStr">
        <is>
          <t>BBG01RMDTCV4</t>
        </is>
      </c>
    </row>
    <row r="3124">
      <c r="A3124" t="inlineStr">
        <is>
          <t>BBG01RMDR471 Equity</t>
        </is>
      </c>
      <c r="B3124" t="inlineStr">
        <is>
          <t>TSLA US 11/21/25 P335</t>
        </is>
      </c>
      <c r="C3124" t="inlineStr">
        <is>
          <t>2025-11-21</t>
        </is>
      </c>
      <c r="D3124" t="n">
        <v>335</v>
      </c>
      <c r="E3124" t="inlineStr">
        <is>
          <t>BBG01RMDR471</t>
        </is>
      </c>
    </row>
    <row r="3125">
      <c r="A3125" t="inlineStr">
        <is>
          <t>BBG01RMDRR16 Equity</t>
        </is>
      </c>
      <c r="B3125" t="inlineStr">
        <is>
          <t>TSLA US 11/21/25 P340</t>
        </is>
      </c>
      <c r="C3125" t="inlineStr">
        <is>
          <t>2025-11-21</t>
        </is>
      </c>
      <c r="D3125" t="n">
        <v>340</v>
      </c>
      <c r="E3125" t="inlineStr">
        <is>
          <t>BBG01RMDRR16</t>
        </is>
      </c>
    </row>
    <row r="3126">
      <c r="A3126" t="inlineStr">
        <is>
          <t>BBG01RMDRMR9 Equity</t>
        </is>
      </c>
      <c r="B3126" t="inlineStr">
        <is>
          <t>TSLA US 11/21/25 P345</t>
        </is>
      </c>
      <c r="C3126" t="inlineStr">
        <is>
          <t>2025-11-21</t>
        </is>
      </c>
      <c r="D3126" t="n">
        <v>345</v>
      </c>
      <c r="E3126" t="inlineStr">
        <is>
          <t>BBG01RMDRMR9</t>
        </is>
      </c>
    </row>
    <row r="3127">
      <c r="A3127" t="inlineStr">
        <is>
          <t>BBG01RMDS7P3 Equity</t>
        </is>
      </c>
      <c r="B3127" t="inlineStr">
        <is>
          <t>TSLA US 11/21/25 P350</t>
        </is>
      </c>
      <c r="C3127" t="inlineStr">
        <is>
          <t>2025-11-21</t>
        </is>
      </c>
      <c r="D3127" t="n">
        <v>350</v>
      </c>
      <c r="E3127" t="inlineStr">
        <is>
          <t>BBG01RMDS7P3</t>
        </is>
      </c>
    </row>
    <row r="3128">
      <c r="A3128" t="inlineStr">
        <is>
          <t>BBG01RMDR300 Equity</t>
        </is>
      </c>
      <c r="B3128" t="inlineStr">
        <is>
          <t>TSLA US 11/21/25 P355</t>
        </is>
      </c>
      <c r="C3128" t="inlineStr">
        <is>
          <t>2025-11-21</t>
        </is>
      </c>
      <c r="D3128" t="n">
        <v>355</v>
      </c>
      <c r="E3128" t="inlineStr">
        <is>
          <t>BBG01RMDR300</t>
        </is>
      </c>
    </row>
    <row r="3129">
      <c r="A3129" t="inlineStr">
        <is>
          <t>BBG01RMDRLW5 Equity</t>
        </is>
      </c>
      <c r="B3129" t="inlineStr">
        <is>
          <t>TSLA US 11/21/25 P360</t>
        </is>
      </c>
      <c r="C3129" t="inlineStr">
        <is>
          <t>2025-11-21</t>
        </is>
      </c>
      <c r="D3129" t="n">
        <v>360</v>
      </c>
      <c r="E3129" t="inlineStr">
        <is>
          <t>BBG01RMDRLW5</t>
        </is>
      </c>
    </row>
    <row r="3130">
      <c r="A3130" t="inlineStr">
        <is>
          <t>BBG01RMDTK37 Equity</t>
        </is>
      </c>
      <c r="B3130" t="inlineStr">
        <is>
          <t>TSLA US 11/21/25 P365</t>
        </is>
      </c>
      <c r="C3130" t="inlineStr">
        <is>
          <t>2025-11-21</t>
        </is>
      </c>
      <c r="D3130" t="n">
        <v>365</v>
      </c>
      <c r="E3130" t="inlineStr">
        <is>
          <t>BBG01RMDTK37</t>
        </is>
      </c>
    </row>
    <row r="3131">
      <c r="A3131" t="inlineStr">
        <is>
          <t>BBG01RMDSQV4 Equity</t>
        </is>
      </c>
      <c r="B3131" t="inlineStr">
        <is>
          <t>TSLA US 11/21/25 P370</t>
        </is>
      </c>
      <c r="C3131" t="inlineStr">
        <is>
          <t>2025-11-21</t>
        </is>
      </c>
      <c r="D3131" t="n">
        <v>370</v>
      </c>
      <c r="E3131" t="inlineStr">
        <is>
          <t>BBG01RMDSQV4</t>
        </is>
      </c>
    </row>
    <row r="3132">
      <c r="A3132" t="inlineStr">
        <is>
          <t>BBG01RMDR4V4 Equity</t>
        </is>
      </c>
      <c r="B3132" t="inlineStr">
        <is>
          <t>TSLA US 11/21/25 P375</t>
        </is>
      </c>
      <c r="C3132" t="inlineStr">
        <is>
          <t>2025-11-21</t>
        </is>
      </c>
      <c r="D3132" t="n">
        <v>375</v>
      </c>
      <c r="E3132" t="inlineStr">
        <is>
          <t>BBG01RMDR4V4</t>
        </is>
      </c>
    </row>
    <row r="3133">
      <c r="A3133" t="inlineStr">
        <is>
          <t>BBG01RMDRRN2 Equity</t>
        </is>
      </c>
      <c r="B3133" t="inlineStr">
        <is>
          <t>TSLA US 11/21/25 P380</t>
        </is>
      </c>
      <c r="C3133" t="inlineStr">
        <is>
          <t>2025-11-21</t>
        </is>
      </c>
      <c r="D3133" t="n">
        <v>380</v>
      </c>
      <c r="E3133" t="inlineStr">
        <is>
          <t>BBG01RMDRRN2</t>
        </is>
      </c>
    </row>
    <row r="3134">
      <c r="A3134" t="inlineStr">
        <is>
          <t>BBG01RMDS899 Equity</t>
        </is>
      </c>
      <c r="B3134" t="inlineStr">
        <is>
          <t>TSLA US 11/21/25 P385</t>
        </is>
      </c>
      <c r="C3134" t="inlineStr">
        <is>
          <t>2025-11-21</t>
        </is>
      </c>
      <c r="D3134" t="n">
        <v>385</v>
      </c>
      <c r="E3134" t="inlineStr">
        <is>
          <t>BBG01RMDS899</t>
        </is>
      </c>
    </row>
    <row r="3135">
      <c r="A3135" t="inlineStr">
        <is>
          <t>BBG01RMDRG38 Equity</t>
        </is>
      </c>
      <c r="B3135" t="inlineStr">
        <is>
          <t>TSLA US 11/21/25 P390</t>
        </is>
      </c>
      <c r="C3135" t="inlineStr">
        <is>
          <t>2025-11-21</t>
        </is>
      </c>
      <c r="D3135" t="n">
        <v>390</v>
      </c>
      <c r="E3135" t="inlineStr">
        <is>
          <t>BBG01RMDRG38</t>
        </is>
      </c>
    </row>
    <row r="3136">
      <c r="A3136" t="inlineStr">
        <is>
          <t>BBG01RMDR2F6 Equity</t>
        </is>
      </c>
      <c r="B3136" t="inlineStr">
        <is>
          <t>TSLA US 11/21/25 P395</t>
        </is>
      </c>
      <c r="C3136" t="inlineStr">
        <is>
          <t>2025-11-21</t>
        </is>
      </c>
      <c r="D3136" t="n">
        <v>395</v>
      </c>
      <c r="E3136" t="inlineStr">
        <is>
          <t>BBG01RMDR2F6</t>
        </is>
      </c>
    </row>
    <row r="3137">
      <c r="A3137" t="inlineStr">
        <is>
          <t>BBG01RMDTJH5 Equity</t>
        </is>
      </c>
      <c r="B3137" t="inlineStr">
        <is>
          <t>TSLA US 11/21/25 P400</t>
        </is>
      </c>
      <c r="C3137" t="inlineStr">
        <is>
          <t>2025-11-21</t>
        </is>
      </c>
      <c r="D3137" t="n">
        <v>400</v>
      </c>
      <c r="E3137" t="inlineStr">
        <is>
          <t>BBG01RMDTJH5</t>
        </is>
      </c>
    </row>
    <row r="3138">
      <c r="A3138" t="inlineStr">
        <is>
          <t>BBG01RMDSYS1 Equity</t>
        </is>
      </c>
      <c r="B3138" t="inlineStr">
        <is>
          <t>TSLA US 11/21/25 P405</t>
        </is>
      </c>
      <c r="C3138" t="inlineStr">
        <is>
          <t>2025-11-21</t>
        </is>
      </c>
      <c r="D3138" t="n">
        <v>405</v>
      </c>
      <c r="E3138" t="inlineStr">
        <is>
          <t>BBG01RMDSYS1</t>
        </is>
      </c>
    </row>
    <row r="3139">
      <c r="A3139" t="inlineStr">
        <is>
          <t>BBG01RMDR3M6 Equity</t>
        </is>
      </c>
      <c r="B3139" t="inlineStr">
        <is>
          <t>TSLA US 11/21/25 P410</t>
        </is>
      </c>
      <c r="C3139" t="inlineStr">
        <is>
          <t>2025-11-21</t>
        </is>
      </c>
      <c r="D3139" t="n">
        <v>410</v>
      </c>
      <c r="E3139" t="inlineStr">
        <is>
          <t>BBG01RMDR3M6</t>
        </is>
      </c>
    </row>
    <row r="3140">
      <c r="A3140" t="inlineStr">
        <is>
          <t>BBG01RMDRPL8 Equity</t>
        </is>
      </c>
      <c r="B3140" t="inlineStr">
        <is>
          <t>TSLA US 11/21/25 P415</t>
        </is>
      </c>
      <c r="C3140" t="inlineStr">
        <is>
          <t>2025-11-21</t>
        </is>
      </c>
      <c r="D3140" t="n">
        <v>415</v>
      </c>
      <c r="E3140" t="inlineStr">
        <is>
          <t>BBG01RMDRPL8</t>
        </is>
      </c>
    </row>
    <row r="3141">
      <c r="A3141" t="inlineStr">
        <is>
          <t>BBG01RMDRNZ8 Equity</t>
        </is>
      </c>
      <c r="B3141" t="inlineStr">
        <is>
          <t>TSLA US 11/21/25 P420</t>
        </is>
      </c>
      <c r="C3141" t="inlineStr">
        <is>
          <t>2025-11-21</t>
        </is>
      </c>
      <c r="D3141" t="n">
        <v>420</v>
      </c>
      <c r="E3141" t="inlineStr">
        <is>
          <t>BBG01RMDRNZ8</t>
        </is>
      </c>
    </row>
    <row r="3142">
      <c r="A3142" t="inlineStr">
        <is>
          <t>BBG01RMDS719 Equity</t>
        </is>
      </c>
      <c r="B3142" t="inlineStr">
        <is>
          <t>TSLA US 11/21/25 P425</t>
        </is>
      </c>
      <c r="C3142" t="inlineStr">
        <is>
          <t>2025-11-21</t>
        </is>
      </c>
      <c r="D3142" t="n">
        <v>425</v>
      </c>
      <c r="E3142" t="inlineStr">
        <is>
          <t>BBG01RMDS719</t>
        </is>
      </c>
    </row>
    <row r="3143">
      <c r="A3143" t="inlineStr">
        <is>
          <t>BBG01RMDR5G8 Equity</t>
        </is>
      </c>
      <c r="B3143" t="inlineStr">
        <is>
          <t>TSLA US 11/21/25 P430</t>
        </is>
      </c>
      <c r="C3143" t="inlineStr">
        <is>
          <t>2025-11-21</t>
        </is>
      </c>
      <c r="D3143" t="n">
        <v>430</v>
      </c>
      <c r="E3143" t="inlineStr">
        <is>
          <t>BBG01RMDR5G8</t>
        </is>
      </c>
    </row>
    <row r="3144">
      <c r="A3144" t="inlineStr">
        <is>
          <t>BBG01RMDTHW2 Equity</t>
        </is>
      </c>
      <c r="B3144" t="inlineStr">
        <is>
          <t>TSLA US 11/21/25 P435</t>
        </is>
      </c>
      <c r="C3144" t="inlineStr">
        <is>
          <t>2025-11-21</t>
        </is>
      </c>
      <c r="D3144" t="n">
        <v>435</v>
      </c>
      <c r="E3144" t="inlineStr">
        <is>
          <t>BBG01RMDTHW2</t>
        </is>
      </c>
    </row>
    <row r="3145">
      <c r="A3145" t="inlineStr">
        <is>
          <t>BBG01RMDSPM6 Equity</t>
        </is>
      </c>
      <c r="B3145" t="inlineStr">
        <is>
          <t>TSLA US 11/21/25 P440</t>
        </is>
      </c>
      <c r="C3145" t="inlineStr">
        <is>
          <t>2025-11-21</t>
        </is>
      </c>
      <c r="D3145" t="n">
        <v>440</v>
      </c>
      <c r="E3145" t="inlineStr">
        <is>
          <t>BBG01RMDSPM6</t>
        </is>
      </c>
    </row>
    <row r="3146">
      <c r="A3146" t="inlineStr">
        <is>
          <t>BBG01RMDSW14 Equity</t>
        </is>
      </c>
      <c r="B3146" t="inlineStr">
        <is>
          <t>TSLA US 11/21/25 P445</t>
        </is>
      </c>
      <c r="C3146" t="inlineStr">
        <is>
          <t>2025-11-21</t>
        </is>
      </c>
      <c r="D3146" t="n">
        <v>445</v>
      </c>
      <c r="E3146" t="inlineStr">
        <is>
          <t>BBG01RMDSW14</t>
        </is>
      </c>
    </row>
    <row r="3147">
      <c r="A3147" t="inlineStr">
        <is>
          <t>BBG01RMDQY85 Equity</t>
        </is>
      </c>
      <c r="B3147" t="inlineStr">
        <is>
          <t>TSLA US 11/21/25 P450</t>
        </is>
      </c>
      <c r="C3147" t="inlineStr">
        <is>
          <t>2025-11-21</t>
        </is>
      </c>
      <c r="D3147" t="n">
        <v>450</v>
      </c>
      <c r="E3147" t="inlineStr">
        <is>
          <t>BBG01RMDQY85</t>
        </is>
      </c>
    </row>
    <row r="3148">
      <c r="A3148" t="inlineStr">
        <is>
          <t>BBG01RMDRNC3 Equity</t>
        </is>
      </c>
      <c r="B3148" t="inlineStr">
        <is>
          <t>TSLA US 11/21/25 P455</t>
        </is>
      </c>
      <c r="C3148" t="inlineStr">
        <is>
          <t>2025-11-21</t>
        </is>
      </c>
      <c r="D3148" t="n">
        <v>455</v>
      </c>
      <c r="E3148" t="inlineStr">
        <is>
          <t>BBG01RMDRNC3</t>
        </is>
      </c>
    </row>
    <row r="3149">
      <c r="A3149" t="inlineStr">
        <is>
          <t>BBG01RMDRLP3 Equity</t>
        </is>
      </c>
      <c r="B3149" t="inlineStr">
        <is>
          <t>TSLA US 11/21/25 P460</t>
        </is>
      </c>
      <c r="C3149" t="inlineStr">
        <is>
          <t>2025-11-21</t>
        </is>
      </c>
      <c r="D3149" t="n">
        <v>460</v>
      </c>
      <c r="E3149" t="inlineStr">
        <is>
          <t>BBG01RMDRLP3</t>
        </is>
      </c>
    </row>
    <row r="3150">
      <c r="A3150" t="inlineStr">
        <is>
          <t>BBG01RMDT004 Equity</t>
        </is>
      </c>
      <c r="B3150" t="inlineStr">
        <is>
          <t>TSLA US 11/21/25 P465</t>
        </is>
      </c>
      <c r="C3150" t="inlineStr">
        <is>
          <t>2025-11-21</t>
        </is>
      </c>
      <c r="D3150" t="n">
        <v>465</v>
      </c>
      <c r="E3150" t="inlineStr">
        <is>
          <t>BBG01RMDT004</t>
        </is>
      </c>
    </row>
    <row r="3151">
      <c r="A3151" t="inlineStr">
        <is>
          <t>BBG01RMDRK66 Equity</t>
        </is>
      </c>
      <c r="B3151" t="inlineStr">
        <is>
          <t>TSLA US 11/21/25 P470</t>
        </is>
      </c>
      <c r="C3151" t="inlineStr">
        <is>
          <t>2025-11-21</t>
        </is>
      </c>
      <c r="D3151" t="n">
        <v>470</v>
      </c>
      <c r="E3151" t="inlineStr">
        <is>
          <t>BBG01RMDRK66</t>
        </is>
      </c>
    </row>
    <row r="3152">
      <c r="A3152" t="inlineStr">
        <is>
          <t>BBG01RMDTL44 Equity</t>
        </is>
      </c>
      <c r="B3152" t="inlineStr">
        <is>
          <t>TSLA US 11/21/25 P475</t>
        </is>
      </c>
      <c r="C3152" t="inlineStr">
        <is>
          <t>2025-11-21</t>
        </is>
      </c>
      <c r="D3152" t="n">
        <v>475</v>
      </c>
      <c r="E3152" t="inlineStr">
        <is>
          <t>BBG01RMDTL44</t>
        </is>
      </c>
    </row>
    <row r="3153">
      <c r="A3153" t="inlineStr">
        <is>
          <t>BBG01RMDSP00 Equity</t>
        </is>
      </c>
      <c r="B3153" t="inlineStr">
        <is>
          <t>TSLA US 11/21/25 P480</t>
        </is>
      </c>
      <c r="C3153" t="inlineStr">
        <is>
          <t>2025-11-21</t>
        </is>
      </c>
      <c r="D3153" t="n">
        <v>480</v>
      </c>
      <c r="E3153" t="inlineStr">
        <is>
          <t>BBG01RMDSP00</t>
        </is>
      </c>
    </row>
    <row r="3154">
      <c r="A3154" t="inlineStr">
        <is>
          <t>BBG01RMDSBV7 Equity</t>
        </is>
      </c>
      <c r="B3154" t="inlineStr">
        <is>
          <t>TSLA US 11/21/25 P485</t>
        </is>
      </c>
      <c r="C3154" t="inlineStr">
        <is>
          <t>2025-11-21</t>
        </is>
      </c>
      <c r="D3154" t="n">
        <v>485</v>
      </c>
      <c r="E3154" t="inlineStr">
        <is>
          <t>BBG01RMDSBV7</t>
        </is>
      </c>
    </row>
    <row r="3155">
      <c r="A3155" t="inlineStr">
        <is>
          <t>BBG01RMDQYW8 Equity</t>
        </is>
      </c>
      <c r="B3155" t="inlineStr">
        <is>
          <t>TSLA US 11/21/25 P490</t>
        </is>
      </c>
      <c r="C3155" t="inlineStr">
        <is>
          <t>2025-11-21</t>
        </is>
      </c>
      <c r="D3155" t="n">
        <v>490</v>
      </c>
      <c r="E3155" t="inlineStr">
        <is>
          <t>BBG01RMDQYW8</t>
        </is>
      </c>
    </row>
    <row r="3156">
      <c r="A3156" t="inlineStr">
        <is>
          <t>BBG01RMDS4B5 Equity</t>
        </is>
      </c>
      <c r="B3156" t="inlineStr">
        <is>
          <t>TSLA US 11/21/25 P495</t>
        </is>
      </c>
      <c r="C3156" t="inlineStr">
        <is>
          <t>2025-11-21</t>
        </is>
      </c>
      <c r="D3156" t="n">
        <v>495</v>
      </c>
      <c r="E3156" t="inlineStr">
        <is>
          <t>BBG01RMDS4B5</t>
        </is>
      </c>
    </row>
    <row r="3157">
      <c r="A3157" t="inlineStr">
        <is>
          <t>BBG01RMDSWN0 Equity</t>
        </is>
      </c>
      <c r="B3157" t="inlineStr">
        <is>
          <t>TSLA US 11/21/25 P500</t>
        </is>
      </c>
      <c r="C3157" t="inlineStr">
        <is>
          <t>2025-11-21</t>
        </is>
      </c>
      <c r="D3157" t="n">
        <v>500</v>
      </c>
      <c r="E3157" t="inlineStr">
        <is>
          <t>BBG01RMDSWN0</t>
        </is>
      </c>
    </row>
    <row r="3158">
      <c r="A3158" t="inlineStr">
        <is>
          <t>BBG01WY3N1W1 Equity</t>
        </is>
      </c>
      <c r="B3158" t="inlineStr">
        <is>
          <t>TSLA US 11/21/25 P505</t>
        </is>
      </c>
      <c r="C3158" t="inlineStr">
        <is>
          <t>2025-11-21</t>
        </is>
      </c>
      <c r="D3158" t="n">
        <v>505</v>
      </c>
      <c r="E3158" t="inlineStr">
        <is>
          <t>BBG01WY3N1W1</t>
        </is>
      </c>
    </row>
    <row r="3159">
      <c r="A3159" t="inlineStr">
        <is>
          <t>BBG01RMDSY47 Equity</t>
        </is>
      </c>
      <c r="B3159" t="inlineStr">
        <is>
          <t>TSLA US 11/21/25 P510</t>
        </is>
      </c>
      <c r="C3159" t="inlineStr">
        <is>
          <t>2025-11-21</t>
        </is>
      </c>
      <c r="D3159" t="n">
        <v>510</v>
      </c>
      <c r="E3159" t="inlineStr">
        <is>
          <t>BBG01RMDSY47</t>
        </is>
      </c>
    </row>
    <row r="3160">
      <c r="A3160" t="inlineStr">
        <is>
          <t>BBG01X5PBW75 Equity</t>
        </is>
      </c>
      <c r="B3160" t="inlineStr">
        <is>
          <t>TSLA US 11/21/25 P515</t>
        </is>
      </c>
      <c r="C3160" t="inlineStr">
        <is>
          <t>2025-11-21</t>
        </is>
      </c>
      <c r="D3160" t="n">
        <v>515</v>
      </c>
      <c r="E3160" t="inlineStr">
        <is>
          <t>BBG01X5PBW75</t>
        </is>
      </c>
    </row>
    <row r="3161">
      <c r="A3161" t="inlineStr">
        <is>
          <t>BBG01RMDSCG2 Equity</t>
        </is>
      </c>
      <c r="B3161" t="inlineStr">
        <is>
          <t>TSLA US 11/21/25 P520</t>
        </is>
      </c>
      <c r="C3161" t="inlineStr">
        <is>
          <t>2025-11-21</t>
        </is>
      </c>
      <c r="D3161" t="n">
        <v>520</v>
      </c>
      <c r="E3161" t="inlineStr">
        <is>
          <t>BBG01RMDSCG2</t>
        </is>
      </c>
    </row>
    <row r="3162">
      <c r="A3162" t="inlineStr">
        <is>
          <t>BBG01XJSDQB0 Equity</t>
        </is>
      </c>
      <c r="B3162" t="inlineStr">
        <is>
          <t>TSLA US 11/21/25 P525</t>
        </is>
      </c>
      <c r="C3162" t="inlineStr">
        <is>
          <t>2025-11-21</t>
        </is>
      </c>
      <c r="D3162" t="n">
        <v>525</v>
      </c>
      <c r="E3162" t="inlineStr">
        <is>
          <t>BBG01XJSDQB0</t>
        </is>
      </c>
    </row>
    <row r="3163">
      <c r="A3163" t="inlineStr">
        <is>
          <t>BBG01RMDSG46 Equity</t>
        </is>
      </c>
      <c r="B3163" t="inlineStr">
        <is>
          <t>TSLA US 11/21/25 P530</t>
        </is>
      </c>
      <c r="C3163" t="inlineStr">
        <is>
          <t>2025-11-21</t>
        </is>
      </c>
      <c r="D3163" t="n">
        <v>530</v>
      </c>
      <c r="E3163" t="inlineStr">
        <is>
          <t>BBG01RMDSG46</t>
        </is>
      </c>
    </row>
    <row r="3164">
      <c r="A3164" t="inlineStr">
        <is>
          <t>BBG01XJSJ316 Equity</t>
        </is>
      </c>
      <c r="B3164" t="inlineStr">
        <is>
          <t>TSLA US 11/21/25 P535</t>
        </is>
      </c>
      <c r="C3164" t="inlineStr">
        <is>
          <t>2025-11-21</t>
        </is>
      </c>
      <c r="D3164" t="n">
        <v>535</v>
      </c>
      <c r="E3164" t="inlineStr">
        <is>
          <t>BBG01XJSJ316</t>
        </is>
      </c>
    </row>
    <row r="3165">
      <c r="A3165" t="inlineStr">
        <is>
          <t>BBG01RMDT0M0 Equity</t>
        </is>
      </c>
      <c r="B3165" t="inlineStr">
        <is>
          <t>TSLA US 11/21/25 P540</t>
        </is>
      </c>
      <c r="C3165" t="inlineStr">
        <is>
          <t>2025-11-21</t>
        </is>
      </c>
      <c r="D3165" t="n">
        <v>540</v>
      </c>
      <c r="E3165" t="inlineStr">
        <is>
          <t>BBG01RMDT0M0</t>
        </is>
      </c>
    </row>
    <row r="3166">
      <c r="A3166" t="inlineStr">
        <is>
          <t>BBG01XJSDQY5 Equity</t>
        </is>
      </c>
      <c r="B3166" t="inlineStr">
        <is>
          <t>TSLA US 11/21/25 P545</t>
        </is>
      </c>
      <c r="C3166" t="inlineStr">
        <is>
          <t>2025-11-21</t>
        </is>
      </c>
      <c r="D3166" t="n">
        <v>545</v>
      </c>
      <c r="E3166" t="inlineStr">
        <is>
          <t>BBG01XJSDQY5</t>
        </is>
      </c>
    </row>
    <row r="3167">
      <c r="A3167" t="inlineStr">
        <is>
          <t>BBG01RMDSND1 Equity</t>
        </is>
      </c>
      <c r="B3167" t="inlineStr">
        <is>
          <t>TSLA US 11/21/25 P550</t>
        </is>
      </c>
      <c r="C3167" t="inlineStr">
        <is>
          <t>2025-11-21</t>
        </is>
      </c>
      <c r="D3167" t="n">
        <v>550</v>
      </c>
      <c r="E3167" t="inlineStr">
        <is>
          <t>BBG01RMDSND1</t>
        </is>
      </c>
    </row>
    <row r="3168">
      <c r="A3168" t="inlineStr">
        <is>
          <t>BBG01XJSHWL2 Equity</t>
        </is>
      </c>
      <c r="B3168" t="inlineStr">
        <is>
          <t>TSLA US 11/21/25 P555</t>
        </is>
      </c>
      <c r="C3168" t="inlineStr">
        <is>
          <t>2025-11-21</t>
        </is>
      </c>
      <c r="D3168" t="n">
        <v>555</v>
      </c>
      <c r="E3168" t="inlineStr">
        <is>
          <t>BBG01XJSHWL2</t>
        </is>
      </c>
    </row>
    <row r="3169">
      <c r="A3169" t="inlineStr">
        <is>
          <t>BBG01RMDSTD8 Equity</t>
        </is>
      </c>
      <c r="B3169" t="inlineStr">
        <is>
          <t>TSLA US 11/21/25 P560</t>
        </is>
      </c>
      <c r="C3169" t="inlineStr">
        <is>
          <t>2025-11-21</t>
        </is>
      </c>
      <c r="D3169" t="n">
        <v>560</v>
      </c>
      <c r="E3169" t="inlineStr">
        <is>
          <t>BBG01RMDSTD8</t>
        </is>
      </c>
    </row>
    <row r="3170">
      <c r="A3170" t="inlineStr">
        <is>
          <t>BBG01XJSJ1N6 Equity</t>
        </is>
      </c>
      <c r="B3170" t="inlineStr">
        <is>
          <t>TSLA US 11/21/25 P565</t>
        </is>
      </c>
      <c r="C3170" t="inlineStr">
        <is>
          <t>2025-11-21</t>
        </is>
      </c>
      <c r="D3170" t="n">
        <v>565</v>
      </c>
      <c r="E3170" t="inlineStr">
        <is>
          <t>BBG01XJSJ1N6</t>
        </is>
      </c>
    </row>
    <row r="3171">
      <c r="A3171" t="inlineStr">
        <is>
          <t>BBG01RMDRHB7 Equity</t>
        </is>
      </c>
      <c r="B3171" t="inlineStr">
        <is>
          <t>TSLA US 11/21/25 P570</t>
        </is>
      </c>
      <c r="C3171" t="inlineStr">
        <is>
          <t>2025-11-21</t>
        </is>
      </c>
      <c r="D3171" t="n">
        <v>570</v>
      </c>
      <c r="E3171" t="inlineStr">
        <is>
          <t>BBG01RMDRHB7</t>
        </is>
      </c>
    </row>
    <row r="3172">
      <c r="A3172" t="inlineStr">
        <is>
          <t>BBG01XJSJ0F7 Equity</t>
        </is>
      </c>
      <c r="B3172" t="inlineStr">
        <is>
          <t>TSLA US 11/21/25 P575</t>
        </is>
      </c>
      <c r="C3172" t="inlineStr">
        <is>
          <t>2025-11-21</t>
        </is>
      </c>
      <c r="D3172" t="n">
        <v>575</v>
      </c>
      <c r="E3172" t="inlineStr">
        <is>
          <t>BBG01XJSJ0F7</t>
        </is>
      </c>
    </row>
    <row r="3173">
      <c r="A3173" t="inlineStr">
        <is>
          <t>BBG01RMDSD25 Equity</t>
        </is>
      </c>
      <c r="B3173" t="inlineStr">
        <is>
          <t>TSLA US 11/21/25 P580</t>
        </is>
      </c>
      <c r="C3173" t="inlineStr">
        <is>
          <t>2025-11-21</t>
        </is>
      </c>
      <c r="D3173" t="n">
        <v>580</v>
      </c>
      <c r="E3173" t="inlineStr">
        <is>
          <t>BBG01RMDSD25</t>
        </is>
      </c>
    </row>
    <row r="3174">
      <c r="A3174" t="inlineStr">
        <is>
          <t>BBG01XJSJ110 Equity</t>
        </is>
      </c>
      <c r="B3174" t="inlineStr">
        <is>
          <t>TSLA US 11/21/25 P585</t>
        </is>
      </c>
      <c r="C3174" t="inlineStr">
        <is>
          <t>2025-11-21</t>
        </is>
      </c>
      <c r="D3174" t="n">
        <v>585</v>
      </c>
      <c r="E3174" t="inlineStr">
        <is>
          <t>BBG01XJSJ110</t>
        </is>
      </c>
    </row>
    <row r="3175">
      <c r="A3175" t="inlineStr">
        <is>
          <t>BBG01RMDSXJ3 Equity</t>
        </is>
      </c>
      <c r="B3175" t="inlineStr">
        <is>
          <t>TSLA US 11/21/25 P590</t>
        </is>
      </c>
      <c r="C3175" t="inlineStr">
        <is>
          <t>2025-11-21</t>
        </is>
      </c>
      <c r="D3175" t="n">
        <v>590</v>
      </c>
      <c r="E3175" t="inlineStr">
        <is>
          <t>BBG01RMDSXJ3</t>
        </is>
      </c>
    </row>
    <row r="3176">
      <c r="A3176" t="inlineStr">
        <is>
          <t>BBG01XJSD1R8 Equity</t>
        </is>
      </c>
      <c r="B3176" t="inlineStr">
        <is>
          <t>TSLA US 11/21/25 P595</t>
        </is>
      </c>
      <c r="C3176" t="inlineStr">
        <is>
          <t>2025-11-21</t>
        </is>
      </c>
      <c r="D3176" t="n">
        <v>595</v>
      </c>
      <c r="E3176" t="inlineStr">
        <is>
          <t>BBG01XJSD1R8</t>
        </is>
      </c>
    </row>
    <row r="3177">
      <c r="A3177" t="inlineStr">
        <is>
          <t>BBG01TL4MLJ2 Equity</t>
        </is>
      </c>
      <c r="B3177" t="inlineStr">
        <is>
          <t>TSLA US 12/19/25 P245</t>
        </is>
      </c>
      <c r="C3177" t="inlineStr">
        <is>
          <t>2025-12-19</t>
        </is>
      </c>
      <c r="D3177" t="n">
        <v>245</v>
      </c>
      <c r="E3177" t="inlineStr">
        <is>
          <t>BBG01TL4MLJ2</t>
        </is>
      </c>
    </row>
    <row r="3178">
      <c r="A3178" t="inlineStr">
        <is>
          <t>BBG01G1KDL51 Equity</t>
        </is>
      </c>
      <c r="B3178" t="inlineStr">
        <is>
          <t>TSLA US 12/19/25 P250</t>
        </is>
      </c>
      <c r="C3178" t="inlineStr">
        <is>
          <t>2025-12-19</t>
        </is>
      </c>
      <c r="D3178" t="n">
        <v>250</v>
      </c>
      <c r="E3178" t="inlineStr">
        <is>
          <t>BBG01G1KDL51</t>
        </is>
      </c>
    </row>
    <row r="3179">
      <c r="A3179" t="inlineStr">
        <is>
          <t>BBG01TL4MFN0 Equity</t>
        </is>
      </c>
      <c r="B3179" t="inlineStr">
        <is>
          <t>TSLA US 12/19/25 P255</t>
        </is>
      </c>
      <c r="C3179" t="inlineStr">
        <is>
          <t>2025-12-19</t>
        </is>
      </c>
      <c r="D3179" t="n">
        <v>255</v>
      </c>
      <c r="E3179" t="inlineStr">
        <is>
          <t>BBG01TL4MFN0</t>
        </is>
      </c>
    </row>
    <row r="3180">
      <c r="A3180" t="inlineStr">
        <is>
          <t>BBG01G1KDM86 Equity</t>
        </is>
      </c>
      <c r="B3180" t="inlineStr">
        <is>
          <t>TSLA US 12/19/25 P260</t>
        </is>
      </c>
      <c r="C3180" t="inlineStr">
        <is>
          <t>2025-12-19</t>
        </is>
      </c>
      <c r="D3180" t="n">
        <v>260</v>
      </c>
      <c r="E3180" t="inlineStr">
        <is>
          <t>BBG01G1KDM86</t>
        </is>
      </c>
    </row>
    <row r="3181">
      <c r="A3181" t="inlineStr">
        <is>
          <t>BBG01TL4MF14 Equity</t>
        </is>
      </c>
      <c r="B3181" t="inlineStr">
        <is>
          <t>TSLA US 12/19/25 P265</t>
        </is>
      </c>
      <c r="C3181" t="inlineStr">
        <is>
          <t>2025-12-19</t>
        </is>
      </c>
      <c r="D3181" t="n">
        <v>265</v>
      </c>
      <c r="E3181" t="inlineStr">
        <is>
          <t>BBG01TL4MF14</t>
        </is>
      </c>
    </row>
    <row r="3182">
      <c r="A3182" t="inlineStr">
        <is>
          <t>BBG01G1KDNC9 Equity</t>
        </is>
      </c>
      <c r="B3182" t="inlineStr">
        <is>
          <t>TSLA US 12/19/25 P270</t>
        </is>
      </c>
      <c r="C3182" t="inlineStr">
        <is>
          <t>2025-12-19</t>
        </is>
      </c>
      <c r="D3182" t="n">
        <v>270</v>
      </c>
      <c r="E3182" t="inlineStr">
        <is>
          <t>BBG01G1KDNC9</t>
        </is>
      </c>
    </row>
    <row r="3183">
      <c r="A3183" t="inlineStr">
        <is>
          <t>BBG01TL4M1G9 Equity</t>
        </is>
      </c>
      <c r="B3183" t="inlineStr">
        <is>
          <t>TSLA US 12/19/25 P275</t>
        </is>
      </c>
      <c r="C3183" t="inlineStr">
        <is>
          <t>2025-12-19</t>
        </is>
      </c>
      <c r="D3183" t="n">
        <v>275</v>
      </c>
      <c r="E3183" t="inlineStr">
        <is>
          <t>BBG01TL4M1G9</t>
        </is>
      </c>
    </row>
    <row r="3184">
      <c r="A3184" t="inlineStr">
        <is>
          <t>BBG01G1KDPH9 Equity</t>
        </is>
      </c>
      <c r="B3184" t="inlineStr">
        <is>
          <t>TSLA US 12/19/25 P280</t>
        </is>
      </c>
      <c r="C3184" t="inlineStr">
        <is>
          <t>2025-12-19</t>
        </is>
      </c>
      <c r="D3184" t="n">
        <v>280</v>
      </c>
      <c r="E3184" t="inlineStr">
        <is>
          <t>BBG01G1KDPH9</t>
        </is>
      </c>
    </row>
    <row r="3185">
      <c r="A3185" t="inlineStr">
        <is>
          <t>BBG01TL4MCT1 Equity</t>
        </is>
      </c>
      <c r="B3185" t="inlineStr">
        <is>
          <t>TSLA US 12/19/25 P285</t>
        </is>
      </c>
      <c r="C3185" t="inlineStr">
        <is>
          <t>2025-12-19</t>
        </is>
      </c>
      <c r="D3185" t="n">
        <v>285</v>
      </c>
      <c r="E3185" t="inlineStr">
        <is>
          <t>BBG01TL4MCT1</t>
        </is>
      </c>
    </row>
    <row r="3186">
      <c r="A3186" t="inlineStr">
        <is>
          <t>BBG01G1KDQL2 Equity</t>
        </is>
      </c>
      <c r="B3186" t="inlineStr">
        <is>
          <t>TSLA US 12/19/25 P290</t>
        </is>
      </c>
      <c r="C3186" t="inlineStr">
        <is>
          <t>2025-12-19</t>
        </is>
      </c>
      <c r="D3186" t="n">
        <v>290</v>
      </c>
      <c r="E3186" t="inlineStr">
        <is>
          <t>BBG01G1KDQL2</t>
        </is>
      </c>
    </row>
    <row r="3187">
      <c r="A3187" t="inlineStr">
        <is>
          <t>BBG01TL4MDF4 Equity</t>
        </is>
      </c>
      <c r="B3187" t="inlineStr">
        <is>
          <t>TSLA US 12/19/25 P295</t>
        </is>
      </c>
      <c r="C3187" t="inlineStr">
        <is>
          <t>2025-12-19</t>
        </is>
      </c>
      <c r="D3187" t="n">
        <v>295</v>
      </c>
      <c r="E3187" t="inlineStr">
        <is>
          <t>BBG01TL4MDF4</t>
        </is>
      </c>
    </row>
    <row r="3188">
      <c r="A3188" t="inlineStr">
        <is>
          <t>BBG01G1KDRP6 Equity</t>
        </is>
      </c>
      <c r="B3188" t="inlineStr">
        <is>
          <t>TSLA US 12/19/25 P300</t>
        </is>
      </c>
      <c r="C3188" t="inlineStr">
        <is>
          <t>2025-12-19</t>
        </is>
      </c>
      <c r="D3188" t="n">
        <v>300</v>
      </c>
      <c r="E3188" t="inlineStr">
        <is>
          <t>BBG01G1KDRP6</t>
        </is>
      </c>
    </row>
    <row r="3189">
      <c r="A3189" t="inlineStr">
        <is>
          <t>BBG01TL4MNC5 Equity</t>
        </is>
      </c>
      <c r="B3189" t="inlineStr">
        <is>
          <t>TSLA US 12/19/25 P305</t>
        </is>
      </c>
      <c r="C3189" t="inlineStr">
        <is>
          <t>2025-12-19</t>
        </is>
      </c>
      <c r="D3189" t="n">
        <v>305</v>
      </c>
      <c r="E3189" t="inlineStr">
        <is>
          <t>BBG01TL4MNC5</t>
        </is>
      </c>
    </row>
    <row r="3190">
      <c r="A3190" t="inlineStr">
        <is>
          <t>BBG01G1KDST0 Equity</t>
        </is>
      </c>
      <c r="B3190" t="inlineStr">
        <is>
          <t>TSLA US 12/19/25 P310</t>
        </is>
      </c>
      <c r="C3190" t="inlineStr">
        <is>
          <t>2025-12-19</t>
        </is>
      </c>
      <c r="D3190" t="n">
        <v>310</v>
      </c>
      <c r="E3190" t="inlineStr">
        <is>
          <t>BBG01G1KDST0</t>
        </is>
      </c>
    </row>
    <row r="3191">
      <c r="A3191" t="inlineStr">
        <is>
          <t>BBG01TL4MP03 Equity</t>
        </is>
      </c>
      <c r="B3191" t="inlineStr">
        <is>
          <t>TSLA US 12/19/25 P315</t>
        </is>
      </c>
      <c r="C3191" t="inlineStr">
        <is>
          <t>2025-12-19</t>
        </is>
      </c>
      <c r="D3191" t="n">
        <v>315</v>
      </c>
      <c r="E3191" t="inlineStr">
        <is>
          <t>BBG01TL4MP03</t>
        </is>
      </c>
    </row>
    <row r="3192">
      <c r="A3192" t="inlineStr">
        <is>
          <t>BBG01G1KDTX3 Equity</t>
        </is>
      </c>
      <c r="B3192" t="inlineStr">
        <is>
          <t>TSLA US 12/19/25 P320</t>
        </is>
      </c>
      <c r="C3192" t="inlineStr">
        <is>
          <t>2025-12-19</t>
        </is>
      </c>
      <c r="D3192" t="n">
        <v>320</v>
      </c>
      <c r="E3192" t="inlineStr">
        <is>
          <t>BBG01G1KDTX3</t>
        </is>
      </c>
    </row>
    <row r="3193">
      <c r="A3193" t="inlineStr">
        <is>
          <t>BBG01TL4MM46 Equity</t>
        </is>
      </c>
      <c r="B3193" t="inlineStr">
        <is>
          <t>TSLA US 12/19/25 P325</t>
        </is>
      </c>
      <c r="C3193" t="inlineStr">
        <is>
          <t>2025-12-19</t>
        </is>
      </c>
      <c r="D3193" t="n">
        <v>325</v>
      </c>
      <c r="E3193" t="inlineStr">
        <is>
          <t>BBG01TL4MM46</t>
        </is>
      </c>
    </row>
    <row r="3194">
      <c r="A3194" t="inlineStr">
        <is>
          <t>BBG01G1KDW02 Equity</t>
        </is>
      </c>
      <c r="B3194" t="inlineStr">
        <is>
          <t>TSLA US 12/19/25 P330</t>
        </is>
      </c>
      <c r="C3194" t="inlineStr">
        <is>
          <t>2025-12-19</t>
        </is>
      </c>
      <c r="D3194" t="n">
        <v>330</v>
      </c>
      <c r="E3194" t="inlineStr">
        <is>
          <t>BBG01G1KDW02</t>
        </is>
      </c>
    </row>
    <row r="3195">
      <c r="A3195" t="inlineStr">
        <is>
          <t>BBG01TL4MJ25 Equity</t>
        </is>
      </c>
      <c r="B3195" t="inlineStr">
        <is>
          <t>TSLA US 12/19/25 P335</t>
        </is>
      </c>
      <c r="C3195" t="inlineStr">
        <is>
          <t>2025-12-19</t>
        </is>
      </c>
      <c r="D3195" t="n">
        <v>335</v>
      </c>
      <c r="E3195" t="inlineStr">
        <is>
          <t>BBG01TL4MJ25</t>
        </is>
      </c>
    </row>
    <row r="3196">
      <c r="A3196" t="inlineStr">
        <is>
          <t>BBG01G1KDX46 Equity</t>
        </is>
      </c>
      <c r="B3196" t="inlineStr">
        <is>
          <t>TSLA US 12/19/25 P340</t>
        </is>
      </c>
      <c r="C3196" t="inlineStr">
        <is>
          <t>2025-12-19</t>
        </is>
      </c>
      <c r="D3196" t="n">
        <v>340</v>
      </c>
      <c r="E3196" t="inlineStr">
        <is>
          <t>BBG01G1KDX46</t>
        </is>
      </c>
    </row>
    <row r="3197">
      <c r="A3197" t="inlineStr">
        <is>
          <t>BBG01TL4MMR1 Equity</t>
        </is>
      </c>
      <c r="B3197" t="inlineStr">
        <is>
          <t>TSLA US 12/19/25 P345</t>
        </is>
      </c>
      <c r="C3197" t="inlineStr">
        <is>
          <t>2025-12-19</t>
        </is>
      </c>
      <c r="D3197" t="n">
        <v>345</v>
      </c>
      <c r="E3197" t="inlineStr">
        <is>
          <t>BBG01TL4MMR1</t>
        </is>
      </c>
    </row>
    <row r="3198">
      <c r="A3198" t="inlineStr">
        <is>
          <t>BBG01G1KDY71 Equity</t>
        </is>
      </c>
      <c r="B3198" t="inlineStr">
        <is>
          <t>TSLA US 12/19/25 P350</t>
        </is>
      </c>
      <c r="C3198" t="inlineStr">
        <is>
          <t>2025-12-19</t>
        </is>
      </c>
      <c r="D3198" t="n">
        <v>350</v>
      </c>
      <c r="E3198" t="inlineStr">
        <is>
          <t>BBG01G1KDY71</t>
        </is>
      </c>
    </row>
    <row r="3199">
      <c r="A3199" t="inlineStr">
        <is>
          <t>BBG01XJSG8B7 Equity</t>
        </is>
      </c>
      <c r="B3199" t="inlineStr">
        <is>
          <t>TSLA US 12/19/25 P355</t>
        </is>
      </c>
      <c r="C3199" t="inlineStr">
        <is>
          <t>2025-12-19</t>
        </is>
      </c>
      <c r="D3199" t="n">
        <v>355</v>
      </c>
      <c r="E3199" t="inlineStr">
        <is>
          <t>BBG01XJSG8B7</t>
        </is>
      </c>
    </row>
    <row r="3200">
      <c r="A3200" t="inlineStr">
        <is>
          <t>BBG01G1KDZB3 Equity</t>
        </is>
      </c>
      <c r="B3200" t="inlineStr">
        <is>
          <t>TSLA US 12/19/25 P360</t>
        </is>
      </c>
      <c r="C3200" t="inlineStr">
        <is>
          <t>2025-12-19</t>
        </is>
      </c>
      <c r="D3200" t="n">
        <v>360</v>
      </c>
      <c r="E3200" t="inlineStr">
        <is>
          <t>BBG01G1KDZB3</t>
        </is>
      </c>
    </row>
    <row r="3201">
      <c r="A3201" t="inlineStr">
        <is>
          <t>BBG01XJSFXN0 Equity</t>
        </is>
      </c>
      <c r="B3201" t="inlineStr">
        <is>
          <t>TSLA US 12/19/25 P365</t>
        </is>
      </c>
      <c r="C3201" t="inlineStr">
        <is>
          <t>2025-12-19</t>
        </is>
      </c>
      <c r="D3201" t="n">
        <v>365</v>
      </c>
      <c r="E3201" t="inlineStr">
        <is>
          <t>BBG01XJSFXN0</t>
        </is>
      </c>
    </row>
    <row r="3202">
      <c r="A3202" t="inlineStr">
        <is>
          <t>BBG01G1KF0G3 Equity</t>
        </is>
      </c>
      <c r="B3202" t="inlineStr">
        <is>
          <t>TSLA US 12/19/25 P370</t>
        </is>
      </c>
      <c r="C3202" t="inlineStr">
        <is>
          <t>2025-12-19</t>
        </is>
      </c>
      <c r="D3202" t="n">
        <v>370</v>
      </c>
      <c r="E3202" t="inlineStr">
        <is>
          <t>BBG01G1KF0G3</t>
        </is>
      </c>
    </row>
    <row r="3203">
      <c r="A3203" t="inlineStr">
        <is>
          <t>BBG01XJSG8Y2 Equity</t>
        </is>
      </c>
      <c r="B3203" t="inlineStr">
        <is>
          <t>TSLA US 12/19/25 P375</t>
        </is>
      </c>
      <c r="C3203" t="inlineStr">
        <is>
          <t>2025-12-19</t>
        </is>
      </c>
      <c r="D3203" t="n">
        <v>375</v>
      </c>
      <c r="E3203" t="inlineStr">
        <is>
          <t>BBG01XJSG8Y2</t>
        </is>
      </c>
    </row>
    <row r="3204">
      <c r="A3204" t="inlineStr">
        <is>
          <t>BBG01G1KF1K6 Equity</t>
        </is>
      </c>
      <c r="B3204" t="inlineStr">
        <is>
          <t>TSLA US 12/19/25 P380</t>
        </is>
      </c>
      <c r="C3204" t="inlineStr">
        <is>
          <t>2025-12-19</t>
        </is>
      </c>
      <c r="D3204" t="n">
        <v>380</v>
      </c>
      <c r="E3204" t="inlineStr">
        <is>
          <t>BBG01G1KF1K6</t>
        </is>
      </c>
    </row>
    <row r="3205">
      <c r="A3205" t="inlineStr">
        <is>
          <t>BBG01XJSG7Q3 Equity</t>
        </is>
      </c>
      <c r="B3205" t="inlineStr">
        <is>
          <t>TSLA US 12/19/25 P385</t>
        </is>
      </c>
      <c r="C3205" t="inlineStr">
        <is>
          <t>2025-12-19</t>
        </is>
      </c>
      <c r="D3205" t="n">
        <v>385</v>
      </c>
      <c r="E3205" t="inlineStr">
        <is>
          <t>BBG01XJSG7Q3</t>
        </is>
      </c>
    </row>
    <row r="3206">
      <c r="A3206" t="inlineStr">
        <is>
          <t>BBG01G1KF2N1 Equity</t>
        </is>
      </c>
      <c r="B3206" t="inlineStr">
        <is>
          <t>TSLA US 12/19/25 P390</t>
        </is>
      </c>
      <c r="C3206" t="inlineStr">
        <is>
          <t>2025-12-19</t>
        </is>
      </c>
      <c r="D3206" t="n">
        <v>390</v>
      </c>
      <c r="E3206" t="inlineStr">
        <is>
          <t>BBG01G1KF2N1</t>
        </is>
      </c>
    </row>
    <row r="3207">
      <c r="A3207" t="inlineStr">
        <is>
          <t>BBG01XJSC894 Equity</t>
        </is>
      </c>
      <c r="B3207" t="inlineStr">
        <is>
          <t>TSLA US 12/19/25 P395</t>
        </is>
      </c>
      <c r="C3207" t="inlineStr">
        <is>
          <t>2025-12-19</t>
        </is>
      </c>
      <c r="D3207" t="n">
        <v>395</v>
      </c>
      <c r="E3207" t="inlineStr">
        <is>
          <t>BBG01XJSC894</t>
        </is>
      </c>
    </row>
    <row r="3208">
      <c r="A3208" t="inlineStr">
        <is>
          <t>BBG01GVRDR32 Equity</t>
        </is>
      </c>
      <c r="B3208" t="inlineStr">
        <is>
          <t>TSLA US 12/19/25 P400</t>
        </is>
      </c>
      <c r="C3208" t="inlineStr">
        <is>
          <t>2025-12-19</t>
        </is>
      </c>
      <c r="D3208" t="n">
        <v>400</v>
      </c>
      <c r="E3208" t="inlineStr">
        <is>
          <t>BBG01GVRDR32</t>
        </is>
      </c>
    </row>
    <row r="3209">
      <c r="A3209" t="inlineStr">
        <is>
          <t>BBG01GWGY6F5 Equity</t>
        </is>
      </c>
      <c r="B3209" t="inlineStr">
        <is>
          <t>TSLA US 12/19/25 P405</t>
        </is>
      </c>
      <c r="C3209" t="inlineStr">
        <is>
          <t>2025-12-19</t>
        </is>
      </c>
      <c r="D3209" t="n">
        <v>405</v>
      </c>
      <c r="E3209" t="inlineStr">
        <is>
          <t>BBG01GWGY6F5</t>
        </is>
      </c>
    </row>
    <row r="3210">
      <c r="A3210" t="inlineStr">
        <is>
          <t>BBG01GXF1555 Equity</t>
        </is>
      </c>
      <c r="B3210" t="inlineStr">
        <is>
          <t>TSLA US 12/19/25 P410</t>
        </is>
      </c>
      <c r="C3210" t="inlineStr">
        <is>
          <t>2025-12-19</t>
        </is>
      </c>
      <c r="D3210" t="n">
        <v>410</v>
      </c>
      <c r="E3210" t="inlineStr">
        <is>
          <t>BBG01GXF1555</t>
        </is>
      </c>
    </row>
    <row r="3211">
      <c r="A3211" t="inlineStr">
        <is>
          <t>BBG01XJSG738 Equity</t>
        </is>
      </c>
      <c r="B3211" t="inlineStr">
        <is>
          <t>TSLA US 12/19/25 P415</t>
        </is>
      </c>
      <c r="C3211" t="inlineStr">
        <is>
          <t>2025-12-19</t>
        </is>
      </c>
      <c r="D3211" t="n">
        <v>415</v>
      </c>
      <c r="E3211" t="inlineStr">
        <is>
          <t>BBG01XJSG738</t>
        </is>
      </c>
    </row>
    <row r="3212">
      <c r="A3212" t="inlineStr">
        <is>
          <t>BBG01GXF1699 Equity</t>
        </is>
      </c>
      <c r="B3212" t="inlineStr">
        <is>
          <t>TSLA US 12/19/25 P420</t>
        </is>
      </c>
      <c r="C3212" t="inlineStr">
        <is>
          <t>2025-12-19</t>
        </is>
      </c>
      <c r="D3212" t="n">
        <v>420</v>
      </c>
      <c r="E3212" t="inlineStr">
        <is>
          <t>BBG01GXF1699</t>
        </is>
      </c>
    </row>
    <row r="3213">
      <c r="A3213" t="inlineStr">
        <is>
          <t>BBG01GZR9YM7 Equity</t>
        </is>
      </c>
      <c r="B3213" t="inlineStr">
        <is>
          <t>TSLA US 12/19/25 P425</t>
        </is>
      </c>
      <c r="C3213" t="inlineStr">
        <is>
          <t>2025-12-19</t>
        </is>
      </c>
      <c r="D3213" t="n">
        <v>425</v>
      </c>
      <c r="E3213" t="inlineStr">
        <is>
          <t>BBG01GZR9YM7</t>
        </is>
      </c>
    </row>
    <row r="3214">
      <c r="A3214" t="inlineStr">
        <is>
          <t>BBG01GXF17D2 Equity</t>
        </is>
      </c>
      <c r="B3214" t="inlineStr">
        <is>
          <t>TSLA US 12/19/25 P430</t>
        </is>
      </c>
      <c r="C3214" t="inlineStr">
        <is>
          <t>2025-12-19</t>
        </is>
      </c>
      <c r="D3214" t="n">
        <v>430</v>
      </c>
      <c r="E3214" t="inlineStr">
        <is>
          <t>BBG01GXF17D2</t>
        </is>
      </c>
    </row>
    <row r="3215">
      <c r="A3215" t="inlineStr">
        <is>
          <t>BBG01XJSBQC1 Equity</t>
        </is>
      </c>
      <c r="B3215" t="inlineStr">
        <is>
          <t>TSLA US 12/19/25 P435</t>
        </is>
      </c>
      <c r="C3215" t="inlineStr">
        <is>
          <t>2025-12-19</t>
        </is>
      </c>
      <c r="D3215" t="n">
        <v>435</v>
      </c>
      <c r="E3215" t="inlineStr">
        <is>
          <t>BBG01XJSBQC1</t>
        </is>
      </c>
    </row>
    <row r="3216">
      <c r="A3216" t="inlineStr">
        <is>
          <t>BBG01GXQ0NH0 Equity</t>
        </is>
      </c>
      <c r="B3216" t="inlineStr">
        <is>
          <t>TSLA US 12/19/25 P440</t>
        </is>
      </c>
      <c r="C3216" t="inlineStr">
        <is>
          <t>2025-12-19</t>
        </is>
      </c>
      <c r="D3216" t="n">
        <v>440</v>
      </c>
      <c r="E3216" t="inlineStr">
        <is>
          <t>BBG01GXQ0NH0</t>
        </is>
      </c>
    </row>
    <row r="3217">
      <c r="A3217" t="inlineStr">
        <is>
          <t>BBG01XJSBRL9 Equity</t>
        </is>
      </c>
      <c r="B3217" t="inlineStr">
        <is>
          <t>TSLA US 12/19/25 P445</t>
        </is>
      </c>
      <c r="C3217" t="inlineStr">
        <is>
          <t>2025-12-19</t>
        </is>
      </c>
      <c r="D3217" t="n">
        <v>445</v>
      </c>
      <c r="E3217" t="inlineStr">
        <is>
          <t>BBG01XJSBRL9</t>
        </is>
      </c>
    </row>
    <row r="3218">
      <c r="A3218" t="inlineStr">
        <is>
          <t>BBG01GYSN3G5 Equity</t>
        </is>
      </c>
      <c r="B3218" t="inlineStr">
        <is>
          <t>TSLA US 12/19/25 P450</t>
        </is>
      </c>
      <c r="C3218" t="inlineStr">
        <is>
          <t>2025-12-19</t>
        </is>
      </c>
      <c r="D3218" t="n">
        <v>450</v>
      </c>
      <c r="E3218" t="inlineStr">
        <is>
          <t>BBG01GYSN3G5</t>
        </is>
      </c>
    </row>
    <row r="3219">
      <c r="A3219" t="inlineStr">
        <is>
          <t>BBG01XJSBQZ6 Equity</t>
        </is>
      </c>
      <c r="B3219" t="inlineStr">
        <is>
          <t>TSLA US 12/19/25 P455</t>
        </is>
      </c>
      <c r="C3219" t="inlineStr">
        <is>
          <t>2025-12-19</t>
        </is>
      </c>
      <c r="D3219" t="n">
        <v>455</v>
      </c>
      <c r="E3219" t="inlineStr">
        <is>
          <t>BBG01XJSBQZ6</t>
        </is>
      </c>
    </row>
    <row r="3220">
      <c r="A3220" t="inlineStr">
        <is>
          <t>BBG01GYSN4L7 Equity</t>
        </is>
      </c>
      <c r="B3220" t="inlineStr">
        <is>
          <t>TSLA US 12/19/25 P460</t>
        </is>
      </c>
      <c r="C3220" t="inlineStr">
        <is>
          <t>2025-12-19</t>
        </is>
      </c>
      <c r="D3220" t="n">
        <v>460</v>
      </c>
      <c r="E3220" t="inlineStr">
        <is>
          <t>BBG01GYSN4L7</t>
        </is>
      </c>
    </row>
    <row r="3221">
      <c r="A3221" t="inlineStr">
        <is>
          <t>BBG01XJSBPR7 Equity</t>
        </is>
      </c>
      <c r="B3221" t="inlineStr">
        <is>
          <t>TSLA US 12/19/25 P465</t>
        </is>
      </c>
      <c r="C3221" t="inlineStr">
        <is>
          <t>2025-12-19</t>
        </is>
      </c>
      <c r="D3221" t="n">
        <v>465</v>
      </c>
      <c r="E3221" t="inlineStr">
        <is>
          <t>BBG01XJSBPR7</t>
        </is>
      </c>
    </row>
    <row r="3222">
      <c r="A3222" t="inlineStr">
        <is>
          <t>BBG01GZR9ZQ0 Equity</t>
        </is>
      </c>
      <c r="B3222" t="inlineStr">
        <is>
          <t>TSLA US 12/19/25 P470</t>
        </is>
      </c>
      <c r="C3222" t="inlineStr">
        <is>
          <t>2025-12-19</t>
        </is>
      </c>
      <c r="D3222" t="n">
        <v>470</v>
      </c>
      <c r="E3222" t="inlineStr">
        <is>
          <t>BBG01GZR9ZQ0</t>
        </is>
      </c>
    </row>
    <row r="3223">
      <c r="A3223" t="inlineStr">
        <is>
          <t>BBG01GZRB0T1 Equity</t>
        </is>
      </c>
      <c r="B3223" t="inlineStr">
        <is>
          <t>TSLA US 12/19/25 P475</t>
        </is>
      </c>
      <c r="C3223" t="inlineStr">
        <is>
          <t>2025-12-19</t>
        </is>
      </c>
      <c r="D3223" t="n">
        <v>475</v>
      </c>
      <c r="E3223" t="inlineStr">
        <is>
          <t>BBG01GZRB0T1</t>
        </is>
      </c>
    </row>
    <row r="3224">
      <c r="A3224" t="inlineStr">
        <is>
          <t>BBG01GZRB1Y3 Equity</t>
        </is>
      </c>
      <c r="B3224" t="inlineStr">
        <is>
          <t>TSLA US 12/19/25 P480</t>
        </is>
      </c>
      <c r="C3224" t="inlineStr">
        <is>
          <t>2025-12-19</t>
        </is>
      </c>
      <c r="D3224" t="n">
        <v>480</v>
      </c>
      <c r="E3224" t="inlineStr">
        <is>
          <t>BBG01GZRB1Y3</t>
        </is>
      </c>
    </row>
    <row r="3225">
      <c r="A3225" t="inlineStr">
        <is>
          <t>BBG01XJSG3S0 Equity</t>
        </is>
      </c>
      <c r="B3225" t="inlineStr">
        <is>
          <t>TSLA US 12/19/25 P485</t>
        </is>
      </c>
      <c r="C3225" t="inlineStr">
        <is>
          <t>2025-12-19</t>
        </is>
      </c>
      <c r="D3225" t="n">
        <v>485</v>
      </c>
      <c r="E3225" t="inlineStr">
        <is>
          <t>BBG01XJSG3S0</t>
        </is>
      </c>
    </row>
    <row r="3226">
      <c r="A3226" t="inlineStr">
        <is>
          <t>BBG01GZRB315 Equity</t>
        </is>
      </c>
      <c r="B3226" t="inlineStr">
        <is>
          <t>TSLA US 12/19/25 P490</t>
        </is>
      </c>
      <c r="C3226" t="inlineStr">
        <is>
          <t>2025-12-19</t>
        </is>
      </c>
      <c r="D3226" t="n">
        <v>490</v>
      </c>
      <c r="E3226" t="inlineStr">
        <is>
          <t>BBG01GZRB315</t>
        </is>
      </c>
    </row>
    <row r="3227">
      <c r="A3227" t="inlineStr">
        <is>
          <t>BBG01XJSB4D9 Equity</t>
        </is>
      </c>
      <c r="B3227" t="inlineStr">
        <is>
          <t>TSLA US 12/19/25 P495</t>
        </is>
      </c>
      <c r="C3227" t="inlineStr">
        <is>
          <t>2025-12-19</t>
        </is>
      </c>
      <c r="D3227" t="n">
        <v>495</v>
      </c>
      <c r="E3227" t="inlineStr">
        <is>
          <t>BBG01XJSB4D9</t>
        </is>
      </c>
    </row>
    <row r="3228">
      <c r="A3228" t="inlineStr">
        <is>
          <t>BBG01GZRB440 Equity</t>
        </is>
      </c>
      <c r="B3228" t="inlineStr">
        <is>
          <t>TSLA US 12/19/25 P500</t>
        </is>
      </c>
      <c r="C3228" t="inlineStr">
        <is>
          <t>2025-12-19</t>
        </is>
      </c>
      <c r="D3228" t="n">
        <v>500</v>
      </c>
      <c r="E3228" t="inlineStr">
        <is>
          <t>BBG01GZRB440</t>
        </is>
      </c>
    </row>
    <row r="3229">
      <c r="A3229" t="inlineStr">
        <is>
          <t>BBG01XJSBVW8 Equity</t>
        </is>
      </c>
      <c r="B3229" t="inlineStr">
        <is>
          <t>TSLA US 12/19/25 P505</t>
        </is>
      </c>
      <c r="C3229" t="inlineStr">
        <is>
          <t>2025-12-19</t>
        </is>
      </c>
      <c r="D3229" t="n">
        <v>505</v>
      </c>
      <c r="E3229" t="inlineStr">
        <is>
          <t>BBG01XJSBVW8</t>
        </is>
      </c>
    </row>
    <row r="3230">
      <c r="A3230" t="inlineStr">
        <is>
          <t>BBG01H458MB6 Equity</t>
        </is>
      </c>
      <c r="B3230" t="inlineStr">
        <is>
          <t>TSLA US 12/19/25 P510</t>
        </is>
      </c>
      <c r="C3230" t="inlineStr">
        <is>
          <t>2025-12-19</t>
        </is>
      </c>
      <c r="D3230" t="n">
        <v>510</v>
      </c>
      <c r="E3230" t="inlineStr">
        <is>
          <t>BBG01H458MB6</t>
        </is>
      </c>
    </row>
    <row r="3231">
      <c r="A3231" t="inlineStr">
        <is>
          <t>BBG01XJSBSF4 Equity</t>
        </is>
      </c>
      <c r="B3231" t="inlineStr">
        <is>
          <t>TSLA US 12/19/25 P515</t>
        </is>
      </c>
      <c r="C3231" t="inlineStr">
        <is>
          <t>2025-12-19</t>
        </is>
      </c>
      <c r="D3231" t="n">
        <v>515</v>
      </c>
      <c r="E3231" t="inlineStr">
        <is>
          <t>BBG01XJSBSF4</t>
        </is>
      </c>
    </row>
    <row r="3232">
      <c r="A3232" t="inlineStr">
        <is>
          <t>BBG01H458NG9 Equity</t>
        </is>
      </c>
      <c r="B3232" t="inlineStr">
        <is>
          <t>TSLA US 12/19/25 P520</t>
        </is>
      </c>
      <c r="C3232" t="inlineStr">
        <is>
          <t>2025-12-19</t>
        </is>
      </c>
      <c r="D3232" t="n">
        <v>520</v>
      </c>
      <c r="E3232" t="inlineStr">
        <is>
          <t>BBG01H458NG9</t>
        </is>
      </c>
    </row>
    <row r="3233">
      <c r="A3233" t="inlineStr">
        <is>
          <t>BBG01XJSBV85 Equity</t>
        </is>
      </c>
      <c r="B3233" t="inlineStr">
        <is>
          <t>TSLA US 12/19/25 P525</t>
        </is>
      </c>
      <c r="C3233" t="inlineStr">
        <is>
          <t>2025-12-19</t>
        </is>
      </c>
      <c r="D3233" t="n">
        <v>525</v>
      </c>
      <c r="E3233" t="inlineStr">
        <is>
          <t>BBG01XJSBV85</t>
        </is>
      </c>
    </row>
    <row r="3234">
      <c r="A3234" t="inlineStr">
        <is>
          <t>BBG01H458PK9 Equity</t>
        </is>
      </c>
      <c r="B3234" t="inlineStr">
        <is>
          <t>TSLA US 12/19/25 P530</t>
        </is>
      </c>
      <c r="C3234" t="inlineStr">
        <is>
          <t>2025-12-19</t>
        </is>
      </c>
      <c r="D3234" t="n">
        <v>530</v>
      </c>
      <c r="E3234" t="inlineStr">
        <is>
          <t>BBG01H458PK9</t>
        </is>
      </c>
    </row>
    <row r="3235">
      <c r="A3235" t="inlineStr">
        <is>
          <t>BBG01XJSFX14 Equity</t>
        </is>
      </c>
      <c r="B3235" t="inlineStr">
        <is>
          <t>TSLA US 12/19/25 P535</t>
        </is>
      </c>
      <c r="C3235" t="inlineStr">
        <is>
          <t>2025-12-19</t>
        </is>
      </c>
      <c r="D3235" t="n">
        <v>535</v>
      </c>
      <c r="E3235" t="inlineStr">
        <is>
          <t>BBG01XJSFX14</t>
        </is>
      </c>
    </row>
    <row r="3236">
      <c r="A3236" t="inlineStr">
        <is>
          <t>BBG01H458QN4 Equity</t>
        </is>
      </c>
      <c r="B3236" t="inlineStr">
        <is>
          <t>TSLA US 12/19/25 P540</t>
        </is>
      </c>
      <c r="C3236" t="inlineStr">
        <is>
          <t>2025-12-19</t>
        </is>
      </c>
      <c r="D3236" t="n">
        <v>540</v>
      </c>
      <c r="E3236" t="inlineStr">
        <is>
          <t>BBG01H458QN4</t>
        </is>
      </c>
    </row>
    <row r="3237">
      <c r="A3237" t="inlineStr">
        <is>
          <t>BBG01XJSBT17 Equity</t>
        </is>
      </c>
      <c r="B3237" t="inlineStr">
        <is>
          <t>TSLA US 12/19/25 P545</t>
        </is>
      </c>
      <c r="C3237" t="inlineStr">
        <is>
          <t>2025-12-19</t>
        </is>
      </c>
      <c r="D3237" t="n">
        <v>545</v>
      </c>
      <c r="E3237" t="inlineStr">
        <is>
          <t>BBG01XJSBT17</t>
        </is>
      </c>
    </row>
    <row r="3238">
      <c r="A3238" t="inlineStr">
        <is>
          <t>BBG01H4VLC71 Equity</t>
        </is>
      </c>
      <c r="B3238" t="inlineStr">
        <is>
          <t>TSLA US 12/19/25 P550</t>
        </is>
      </c>
      <c r="C3238" t="inlineStr">
        <is>
          <t>2025-12-19</t>
        </is>
      </c>
      <c r="D3238" t="n">
        <v>550</v>
      </c>
      <c r="E3238" t="inlineStr">
        <is>
          <t>BBG01H4VLC71</t>
        </is>
      </c>
    </row>
    <row r="3239">
      <c r="A3239" t="inlineStr">
        <is>
          <t>BBG01XJSBTN3 Equity</t>
        </is>
      </c>
      <c r="B3239" t="inlineStr">
        <is>
          <t>TSLA US 12/19/25 P555</t>
        </is>
      </c>
      <c r="C3239" t="inlineStr">
        <is>
          <t>2025-12-19</t>
        </is>
      </c>
      <c r="D3239" t="n">
        <v>555</v>
      </c>
      <c r="E3239" t="inlineStr">
        <is>
          <t>BBG01XJSBTN3</t>
        </is>
      </c>
    </row>
    <row r="3240">
      <c r="A3240" t="inlineStr">
        <is>
          <t>BBG01HC543K3 Equity</t>
        </is>
      </c>
      <c r="B3240" t="inlineStr">
        <is>
          <t>TSLA US 12/19/25 P560</t>
        </is>
      </c>
      <c r="C3240" t="inlineStr">
        <is>
          <t>2025-12-19</t>
        </is>
      </c>
      <c r="D3240" t="n">
        <v>560</v>
      </c>
      <c r="E3240" t="inlineStr">
        <is>
          <t>BBG01HC543K3</t>
        </is>
      </c>
    </row>
    <row r="3241">
      <c r="A3241" t="inlineStr">
        <is>
          <t>BBG01XJSFT77 Equity</t>
        </is>
      </c>
      <c r="B3241" t="inlineStr">
        <is>
          <t>TSLA US 12/19/25 P565</t>
        </is>
      </c>
      <c r="C3241" t="inlineStr">
        <is>
          <t>2025-12-19</t>
        </is>
      </c>
      <c r="D3241" t="n">
        <v>565</v>
      </c>
      <c r="E3241" t="inlineStr">
        <is>
          <t>BBG01XJSFT77</t>
        </is>
      </c>
    </row>
    <row r="3242">
      <c r="A3242" t="inlineStr">
        <is>
          <t>BBG01QPLKVP9 Equity</t>
        </is>
      </c>
      <c r="B3242" t="inlineStr">
        <is>
          <t>TSLA US 12/19/25 P570</t>
        </is>
      </c>
      <c r="C3242" t="inlineStr">
        <is>
          <t>2025-12-19</t>
        </is>
      </c>
      <c r="D3242" t="n">
        <v>570</v>
      </c>
      <c r="E3242" t="inlineStr">
        <is>
          <t>BBG01QPLKVP9</t>
        </is>
      </c>
    </row>
    <row r="3243">
      <c r="A3243" t="inlineStr">
        <is>
          <t>BBG01XJSFTV0 Equity</t>
        </is>
      </c>
      <c r="B3243" t="inlineStr">
        <is>
          <t>TSLA US 12/19/25 P575</t>
        </is>
      </c>
      <c r="C3243" t="inlineStr">
        <is>
          <t>2025-12-19</t>
        </is>
      </c>
      <c r="D3243" t="n">
        <v>575</v>
      </c>
      <c r="E3243" t="inlineStr">
        <is>
          <t>BBG01XJSFTV0</t>
        </is>
      </c>
    </row>
    <row r="3244">
      <c r="A3244" t="inlineStr">
        <is>
          <t>BBG01QR8LPX9 Equity</t>
        </is>
      </c>
      <c r="B3244" t="inlineStr">
        <is>
          <t>TSLA US 12/19/25 P580</t>
        </is>
      </c>
      <c r="C3244" t="inlineStr">
        <is>
          <t>2025-12-19</t>
        </is>
      </c>
      <c r="D3244" t="n">
        <v>580</v>
      </c>
      <c r="E3244" t="inlineStr">
        <is>
          <t>BBG01QR8LPX9</t>
        </is>
      </c>
    </row>
    <row r="3245">
      <c r="A3245" t="inlineStr">
        <is>
          <t>BBG01XJS3G23 Equity</t>
        </is>
      </c>
      <c r="B3245" t="inlineStr">
        <is>
          <t>TSLA US 12/19/25 P585</t>
        </is>
      </c>
      <c r="C3245" t="inlineStr">
        <is>
          <t>2025-12-19</t>
        </is>
      </c>
      <c r="D3245" t="n">
        <v>585</v>
      </c>
      <c r="E3245" t="inlineStr">
        <is>
          <t>BBG01XJS3G23</t>
        </is>
      </c>
    </row>
    <row r="3246">
      <c r="A3246" t="inlineStr">
        <is>
          <t>BBG01QR8MHZ4 Equity</t>
        </is>
      </c>
      <c r="B3246" t="inlineStr">
        <is>
          <t>TSLA US 12/19/25 P590</t>
        </is>
      </c>
      <c r="C3246" t="inlineStr">
        <is>
          <t>2025-12-19</t>
        </is>
      </c>
      <c r="D3246" t="n">
        <v>590</v>
      </c>
      <c r="E3246" t="inlineStr">
        <is>
          <t>BBG01QR8MHZ4</t>
        </is>
      </c>
    </row>
    <row r="3247">
      <c r="A3247" t="inlineStr">
        <is>
          <t>BBG01XJS3GP8 Equity</t>
        </is>
      </c>
      <c r="B3247" t="inlineStr">
        <is>
          <t>TSLA US 12/19/25 P595</t>
        </is>
      </c>
      <c r="C3247" t="inlineStr">
        <is>
          <t>2025-12-19</t>
        </is>
      </c>
      <c r="D3247" t="n">
        <v>595</v>
      </c>
      <c r="E3247" t="inlineStr">
        <is>
          <t>BBG01XJS3GP8</t>
        </is>
      </c>
    </row>
    <row r="3248">
      <c r="A3248" t="inlineStr">
        <is>
          <t>BBG01J8XBMX9 Equity</t>
        </is>
      </c>
      <c r="B3248" t="inlineStr">
        <is>
          <t>TSLA US 01/16/26 P360</t>
        </is>
      </c>
      <c r="C3248" t="inlineStr">
        <is>
          <t>2026-01-16</t>
        </is>
      </c>
      <c r="D3248" t="n">
        <v>360</v>
      </c>
      <c r="E3248" t="inlineStr">
        <is>
          <t>BBG01J8XBMX9</t>
        </is>
      </c>
    </row>
    <row r="3249">
      <c r="A3249" t="inlineStr">
        <is>
          <t>BBG01ZCH3L55 Equity</t>
        </is>
      </c>
      <c r="B3249" t="inlineStr">
        <is>
          <t>TSLA US 01/16/26 P362.5</t>
        </is>
      </c>
      <c r="C3249" t="inlineStr">
        <is>
          <t>2026-01-16</t>
        </is>
      </c>
      <c r="D3249" t="n">
        <v>362.5</v>
      </c>
      <c r="E3249" t="inlineStr">
        <is>
          <t>BBG01ZCH3L55</t>
        </is>
      </c>
    </row>
    <row r="3250">
      <c r="A3250" t="inlineStr">
        <is>
          <t>BBG01Y31W5W6 Equity</t>
        </is>
      </c>
      <c r="B3250" t="inlineStr">
        <is>
          <t>TSLA US 01/16/26 P365</t>
        </is>
      </c>
      <c r="C3250" t="inlineStr">
        <is>
          <t>2026-01-16</t>
        </is>
      </c>
      <c r="D3250" t="n">
        <v>365</v>
      </c>
      <c r="E3250" t="inlineStr">
        <is>
          <t>BBG01Y31W5W6</t>
        </is>
      </c>
    </row>
    <row r="3251">
      <c r="A3251" t="inlineStr">
        <is>
          <t>BBG01ZCH3R25 Equity</t>
        </is>
      </c>
      <c r="B3251" t="inlineStr">
        <is>
          <t>TSLA US 01/16/26 P367.5</t>
        </is>
      </c>
      <c r="C3251" t="inlineStr">
        <is>
          <t>2026-01-16</t>
        </is>
      </c>
      <c r="D3251" t="n">
        <v>367.5</v>
      </c>
      <c r="E3251" t="inlineStr">
        <is>
          <t>BBG01ZCH3R25</t>
        </is>
      </c>
    </row>
    <row r="3252">
      <c r="A3252" t="inlineStr">
        <is>
          <t>BBG01J8XBP17 Equity</t>
        </is>
      </c>
      <c r="B3252" t="inlineStr">
        <is>
          <t>TSLA US 01/16/26 P370</t>
        </is>
      </c>
      <c r="C3252" t="inlineStr">
        <is>
          <t>2026-01-16</t>
        </is>
      </c>
      <c r="D3252" t="n">
        <v>370</v>
      </c>
      <c r="E3252" t="inlineStr">
        <is>
          <t>BBG01J8XBP17</t>
        </is>
      </c>
    </row>
    <row r="3253">
      <c r="A3253" t="inlineStr">
        <is>
          <t>BBG01ZCH4871 Equity</t>
        </is>
      </c>
      <c r="B3253" t="inlineStr">
        <is>
          <t>TSLA US 01/16/26 P372.5</t>
        </is>
      </c>
      <c r="C3253" t="inlineStr">
        <is>
          <t>2026-01-16</t>
        </is>
      </c>
      <c r="D3253" t="n">
        <v>372.5</v>
      </c>
      <c r="E3253" t="inlineStr">
        <is>
          <t>BBG01ZCH4871</t>
        </is>
      </c>
    </row>
    <row r="3254">
      <c r="A3254" t="inlineStr">
        <is>
          <t>BBG01Y31RF69 Equity</t>
        </is>
      </c>
      <c r="B3254" t="inlineStr">
        <is>
          <t>TSLA US 01/16/26 P375</t>
        </is>
      </c>
      <c r="C3254" t="inlineStr">
        <is>
          <t>2026-01-16</t>
        </is>
      </c>
      <c r="D3254" t="n">
        <v>375</v>
      </c>
      <c r="E3254" t="inlineStr">
        <is>
          <t>BBG01Y31RF69</t>
        </is>
      </c>
    </row>
    <row r="3255">
      <c r="A3255" t="inlineStr">
        <is>
          <t>BBG01ZCH3SX9 Equity</t>
        </is>
      </c>
      <c r="B3255" t="inlineStr">
        <is>
          <t>TSLA US 01/16/26 P377.5</t>
        </is>
      </c>
      <c r="C3255" t="inlineStr">
        <is>
          <t>2026-01-16</t>
        </is>
      </c>
      <c r="D3255" t="n">
        <v>377.5</v>
      </c>
      <c r="E3255" t="inlineStr">
        <is>
          <t>BBG01ZCH3SX9</t>
        </is>
      </c>
    </row>
    <row r="3256">
      <c r="A3256" t="inlineStr">
        <is>
          <t>BBG01J8XBQ42 Equity</t>
        </is>
      </c>
      <c r="B3256" t="inlineStr">
        <is>
          <t>TSLA US 01/16/26 P380</t>
        </is>
      </c>
      <c r="C3256" t="inlineStr">
        <is>
          <t>2026-01-16</t>
        </is>
      </c>
      <c r="D3256" t="n">
        <v>380</v>
      </c>
      <c r="E3256" t="inlineStr">
        <is>
          <t>BBG01J8XBQ42</t>
        </is>
      </c>
    </row>
    <row r="3257">
      <c r="A3257" t="inlineStr">
        <is>
          <t>BBG01ZCH48V4 Equity</t>
        </is>
      </c>
      <c r="B3257" t="inlineStr">
        <is>
          <t>TSLA US 01/16/26 P382.5</t>
        </is>
      </c>
      <c r="C3257" t="inlineStr">
        <is>
          <t>2026-01-16</t>
        </is>
      </c>
      <c r="D3257" t="n">
        <v>382.5</v>
      </c>
      <c r="E3257" t="inlineStr">
        <is>
          <t>BBG01ZCH48V4</t>
        </is>
      </c>
    </row>
    <row r="3258">
      <c r="A3258" t="inlineStr">
        <is>
          <t>BBG01Y31RDL7 Equity</t>
        </is>
      </c>
      <c r="B3258" t="inlineStr">
        <is>
          <t>TSLA US 01/16/26 P385</t>
        </is>
      </c>
      <c r="C3258" t="inlineStr">
        <is>
          <t>2026-01-16</t>
        </is>
      </c>
      <c r="D3258" t="n">
        <v>385</v>
      </c>
      <c r="E3258" t="inlineStr">
        <is>
          <t>BBG01Y31RDL7</t>
        </is>
      </c>
    </row>
    <row r="3259">
      <c r="A3259" t="inlineStr">
        <is>
          <t>BBG01ZCH3LS0 Equity</t>
        </is>
      </c>
      <c r="B3259" t="inlineStr">
        <is>
          <t>TSLA US 01/16/26 P387.5</t>
        </is>
      </c>
      <c r="C3259" t="inlineStr">
        <is>
          <t>2026-01-16</t>
        </is>
      </c>
      <c r="D3259" t="n">
        <v>387.5</v>
      </c>
      <c r="E3259" t="inlineStr">
        <is>
          <t>BBG01ZCH3LS0</t>
        </is>
      </c>
    </row>
    <row r="3260">
      <c r="A3260" t="inlineStr">
        <is>
          <t>BBG01J8XBR77 Equity</t>
        </is>
      </c>
      <c r="B3260" t="inlineStr">
        <is>
          <t>TSLA US 01/16/26 P390</t>
        </is>
      </c>
      <c r="C3260" t="inlineStr">
        <is>
          <t>2026-01-16</t>
        </is>
      </c>
      <c r="D3260" t="n">
        <v>390</v>
      </c>
      <c r="E3260" t="inlineStr">
        <is>
          <t>BBG01J8XBR77</t>
        </is>
      </c>
    </row>
    <row r="3261">
      <c r="A3261" t="inlineStr">
        <is>
          <t>BBG01ZCH7GK5 Equity</t>
        </is>
      </c>
      <c r="B3261" t="inlineStr">
        <is>
          <t>TSLA US 01/16/26 P392.5</t>
        </is>
      </c>
      <c r="C3261" t="inlineStr">
        <is>
          <t>2026-01-16</t>
        </is>
      </c>
      <c r="D3261" t="n">
        <v>392.5</v>
      </c>
      <c r="E3261" t="inlineStr">
        <is>
          <t>BBG01ZCH7GK5</t>
        </is>
      </c>
    </row>
    <row r="3262">
      <c r="A3262" t="inlineStr">
        <is>
          <t>BBG01Y31VN58 Equity</t>
        </is>
      </c>
      <c r="B3262" t="inlineStr">
        <is>
          <t>TSLA US 01/16/26 P395</t>
        </is>
      </c>
      <c r="C3262" t="inlineStr">
        <is>
          <t>2026-01-16</t>
        </is>
      </c>
      <c r="D3262" t="n">
        <v>395</v>
      </c>
      <c r="E3262" t="inlineStr">
        <is>
          <t>BBG01Y31VN58</t>
        </is>
      </c>
    </row>
    <row r="3263">
      <c r="A3263" t="inlineStr">
        <is>
          <t>BBG01ZCH7L06 Equity</t>
        </is>
      </c>
      <c r="B3263" t="inlineStr">
        <is>
          <t>TSLA US 01/16/26 P397.5</t>
        </is>
      </c>
      <c r="C3263" t="inlineStr">
        <is>
          <t>2026-01-16</t>
        </is>
      </c>
      <c r="D3263" t="n">
        <v>397.5</v>
      </c>
      <c r="E3263" t="inlineStr">
        <is>
          <t>BBG01ZCH7L06</t>
        </is>
      </c>
    </row>
    <row r="3264">
      <c r="A3264" t="inlineStr">
        <is>
          <t>BBG01J8XBSC9 Equity</t>
        </is>
      </c>
      <c r="B3264" t="inlineStr">
        <is>
          <t>TSLA US 01/16/26 P400</t>
        </is>
      </c>
      <c r="C3264" t="inlineStr">
        <is>
          <t>2026-01-16</t>
        </is>
      </c>
      <c r="D3264" t="n">
        <v>400</v>
      </c>
      <c r="E3264" t="inlineStr">
        <is>
          <t>BBG01J8XBSC9</t>
        </is>
      </c>
    </row>
    <row r="3265">
      <c r="A3265" t="inlineStr">
        <is>
          <t>BBG01ZCH6GR9 Equity</t>
        </is>
      </c>
      <c r="B3265" t="inlineStr">
        <is>
          <t>TSLA US 01/16/26 P402.5</t>
        </is>
      </c>
      <c r="C3265" t="inlineStr">
        <is>
          <t>2026-01-16</t>
        </is>
      </c>
      <c r="D3265" t="n">
        <v>402.5</v>
      </c>
      <c r="E3265" t="inlineStr">
        <is>
          <t>BBG01ZCH6GR9</t>
        </is>
      </c>
    </row>
    <row r="3266">
      <c r="A3266" t="inlineStr">
        <is>
          <t>BBG01Y31RL20 Equity</t>
        </is>
      </c>
      <c r="B3266" t="inlineStr">
        <is>
          <t>TSLA US 01/16/26 P405</t>
        </is>
      </c>
      <c r="C3266" t="inlineStr">
        <is>
          <t>2026-01-16</t>
        </is>
      </c>
      <c r="D3266" t="n">
        <v>405</v>
      </c>
      <c r="E3266" t="inlineStr">
        <is>
          <t>BBG01Y31RL20</t>
        </is>
      </c>
    </row>
    <row r="3267">
      <c r="A3267" t="inlineStr">
        <is>
          <t>BBG01ZCH6YB7 Equity</t>
        </is>
      </c>
      <c r="B3267" t="inlineStr">
        <is>
          <t>TSLA US 01/16/26 P407.5</t>
        </is>
      </c>
      <c r="C3267" t="inlineStr">
        <is>
          <t>2026-01-16</t>
        </is>
      </c>
      <c r="D3267" t="n">
        <v>407.5</v>
      </c>
      <c r="E3267" t="inlineStr">
        <is>
          <t>BBG01ZCH6YB7</t>
        </is>
      </c>
    </row>
    <row r="3268">
      <c r="A3268" t="inlineStr">
        <is>
          <t>BBG01J8XBTG3 Equity</t>
        </is>
      </c>
      <c r="B3268" t="inlineStr">
        <is>
          <t>TSLA US 01/16/26 P410</t>
        </is>
      </c>
      <c r="C3268" t="inlineStr">
        <is>
          <t>2026-01-16</t>
        </is>
      </c>
      <c r="D3268" t="n">
        <v>410</v>
      </c>
      <c r="E3268" t="inlineStr">
        <is>
          <t>BBG01J8XBTG3</t>
        </is>
      </c>
    </row>
    <row r="3269">
      <c r="A3269" t="inlineStr">
        <is>
          <t>BBG01ZCH6HZ8 Equity</t>
        </is>
      </c>
      <c r="B3269" t="inlineStr">
        <is>
          <t>TSLA US 01/16/26 P412.5</t>
        </is>
      </c>
      <c r="C3269" t="inlineStr">
        <is>
          <t>2026-01-16</t>
        </is>
      </c>
      <c r="D3269" t="n">
        <v>412.5</v>
      </c>
      <c r="E3269" t="inlineStr">
        <is>
          <t>BBG01ZCH6HZ8</t>
        </is>
      </c>
    </row>
    <row r="3270">
      <c r="A3270" t="inlineStr">
        <is>
          <t>BBG01Y31RKG7 Equity</t>
        </is>
      </c>
      <c r="B3270" t="inlineStr">
        <is>
          <t>TSLA US 01/16/26 P415</t>
        </is>
      </c>
      <c r="C3270" t="inlineStr">
        <is>
          <t>2026-01-16</t>
        </is>
      </c>
      <c r="D3270" t="n">
        <v>415</v>
      </c>
      <c r="E3270" t="inlineStr">
        <is>
          <t>BBG01Y31RKG7</t>
        </is>
      </c>
    </row>
    <row r="3271">
      <c r="A3271" t="inlineStr">
        <is>
          <t>BBG01ZCH3PV7 Equity</t>
        </is>
      </c>
      <c r="B3271" t="inlineStr">
        <is>
          <t>TSLA US 01/16/26 P417.5</t>
        </is>
      </c>
      <c r="C3271" t="inlineStr">
        <is>
          <t>2026-01-16</t>
        </is>
      </c>
      <c r="D3271" t="n">
        <v>417.5</v>
      </c>
      <c r="E3271" t="inlineStr">
        <is>
          <t>BBG01ZCH3PV7</t>
        </is>
      </c>
    </row>
    <row r="3272">
      <c r="A3272" t="inlineStr">
        <is>
          <t>BBG01J8XBVK3 Equity</t>
        </is>
      </c>
      <c r="B3272" t="inlineStr">
        <is>
          <t>TSLA US 01/16/26 P420</t>
        </is>
      </c>
      <c r="C3272" t="inlineStr">
        <is>
          <t>2026-01-16</t>
        </is>
      </c>
      <c r="D3272" t="n">
        <v>420</v>
      </c>
      <c r="E3272" t="inlineStr">
        <is>
          <t>BBG01J8XBVK3</t>
        </is>
      </c>
    </row>
    <row r="3273">
      <c r="A3273" t="inlineStr">
        <is>
          <t>BBG01ZCH3RP0 Equity</t>
        </is>
      </c>
      <c r="B3273" t="inlineStr">
        <is>
          <t>TSLA US 01/16/26 P422.5</t>
        </is>
      </c>
      <c r="C3273" t="inlineStr">
        <is>
          <t>2026-01-16</t>
        </is>
      </c>
      <c r="D3273" t="n">
        <v>422.5</v>
      </c>
      <c r="E3273" t="inlineStr">
        <is>
          <t>BBG01ZCH3RP0</t>
        </is>
      </c>
    </row>
    <row r="3274">
      <c r="A3274" t="inlineStr">
        <is>
          <t>BBG01Y31RJV3 Equity</t>
        </is>
      </c>
      <c r="B3274" t="inlineStr">
        <is>
          <t>TSLA US 01/16/26 P425</t>
        </is>
      </c>
      <c r="C3274" t="inlineStr">
        <is>
          <t>2026-01-16</t>
        </is>
      </c>
      <c r="D3274" t="n">
        <v>425</v>
      </c>
      <c r="E3274" t="inlineStr">
        <is>
          <t>BBG01Y31RJV3</t>
        </is>
      </c>
    </row>
    <row r="3275">
      <c r="A3275" t="inlineStr">
        <is>
          <t>BBG01ZCH3S96 Equity</t>
        </is>
      </c>
      <c r="B3275" t="inlineStr">
        <is>
          <t>TSLA US 01/16/26 P427.5</t>
        </is>
      </c>
      <c r="C3275" t="inlineStr">
        <is>
          <t>2026-01-16</t>
        </is>
      </c>
      <c r="D3275" t="n">
        <v>427.5</v>
      </c>
      <c r="E3275" t="inlineStr">
        <is>
          <t>BBG01ZCH3S96</t>
        </is>
      </c>
    </row>
    <row r="3276">
      <c r="A3276" t="inlineStr">
        <is>
          <t>BBG01J8XBWP6 Equity</t>
        </is>
      </c>
      <c r="B3276" t="inlineStr">
        <is>
          <t>TSLA US 01/16/26 P430</t>
        </is>
      </c>
      <c r="C3276" t="inlineStr">
        <is>
          <t>2026-01-16</t>
        </is>
      </c>
      <c r="D3276" t="n">
        <v>430</v>
      </c>
      <c r="E3276" t="inlineStr">
        <is>
          <t>BBG01J8XBWP6</t>
        </is>
      </c>
    </row>
    <row r="3277">
      <c r="A3277" t="inlineStr">
        <is>
          <t>BBG01ZCH3P74 Equity</t>
        </is>
      </c>
      <c r="B3277" t="inlineStr">
        <is>
          <t>TSLA US 01/16/26 P432.5</t>
        </is>
      </c>
      <c r="C3277" t="inlineStr">
        <is>
          <t>2026-01-16</t>
        </is>
      </c>
      <c r="D3277" t="n">
        <v>432.5</v>
      </c>
      <c r="E3277" t="inlineStr">
        <is>
          <t>BBG01ZCH3P74</t>
        </is>
      </c>
    </row>
    <row r="3278">
      <c r="A3278" t="inlineStr">
        <is>
          <t>BBG01Y31RFT4 Equity</t>
        </is>
      </c>
      <c r="B3278" t="inlineStr">
        <is>
          <t>TSLA US 01/16/26 P435</t>
        </is>
      </c>
      <c r="C3278" t="inlineStr">
        <is>
          <t>2026-01-16</t>
        </is>
      </c>
      <c r="D3278" t="n">
        <v>435</v>
      </c>
      <c r="E3278" t="inlineStr">
        <is>
          <t>BBG01Y31RFT4</t>
        </is>
      </c>
    </row>
    <row r="3279">
      <c r="A3279" t="inlineStr">
        <is>
          <t>BBG01ZCH6G44 Equity</t>
        </is>
      </c>
      <c r="B3279" t="inlineStr">
        <is>
          <t>TSLA US 01/16/26 P437.5</t>
        </is>
      </c>
      <c r="C3279" t="inlineStr">
        <is>
          <t>2026-01-16</t>
        </is>
      </c>
      <c r="D3279" t="n">
        <v>437.5</v>
      </c>
      <c r="E3279" t="inlineStr">
        <is>
          <t>BBG01ZCH6G44</t>
        </is>
      </c>
    </row>
    <row r="3280">
      <c r="A3280" t="inlineStr">
        <is>
          <t>BBG01J8XBXS1 Equity</t>
        </is>
      </c>
      <c r="B3280" t="inlineStr">
        <is>
          <t>TSLA US 01/16/26 P440</t>
        </is>
      </c>
      <c r="C3280" t="inlineStr">
        <is>
          <t>2026-01-16</t>
        </is>
      </c>
      <c r="D3280" t="n">
        <v>440</v>
      </c>
      <c r="E3280" t="inlineStr">
        <is>
          <t>BBG01J8XBXS1</t>
        </is>
      </c>
    </row>
    <row r="3281">
      <c r="A3281" t="inlineStr">
        <is>
          <t>BBG01ZCH3KK0 Equity</t>
        </is>
      </c>
      <c r="B3281" t="inlineStr">
        <is>
          <t>TSLA US 01/16/26 P442.5</t>
        </is>
      </c>
      <c r="C3281" t="inlineStr">
        <is>
          <t>2026-01-16</t>
        </is>
      </c>
      <c r="D3281" t="n">
        <v>442.5</v>
      </c>
      <c r="E3281" t="inlineStr">
        <is>
          <t>BBG01ZCH3KK0</t>
        </is>
      </c>
    </row>
    <row r="3282">
      <c r="A3282" t="inlineStr">
        <is>
          <t>BBG01Y31WC51 Equity</t>
        </is>
      </c>
      <c r="B3282" t="inlineStr">
        <is>
          <t>TSLA US 01/16/26 P445</t>
        </is>
      </c>
      <c r="C3282" t="inlineStr">
        <is>
          <t>2026-01-16</t>
        </is>
      </c>
      <c r="D3282" t="n">
        <v>445</v>
      </c>
      <c r="E3282" t="inlineStr">
        <is>
          <t>BBG01Y31WC51</t>
        </is>
      </c>
    </row>
    <row r="3283">
      <c r="A3283" t="inlineStr">
        <is>
          <t>BBG01ZCH3MD4 Equity</t>
        </is>
      </c>
      <c r="B3283" t="inlineStr">
        <is>
          <t>TSLA US 01/16/26 P447.5</t>
        </is>
      </c>
      <c r="C3283" t="inlineStr">
        <is>
          <t>2026-01-16</t>
        </is>
      </c>
      <c r="D3283" t="n">
        <v>447.5</v>
      </c>
      <c r="E3283" t="inlineStr">
        <is>
          <t>BBG01ZCH3MD4</t>
        </is>
      </c>
    </row>
    <row r="3284">
      <c r="A3284" t="inlineStr">
        <is>
          <t>BBG01J8XBYW4 Equity</t>
        </is>
      </c>
      <c r="B3284" t="inlineStr">
        <is>
          <t>TSLA US 01/16/26 P450</t>
        </is>
      </c>
      <c r="C3284" t="inlineStr">
        <is>
          <t>2026-01-16</t>
        </is>
      </c>
      <c r="D3284" t="n">
        <v>450</v>
      </c>
      <c r="E3284" t="inlineStr">
        <is>
          <t>BBG01J8XBYW4</t>
        </is>
      </c>
    </row>
    <row r="3285">
      <c r="A3285" t="inlineStr">
        <is>
          <t>BBG01ZCH3JY8 Equity</t>
        </is>
      </c>
      <c r="B3285" t="inlineStr">
        <is>
          <t>TSLA US 01/16/26 P452.5</t>
        </is>
      </c>
      <c r="C3285" t="inlineStr">
        <is>
          <t>2026-01-16</t>
        </is>
      </c>
      <c r="D3285" t="n">
        <v>452.5</v>
      </c>
      <c r="E3285" t="inlineStr">
        <is>
          <t>BBG01ZCH3JY8</t>
        </is>
      </c>
    </row>
    <row r="3286">
      <c r="A3286" t="inlineStr">
        <is>
          <t>BBG01Y31VTV6 Equity</t>
        </is>
      </c>
      <c r="B3286" t="inlineStr">
        <is>
          <t>TSLA US 01/16/26 P455</t>
        </is>
      </c>
      <c r="C3286" t="inlineStr">
        <is>
          <t>2026-01-16</t>
        </is>
      </c>
      <c r="D3286" t="n">
        <v>455</v>
      </c>
      <c r="E3286" t="inlineStr">
        <is>
          <t>BBG01Y31VTV6</t>
        </is>
      </c>
    </row>
    <row r="3287">
      <c r="A3287" t="inlineStr">
        <is>
          <t>BBG01Z78YJQ9 Equity</t>
        </is>
      </c>
      <c r="B3287" t="inlineStr">
        <is>
          <t>TSLA US 01/16/26 P457.5</t>
        </is>
      </c>
      <c r="C3287" t="inlineStr">
        <is>
          <t>2026-01-16</t>
        </is>
      </c>
      <c r="D3287" t="n">
        <v>457.5</v>
      </c>
      <c r="E3287" t="inlineStr">
        <is>
          <t>BBG01Z78YJQ9</t>
        </is>
      </c>
    </row>
    <row r="3288">
      <c r="A3288" t="inlineStr">
        <is>
          <t>BBG01J8XC002 Equity</t>
        </is>
      </c>
      <c r="B3288" t="inlineStr">
        <is>
          <t>TSLA US 01/16/26 P460</t>
        </is>
      </c>
      <c r="C3288" t="inlineStr">
        <is>
          <t>2026-01-16</t>
        </is>
      </c>
      <c r="D3288" t="n">
        <v>460</v>
      </c>
      <c r="E3288" t="inlineStr">
        <is>
          <t>BBG01J8XC002</t>
        </is>
      </c>
    </row>
    <row r="3289">
      <c r="A3289" t="inlineStr">
        <is>
          <t>BBG01Z78YKB2 Equity</t>
        </is>
      </c>
      <c r="B3289" t="inlineStr">
        <is>
          <t>TSLA US 01/16/26 P462.5</t>
        </is>
      </c>
      <c r="C3289" t="inlineStr">
        <is>
          <t>2026-01-16</t>
        </is>
      </c>
      <c r="D3289" t="n">
        <v>462.5</v>
      </c>
      <c r="E3289" t="inlineStr">
        <is>
          <t>BBG01Z78YKB2</t>
        </is>
      </c>
    </row>
    <row r="3290">
      <c r="A3290" t="inlineStr">
        <is>
          <t>BBG01Y31WBK6 Equity</t>
        </is>
      </c>
      <c r="B3290" t="inlineStr">
        <is>
          <t>TSLA US 01/16/26 P465</t>
        </is>
      </c>
      <c r="C3290" t="inlineStr">
        <is>
          <t>2026-01-16</t>
        </is>
      </c>
      <c r="D3290" t="n">
        <v>465</v>
      </c>
      <c r="E3290" t="inlineStr">
        <is>
          <t>BBG01Y31WBK6</t>
        </is>
      </c>
    </row>
    <row r="3291">
      <c r="A3291" t="inlineStr">
        <is>
          <t>BBG01Z78YLH4 Equity</t>
        </is>
      </c>
      <c r="B3291" t="inlineStr">
        <is>
          <t>TSLA US 01/16/26 P467.5</t>
        </is>
      </c>
      <c r="C3291" t="inlineStr">
        <is>
          <t>2026-01-16</t>
        </is>
      </c>
      <c r="D3291" t="n">
        <v>467.5</v>
      </c>
      <c r="E3291" t="inlineStr">
        <is>
          <t>BBG01Z78YLH4</t>
        </is>
      </c>
    </row>
    <row r="3292">
      <c r="A3292" t="inlineStr">
        <is>
          <t>BBG01J8XC137 Equity</t>
        </is>
      </c>
      <c r="B3292" t="inlineStr">
        <is>
          <t>TSLA US 01/16/26 P470</t>
        </is>
      </c>
      <c r="C3292" t="inlineStr">
        <is>
          <t>2026-01-16</t>
        </is>
      </c>
      <c r="D3292" t="n">
        <v>470</v>
      </c>
      <c r="E3292" t="inlineStr">
        <is>
          <t>BBG01J8XC137</t>
        </is>
      </c>
    </row>
    <row r="3293">
      <c r="A3293" t="inlineStr">
        <is>
          <t>BBG01Z78W162 Equity</t>
        </is>
      </c>
      <c r="B3293" t="inlineStr">
        <is>
          <t>TSLA US 01/16/26 P472.5</t>
        </is>
      </c>
      <c r="C3293" t="inlineStr">
        <is>
          <t>2026-01-16</t>
        </is>
      </c>
      <c r="D3293" t="n">
        <v>472.5</v>
      </c>
      <c r="E3293" t="inlineStr">
        <is>
          <t>BBG01Z78W162</t>
        </is>
      </c>
    </row>
    <row r="3294">
      <c r="A3294" t="inlineStr">
        <is>
          <t>BBG01Y31RGF7 Equity</t>
        </is>
      </c>
      <c r="B3294" t="inlineStr">
        <is>
          <t>TSLA US 01/16/26 P475</t>
        </is>
      </c>
      <c r="C3294" t="inlineStr">
        <is>
          <t>2026-01-16</t>
        </is>
      </c>
      <c r="D3294" t="n">
        <v>475</v>
      </c>
      <c r="E3294" t="inlineStr">
        <is>
          <t>BBG01Y31RGF7</t>
        </is>
      </c>
    </row>
    <row r="3295">
      <c r="A3295" t="inlineStr">
        <is>
          <t>BBG01Z78W2F0 Equity</t>
        </is>
      </c>
      <c r="B3295" t="inlineStr">
        <is>
          <t>TSLA US 01/16/26 P477.5</t>
        </is>
      </c>
      <c r="C3295" t="inlineStr">
        <is>
          <t>2026-01-16</t>
        </is>
      </c>
      <c r="D3295" t="n">
        <v>477.5</v>
      </c>
      <c r="E3295" t="inlineStr">
        <is>
          <t>BBG01Z78W2F0</t>
        </is>
      </c>
    </row>
    <row r="3296">
      <c r="A3296" t="inlineStr">
        <is>
          <t>BBG01J8XC262 Equity</t>
        </is>
      </c>
      <c r="B3296" t="inlineStr">
        <is>
          <t>TSLA US 01/16/26 P480</t>
        </is>
      </c>
      <c r="C3296" t="inlineStr">
        <is>
          <t>2026-01-16</t>
        </is>
      </c>
      <c r="D3296" t="n">
        <v>480</v>
      </c>
      <c r="E3296" t="inlineStr">
        <is>
          <t>BBG01J8XC262</t>
        </is>
      </c>
    </row>
    <row r="3297">
      <c r="A3297" t="inlineStr">
        <is>
          <t>BBG01Z78WLS4 Equity</t>
        </is>
      </c>
      <c r="B3297" t="inlineStr">
        <is>
          <t>TSLA US 01/16/26 P482.5</t>
        </is>
      </c>
      <c r="C3297" t="inlineStr">
        <is>
          <t>2026-01-16</t>
        </is>
      </c>
      <c r="D3297" t="n">
        <v>482.5</v>
      </c>
      <c r="E3297" t="inlineStr">
        <is>
          <t>BBG01Z78WLS4</t>
        </is>
      </c>
    </row>
    <row r="3298">
      <c r="A3298" t="inlineStr">
        <is>
          <t>BBG01Y31VHG9 Equity</t>
        </is>
      </c>
      <c r="B3298" t="inlineStr">
        <is>
          <t>TSLA US 01/16/26 P485</t>
        </is>
      </c>
      <c r="C3298" t="inlineStr">
        <is>
          <t>2026-01-16</t>
        </is>
      </c>
      <c r="D3298" t="n">
        <v>485</v>
      </c>
      <c r="E3298" t="inlineStr">
        <is>
          <t>BBG01Y31VHG9</t>
        </is>
      </c>
    </row>
    <row r="3299">
      <c r="A3299" t="inlineStr">
        <is>
          <t>BBG01Z78YM37 Equity</t>
        </is>
      </c>
      <c r="B3299" t="inlineStr">
        <is>
          <t>TSLA US 01/16/26 P487.5</t>
        </is>
      </c>
      <c r="C3299" t="inlineStr">
        <is>
          <t>2026-01-16</t>
        </is>
      </c>
      <c r="D3299" t="n">
        <v>487.5</v>
      </c>
      <c r="E3299" t="inlineStr">
        <is>
          <t>BBG01Z78YM37</t>
        </is>
      </c>
    </row>
    <row r="3300">
      <c r="A3300" t="inlineStr">
        <is>
          <t>BBG01J8XC3B4 Equity</t>
        </is>
      </c>
      <c r="B3300" t="inlineStr">
        <is>
          <t>TSLA US 01/16/26 P490</t>
        </is>
      </c>
      <c r="C3300" t="inlineStr">
        <is>
          <t>2026-01-16</t>
        </is>
      </c>
      <c r="D3300" t="n">
        <v>490</v>
      </c>
      <c r="E3300" t="inlineStr">
        <is>
          <t>BBG01J8XC3B4</t>
        </is>
      </c>
    </row>
    <row r="3301">
      <c r="A3301" t="inlineStr">
        <is>
          <t>BBG01Z78W1T7 Equity</t>
        </is>
      </c>
      <c r="B3301" t="inlineStr">
        <is>
          <t>TSLA US 01/16/26 P492.5</t>
        </is>
      </c>
      <c r="C3301" t="inlineStr">
        <is>
          <t>2026-01-16</t>
        </is>
      </c>
      <c r="D3301" t="n">
        <v>492.5</v>
      </c>
      <c r="E3301" t="inlineStr">
        <is>
          <t>BBG01Z78W1T7</t>
        </is>
      </c>
    </row>
    <row r="3302">
      <c r="A3302" t="inlineStr">
        <is>
          <t>BBG01Y31VGV4 Equity</t>
        </is>
      </c>
      <c r="B3302" t="inlineStr">
        <is>
          <t>TSLA US 01/16/26 P495</t>
        </is>
      </c>
      <c r="C3302" t="inlineStr">
        <is>
          <t>2026-01-16</t>
        </is>
      </c>
      <c r="D3302" t="n">
        <v>495</v>
      </c>
      <c r="E3302" t="inlineStr">
        <is>
          <t>BBG01Y31VGV4</t>
        </is>
      </c>
    </row>
    <row r="3303">
      <c r="A3303" t="inlineStr">
        <is>
          <t>BBG01Z78YJ34 Equity</t>
        </is>
      </c>
      <c r="B3303" t="inlineStr">
        <is>
          <t>TSLA US 01/16/26 P497.5</t>
        </is>
      </c>
      <c r="C3303" t="inlineStr">
        <is>
          <t>2026-01-16</t>
        </is>
      </c>
      <c r="D3303" t="n">
        <v>497.5</v>
      </c>
      <c r="E3303" t="inlineStr">
        <is>
          <t>BBG01Z78YJ34</t>
        </is>
      </c>
    </row>
    <row r="3304">
      <c r="A3304" t="inlineStr">
        <is>
          <t>BBG01J8XC4F8 Equity</t>
        </is>
      </c>
      <c r="B3304" t="inlineStr">
        <is>
          <t>TSLA US 01/16/26 P500</t>
        </is>
      </c>
      <c r="C3304" t="inlineStr">
        <is>
          <t>2026-01-16</t>
        </is>
      </c>
      <c r="D3304" t="n">
        <v>500</v>
      </c>
      <c r="E3304" t="inlineStr">
        <is>
          <t>BBG01J8XC4F8</t>
        </is>
      </c>
    </row>
    <row r="3305">
      <c r="A3305" t="inlineStr">
        <is>
          <t>BBG01Z78YHH3 Equity</t>
        </is>
      </c>
      <c r="B3305" t="inlineStr">
        <is>
          <t>TSLA US 01/16/26 P502.5</t>
        </is>
      </c>
      <c r="C3305" t="inlineStr">
        <is>
          <t>2026-01-16</t>
        </is>
      </c>
      <c r="D3305" t="n">
        <v>502.5</v>
      </c>
      <c r="E3305" t="inlineStr">
        <is>
          <t>BBG01Z78YHH3</t>
        </is>
      </c>
    </row>
    <row r="3306">
      <c r="A3306" t="inlineStr">
        <is>
          <t>BBG01Y31QJS8 Equity</t>
        </is>
      </c>
      <c r="B3306" t="inlineStr">
        <is>
          <t>TSLA US 01/16/26 P505</t>
        </is>
      </c>
      <c r="C3306" t="inlineStr">
        <is>
          <t>2026-01-16</t>
        </is>
      </c>
      <c r="D3306" t="n">
        <v>505</v>
      </c>
      <c r="E3306" t="inlineStr">
        <is>
          <t>BBG01Y31QJS8</t>
        </is>
      </c>
    </row>
    <row r="3307">
      <c r="A3307" t="inlineStr">
        <is>
          <t>BBG01ZCH7D22 Equity</t>
        </is>
      </c>
      <c r="B3307" t="inlineStr">
        <is>
          <t>TSLA US 01/16/26 P507.5</t>
        </is>
      </c>
      <c r="C3307" t="inlineStr">
        <is>
          <t>2026-01-16</t>
        </is>
      </c>
      <c r="D3307" t="n">
        <v>507.5</v>
      </c>
      <c r="E3307" t="inlineStr">
        <is>
          <t>BBG01ZCH7D22</t>
        </is>
      </c>
    </row>
    <row r="3308">
      <c r="A3308" t="inlineStr">
        <is>
          <t>BBG01J8XC5J1 Equity</t>
        </is>
      </c>
      <c r="B3308" t="inlineStr">
        <is>
          <t>TSLA US 01/16/26 P510</t>
        </is>
      </c>
      <c r="C3308" t="inlineStr">
        <is>
          <t>2026-01-16</t>
        </is>
      </c>
      <c r="D3308" t="n">
        <v>510</v>
      </c>
      <c r="E3308" t="inlineStr">
        <is>
          <t>BBG01J8XC5J1</t>
        </is>
      </c>
    </row>
    <row r="3309">
      <c r="A3309" t="inlineStr">
        <is>
          <t>BBG01ZCH74M0 Equity</t>
        </is>
      </c>
      <c r="B3309" t="inlineStr">
        <is>
          <t>TSLA US 01/16/26 P512.5</t>
        </is>
      </c>
      <c r="C3309" t="inlineStr">
        <is>
          <t>2026-01-16</t>
        </is>
      </c>
      <c r="D3309" t="n">
        <v>512.5</v>
      </c>
      <c r="E3309" t="inlineStr">
        <is>
          <t>BBG01ZCH74M0</t>
        </is>
      </c>
    </row>
    <row r="3310">
      <c r="A3310" t="inlineStr">
        <is>
          <t>BBG01Y31PS36 Equity</t>
        </is>
      </c>
      <c r="B3310" t="inlineStr">
        <is>
          <t>TSLA US 01/16/26 P515</t>
        </is>
      </c>
      <c r="C3310" t="inlineStr">
        <is>
          <t>2026-01-16</t>
        </is>
      </c>
      <c r="D3310" t="n">
        <v>515</v>
      </c>
      <c r="E3310" t="inlineStr">
        <is>
          <t>BBG01Y31PS36</t>
        </is>
      </c>
    </row>
    <row r="3311">
      <c r="A3311" t="inlineStr">
        <is>
          <t>BBG01ZCH35N0 Equity</t>
        </is>
      </c>
      <c r="B3311" t="inlineStr">
        <is>
          <t>TSLA US 01/16/26 P517.5</t>
        </is>
      </c>
      <c r="C3311" t="inlineStr">
        <is>
          <t>2026-01-16</t>
        </is>
      </c>
      <c r="D3311" t="n">
        <v>517.5</v>
      </c>
      <c r="E3311" t="inlineStr">
        <is>
          <t>BBG01ZCH35N0</t>
        </is>
      </c>
    </row>
    <row r="3312">
      <c r="A3312" t="inlineStr">
        <is>
          <t>BBG01NQ1FNF4 Equity</t>
        </is>
      </c>
      <c r="B3312" t="inlineStr">
        <is>
          <t>TSLA US 01/16/26 P520</t>
        </is>
      </c>
      <c r="C3312" t="inlineStr">
        <is>
          <t>2026-01-16</t>
        </is>
      </c>
      <c r="D3312" t="n">
        <v>520</v>
      </c>
      <c r="E3312" t="inlineStr">
        <is>
          <t>BBG01NQ1FNF4</t>
        </is>
      </c>
    </row>
    <row r="3313">
      <c r="A3313" t="inlineStr">
        <is>
          <t>BBG01ZCH76G2 Equity</t>
        </is>
      </c>
      <c r="B3313" t="inlineStr">
        <is>
          <t>TSLA US 01/16/26 P522.5</t>
        </is>
      </c>
      <c r="C3313" t="inlineStr">
        <is>
          <t>2026-01-16</t>
        </is>
      </c>
      <c r="D3313" t="n">
        <v>522.5</v>
      </c>
      <c r="E3313" t="inlineStr">
        <is>
          <t>BBG01ZCH76G2</t>
        </is>
      </c>
    </row>
    <row r="3314">
      <c r="A3314" t="inlineStr">
        <is>
          <t>BBG01Y31PQW8 Equity</t>
        </is>
      </c>
      <c r="B3314" t="inlineStr">
        <is>
          <t>TSLA US 01/16/26 P525</t>
        </is>
      </c>
      <c r="C3314" t="inlineStr">
        <is>
          <t>2026-01-16</t>
        </is>
      </c>
      <c r="D3314" t="n">
        <v>525</v>
      </c>
      <c r="E3314" t="inlineStr">
        <is>
          <t>BBG01Y31PQW8</t>
        </is>
      </c>
    </row>
    <row r="3315">
      <c r="A3315" t="inlineStr">
        <is>
          <t>BBG01ZCH2ZB8 Equity</t>
        </is>
      </c>
      <c r="B3315" t="inlineStr">
        <is>
          <t>TSLA US 01/16/26 P527.5</t>
        </is>
      </c>
      <c r="C3315" t="inlineStr">
        <is>
          <t>2026-01-16</t>
        </is>
      </c>
      <c r="D3315" t="n">
        <v>527.5</v>
      </c>
      <c r="E3315" t="inlineStr">
        <is>
          <t>BBG01ZCH2ZB8</t>
        </is>
      </c>
    </row>
    <row r="3316">
      <c r="A3316" t="inlineStr">
        <is>
          <t>BBG01NQ1FMV8 Equity</t>
        </is>
      </c>
      <c r="B3316" t="inlineStr">
        <is>
          <t>TSLA US 01/16/26 P530</t>
        </is>
      </c>
      <c r="C3316" t="inlineStr">
        <is>
          <t>2026-01-16</t>
        </is>
      </c>
      <c r="D3316" t="n">
        <v>530</v>
      </c>
      <c r="E3316" t="inlineStr">
        <is>
          <t>BBG01NQ1FMV8</t>
        </is>
      </c>
    </row>
    <row r="3317">
      <c r="A3317" t="inlineStr">
        <is>
          <t>BBG01ZCH7574 Equity</t>
        </is>
      </c>
      <c r="B3317" t="inlineStr">
        <is>
          <t>TSLA US 01/16/26 P532.5</t>
        </is>
      </c>
      <c r="C3317" t="inlineStr">
        <is>
          <t>2026-01-16</t>
        </is>
      </c>
      <c r="D3317" t="n">
        <v>532.5</v>
      </c>
      <c r="E3317" t="inlineStr">
        <is>
          <t>BBG01ZCH7574</t>
        </is>
      </c>
    </row>
    <row r="3318">
      <c r="A3318" t="inlineStr">
        <is>
          <t>BBG01Y31PQ49 Equity</t>
        </is>
      </c>
      <c r="B3318" t="inlineStr">
        <is>
          <t>TSLA US 01/16/26 P535</t>
        </is>
      </c>
      <c r="C3318" t="inlineStr">
        <is>
          <t>2026-01-16</t>
        </is>
      </c>
      <c r="D3318" t="n">
        <v>535</v>
      </c>
      <c r="E3318" t="inlineStr">
        <is>
          <t>BBG01Y31PQ49</t>
        </is>
      </c>
    </row>
    <row r="3319">
      <c r="A3319" t="inlineStr">
        <is>
          <t>BBG01ZCH2YQ5 Equity</t>
        </is>
      </c>
      <c r="B3319" t="inlineStr">
        <is>
          <t>TSLA US 01/16/26 P537.5</t>
        </is>
      </c>
      <c r="C3319" t="inlineStr">
        <is>
          <t>2026-01-16</t>
        </is>
      </c>
      <c r="D3319" t="n">
        <v>537.5</v>
      </c>
      <c r="E3319" t="inlineStr">
        <is>
          <t>BBG01ZCH2YQ5</t>
        </is>
      </c>
    </row>
    <row r="3320">
      <c r="A3320" t="inlineStr">
        <is>
          <t>BBG01NRLKBB3 Equity</t>
        </is>
      </c>
      <c r="B3320" t="inlineStr">
        <is>
          <t>TSLA US 01/16/26 P540</t>
        </is>
      </c>
      <c r="C3320" t="inlineStr">
        <is>
          <t>2026-01-16</t>
        </is>
      </c>
      <c r="D3320" t="n">
        <v>540</v>
      </c>
      <c r="E3320" t="inlineStr">
        <is>
          <t>BBG01NRLKBB3</t>
        </is>
      </c>
    </row>
    <row r="3321">
      <c r="A3321" t="inlineStr">
        <is>
          <t>BBG01ZCH75V7 Equity</t>
        </is>
      </c>
      <c r="B3321" t="inlineStr">
        <is>
          <t>TSLA US 01/16/26 P542.5</t>
        </is>
      </c>
      <c r="C3321" t="inlineStr">
        <is>
          <t>2026-01-16</t>
        </is>
      </c>
      <c r="D3321" t="n">
        <v>542.5</v>
      </c>
      <c r="E3321" t="inlineStr">
        <is>
          <t>BBG01ZCH75V7</t>
        </is>
      </c>
    </row>
    <row r="3322">
      <c r="A3322" t="inlineStr">
        <is>
          <t>BBG01Y31PPJ5 Equity</t>
        </is>
      </c>
      <c r="B3322" t="inlineStr">
        <is>
          <t>TSLA US 01/16/26 P545</t>
        </is>
      </c>
      <c r="C3322" t="inlineStr">
        <is>
          <t>2026-01-16</t>
        </is>
      </c>
      <c r="D3322" t="n">
        <v>545</v>
      </c>
      <c r="E3322" t="inlineStr">
        <is>
          <t>BBG01Y31PPJ5</t>
        </is>
      </c>
    </row>
    <row r="3323">
      <c r="A3323" t="inlineStr">
        <is>
          <t>BBG01ZCH7CG9 Equity</t>
        </is>
      </c>
      <c r="B3323" t="inlineStr">
        <is>
          <t>TSLA US 01/16/26 P547.5</t>
        </is>
      </c>
      <c r="C3323" t="inlineStr">
        <is>
          <t>2026-01-16</t>
        </is>
      </c>
      <c r="D3323" t="n">
        <v>547.5</v>
      </c>
      <c r="E3323" t="inlineStr">
        <is>
          <t>BBG01ZCH7CG9</t>
        </is>
      </c>
    </row>
    <row r="3324">
      <c r="A3324" t="inlineStr">
        <is>
          <t>BBG01QPLHRG2 Equity</t>
        </is>
      </c>
      <c r="B3324" t="inlineStr">
        <is>
          <t>TSLA US 01/16/26 P550</t>
        </is>
      </c>
      <c r="C3324" t="inlineStr">
        <is>
          <t>2026-01-16</t>
        </is>
      </c>
      <c r="D3324" t="n">
        <v>550</v>
      </c>
      <c r="E3324" t="inlineStr">
        <is>
          <t>BBG01QPLHRG2</t>
        </is>
      </c>
    </row>
    <row r="3325">
      <c r="A3325" t="inlineStr">
        <is>
          <t>BBG01ZCH7HS5 Equity</t>
        </is>
      </c>
      <c r="B3325" t="inlineStr">
        <is>
          <t>TSLA US 01/16/26 P552.5</t>
        </is>
      </c>
      <c r="C3325" t="inlineStr">
        <is>
          <t>2026-01-16</t>
        </is>
      </c>
      <c r="D3325" t="n">
        <v>552.5</v>
      </c>
      <c r="E3325" t="inlineStr">
        <is>
          <t>BBG01ZCH7HS5</t>
        </is>
      </c>
    </row>
    <row r="3326">
      <c r="A3326" t="inlineStr">
        <is>
          <t>BBG01Y31R6K3 Equity</t>
        </is>
      </c>
      <c r="B3326" t="inlineStr">
        <is>
          <t>TSLA US 01/16/26 P555</t>
        </is>
      </c>
      <c r="C3326" t="inlineStr">
        <is>
          <t>2026-01-16</t>
        </is>
      </c>
      <c r="D3326" t="n">
        <v>555</v>
      </c>
      <c r="E3326" t="inlineStr">
        <is>
          <t>BBG01Y31R6K3</t>
        </is>
      </c>
    </row>
    <row r="3327">
      <c r="A3327" t="inlineStr">
        <is>
          <t>BBG01ZCH2Y30 Equity</t>
        </is>
      </c>
      <c r="B3327" t="inlineStr">
        <is>
          <t>TSLA US 01/16/26 P557.5</t>
        </is>
      </c>
      <c r="C3327" t="inlineStr">
        <is>
          <t>2026-01-16</t>
        </is>
      </c>
      <c r="D3327" t="n">
        <v>557.5</v>
      </c>
      <c r="E3327" t="inlineStr">
        <is>
          <t>BBG01ZCH2Y30</t>
        </is>
      </c>
    </row>
    <row r="3328">
      <c r="A3328" t="inlineStr">
        <is>
          <t>BBG01QPLJQS9 Equity</t>
        </is>
      </c>
      <c r="B3328" t="inlineStr">
        <is>
          <t>TSLA US 01/16/26 P560</t>
        </is>
      </c>
      <c r="C3328" t="inlineStr">
        <is>
          <t>2026-01-16</t>
        </is>
      </c>
      <c r="D3328" t="n">
        <v>560</v>
      </c>
      <c r="E3328" t="inlineStr">
        <is>
          <t>BBG01QPLJQS9</t>
        </is>
      </c>
    </row>
    <row r="3329">
      <c r="A3329" t="inlineStr">
        <is>
          <t>BBG01ZCH7JD7 Equity</t>
        </is>
      </c>
      <c r="B3329" t="inlineStr">
        <is>
          <t>TSLA US 01/16/26 P562.5</t>
        </is>
      </c>
      <c r="C3329" t="inlineStr">
        <is>
          <t>2026-01-16</t>
        </is>
      </c>
      <c r="D3329" t="n">
        <v>562.5</v>
      </c>
      <c r="E3329" t="inlineStr">
        <is>
          <t>BBG01ZCH7JD7</t>
        </is>
      </c>
    </row>
    <row r="3330">
      <c r="A3330" t="inlineStr">
        <is>
          <t>BBG01Y31R8D7 Equity</t>
        </is>
      </c>
      <c r="B3330" t="inlineStr">
        <is>
          <t>TSLA US 01/16/26 P565</t>
        </is>
      </c>
      <c r="C3330" t="inlineStr">
        <is>
          <t>2026-01-16</t>
        </is>
      </c>
      <c r="D3330" t="n">
        <v>565</v>
      </c>
      <c r="E3330" t="inlineStr">
        <is>
          <t>BBG01Y31R8D7</t>
        </is>
      </c>
    </row>
    <row r="3331">
      <c r="A3331" t="inlineStr">
        <is>
          <t>BBG01ZCH77P0 Equity</t>
        </is>
      </c>
      <c r="B3331" t="inlineStr">
        <is>
          <t>TSLA US 01/16/26 P567.5</t>
        </is>
      </c>
      <c r="C3331" t="inlineStr">
        <is>
          <t>2026-01-16</t>
        </is>
      </c>
      <c r="D3331" t="n">
        <v>567.5</v>
      </c>
      <c r="E3331" t="inlineStr">
        <is>
          <t>BBG01ZCH77P0</t>
        </is>
      </c>
    </row>
    <row r="3332">
      <c r="A3332" t="inlineStr">
        <is>
          <t>BBG01QPLHS25 Equity</t>
        </is>
      </c>
      <c r="B3332" t="inlineStr">
        <is>
          <t>TSLA US 01/16/26 P570</t>
        </is>
      </c>
      <c r="C3332" t="inlineStr">
        <is>
          <t>2026-01-16</t>
        </is>
      </c>
      <c r="D3332" t="n">
        <v>570</v>
      </c>
      <c r="E3332" t="inlineStr">
        <is>
          <t>BBG01QPLHS25</t>
        </is>
      </c>
    </row>
    <row r="3333">
      <c r="A3333" t="inlineStr">
        <is>
          <t>BBG01ZCH7H50 Equity</t>
        </is>
      </c>
      <c r="B3333" t="inlineStr">
        <is>
          <t>TSLA US 01/16/26 P572.5</t>
        </is>
      </c>
      <c r="C3333" t="inlineStr">
        <is>
          <t>2026-01-16</t>
        </is>
      </c>
      <c r="D3333" t="n">
        <v>572.5</v>
      </c>
      <c r="E3333" t="inlineStr">
        <is>
          <t>BBG01ZCH7H50</t>
        </is>
      </c>
    </row>
    <row r="3334">
      <c r="A3334" t="inlineStr">
        <is>
          <t>BBG01Y31VG71 Equity</t>
        </is>
      </c>
      <c r="B3334" t="inlineStr">
        <is>
          <t>TSLA US 01/16/26 P575</t>
        </is>
      </c>
      <c r="C3334" t="inlineStr">
        <is>
          <t>2026-01-16</t>
        </is>
      </c>
      <c r="D3334" t="n">
        <v>575</v>
      </c>
      <c r="E3334" t="inlineStr">
        <is>
          <t>BBG01Y31VG71</t>
        </is>
      </c>
    </row>
    <row r="3335">
      <c r="A3335" t="inlineStr">
        <is>
          <t>BBG01ZCH7725 Equity</t>
        </is>
      </c>
      <c r="B3335" t="inlineStr">
        <is>
          <t>TSLA US 01/16/26 P577.5</t>
        </is>
      </c>
      <c r="C3335" t="inlineStr">
        <is>
          <t>2026-01-16</t>
        </is>
      </c>
      <c r="D3335" t="n">
        <v>577.5</v>
      </c>
      <c r="E3335" t="inlineStr">
        <is>
          <t>BBG01ZCH7725</t>
        </is>
      </c>
    </row>
    <row r="3336">
      <c r="A3336" t="inlineStr">
        <is>
          <t>BBG01QR8G738 Equity</t>
        </is>
      </c>
      <c r="B3336" t="inlineStr">
        <is>
          <t>TSLA US 01/16/26 P580</t>
        </is>
      </c>
      <c r="C3336" t="inlineStr">
        <is>
          <t>2026-01-16</t>
        </is>
      </c>
      <c r="D3336" t="n">
        <v>580</v>
      </c>
      <c r="E3336" t="inlineStr">
        <is>
          <t>BBG01QR8G738</t>
        </is>
      </c>
    </row>
    <row r="3337">
      <c r="A3337" t="inlineStr">
        <is>
          <t>BBG01Y31R758 Equity</t>
        </is>
      </c>
      <c r="B3337" t="inlineStr">
        <is>
          <t>TSLA US 01/16/26 P585</t>
        </is>
      </c>
      <c r="C3337" t="inlineStr">
        <is>
          <t>2026-01-16</t>
        </is>
      </c>
      <c r="D3337" t="n">
        <v>585</v>
      </c>
      <c r="E3337" t="inlineStr">
        <is>
          <t>BBG01Y31R758</t>
        </is>
      </c>
    </row>
    <row r="3338">
      <c r="A3338" t="inlineStr">
        <is>
          <t>BBG01QR8G7Q3 Equity</t>
        </is>
      </c>
      <c r="B3338" t="inlineStr">
        <is>
          <t>TSLA US 01/16/26 P590</t>
        </is>
      </c>
      <c r="C3338" t="inlineStr">
        <is>
          <t>2026-01-16</t>
        </is>
      </c>
      <c r="D3338" t="n">
        <v>590</v>
      </c>
      <c r="E3338" t="inlineStr">
        <is>
          <t>BBG01QR8G7Q3</t>
        </is>
      </c>
    </row>
    <row r="3339">
      <c r="A3339" t="inlineStr">
        <is>
          <t>BBG01Y31VPD4 Equity</t>
        </is>
      </c>
      <c r="B3339" t="inlineStr">
        <is>
          <t>TSLA US 01/16/26 P595</t>
        </is>
      </c>
      <c r="C3339" t="inlineStr">
        <is>
          <t>2026-01-16</t>
        </is>
      </c>
      <c r="D3339" t="n">
        <v>595</v>
      </c>
      <c r="E3339" t="inlineStr">
        <is>
          <t>BBG01Y31VPD4</t>
        </is>
      </c>
    </row>
    <row r="3340">
      <c r="A3340" t="inlineStr">
        <is>
          <t>BBG01VV8WNG5 Equity</t>
        </is>
      </c>
      <c r="B3340" t="inlineStr">
        <is>
          <t>TSLA US 02/20/26 P360</t>
        </is>
      </c>
      <c r="C3340" t="inlineStr">
        <is>
          <t>2026-02-20</t>
        </is>
      </c>
      <c r="D3340" t="n">
        <v>360</v>
      </c>
      <c r="E3340" t="inlineStr">
        <is>
          <t>BBG01VV8WNG5</t>
        </is>
      </c>
    </row>
    <row r="3341">
      <c r="A3341" t="inlineStr">
        <is>
          <t>BBG01YRRK1B8 Equity</t>
        </is>
      </c>
      <c r="B3341" t="inlineStr">
        <is>
          <t>TSLA US 02/20/26 P365</t>
        </is>
      </c>
      <c r="C3341" t="inlineStr">
        <is>
          <t>2026-02-20</t>
        </is>
      </c>
      <c r="D3341" t="n">
        <v>365</v>
      </c>
      <c r="E3341" t="inlineStr">
        <is>
          <t>BBG01YRRK1B8</t>
        </is>
      </c>
    </row>
    <row r="3342">
      <c r="A3342" t="inlineStr">
        <is>
          <t>BBG01VV8W1F4 Equity</t>
        </is>
      </c>
      <c r="B3342" t="inlineStr">
        <is>
          <t>TSLA US 02/20/26 P370</t>
        </is>
      </c>
      <c r="C3342" t="inlineStr">
        <is>
          <t>2026-02-20</t>
        </is>
      </c>
      <c r="D3342" t="n">
        <v>370</v>
      </c>
      <c r="E3342" t="inlineStr">
        <is>
          <t>BBG01VV8W1F4</t>
        </is>
      </c>
    </row>
    <row r="3343">
      <c r="A3343" t="inlineStr">
        <is>
          <t>BBG01YRRK4F8 Equity</t>
        </is>
      </c>
      <c r="B3343" t="inlineStr">
        <is>
          <t>TSLA US 02/20/26 P375</t>
        </is>
      </c>
      <c r="C3343" t="inlineStr">
        <is>
          <t>2026-02-20</t>
        </is>
      </c>
      <c r="D3343" t="n">
        <v>375</v>
      </c>
      <c r="E3343" t="inlineStr">
        <is>
          <t>BBG01YRRK4F8</t>
        </is>
      </c>
    </row>
    <row r="3344">
      <c r="A3344" t="inlineStr">
        <is>
          <t>BBG01VV8VSG5 Equity</t>
        </is>
      </c>
      <c r="B3344" t="inlineStr">
        <is>
          <t>TSLA US 02/20/26 P380</t>
        </is>
      </c>
      <c r="C3344" t="inlineStr">
        <is>
          <t>2026-02-20</t>
        </is>
      </c>
      <c r="D3344" t="n">
        <v>380</v>
      </c>
      <c r="E3344" t="inlineStr">
        <is>
          <t>BBG01VV8VSG5</t>
        </is>
      </c>
    </row>
    <row r="3345">
      <c r="A3345" t="inlineStr">
        <is>
          <t>BBG01YRRD028 Equity</t>
        </is>
      </c>
      <c r="B3345" t="inlineStr">
        <is>
          <t>TSLA US 02/20/26 P385</t>
        </is>
      </c>
      <c r="C3345" t="inlineStr">
        <is>
          <t>2026-02-20</t>
        </is>
      </c>
      <c r="D3345" t="n">
        <v>385</v>
      </c>
      <c r="E3345" t="inlineStr">
        <is>
          <t>BBG01YRRD028</t>
        </is>
      </c>
    </row>
    <row r="3346">
      <c r="A3346" t="inlineStr">
        <is>
          <t>BBG01VV8VYQ1 Equity</t>
        </is>
      </c>
      <c r="B3346" t="inlineStr">
        <is>
          <t>TSLA US 02/20/26 P390</t>
        </is>
      </c>
      <c r="C3346" t="inlineStr">
        <is>
          <t>2026-02-20</t>
        </is>
      </c>
      <c r="D3346" t="n">
        <v>390</v>
      </c>
      <c r="E3346" t="inlineStr">
        <is>
          <t>BBG01VV8VYQ1</t>
        </is>
      </c>
    </row>
    <row r="3347">
      <c r="A3347" t="inlineStr">
        <is>
          <t>BBG01YRRJQK5 Equity</t>
        </is>
      </c>
      <c r="B3347" t="inlineStr">
        <is>
          <t>TSLA US 02/20/26 P395</t>
        </is>
      </c>
      <c r="C3347" t="inlineStr">
        <is>
          <t>2026-02-20</t>
        </is>
      </c>
      <c r="D3347" t="n">
        <v>395</v>
      </c>
      <c r="E3347" t="inlineStr">
        <is>
          <t>BBG01YRRJQK5</t>
        </is>
      </c>
    </row>
    <row r="3348">
      <c r="A3348" t="inlineStr">
        <is>
          <t>BBG01VV8VZM2 Equity</t>
        </is>
      </c>
      <c r="B3348" t="inlineStr">
        <is>
          <t>TSLA US 02/20/26 P400</t>
        </is>
      </c>
      <c r="C3348" t="inlineStr">
        <is>
          <t>2026-02-20</t>
        </is>
      </c>
      <c r="D3348" t="n">
        <v>400</v>
      </c>
      <c r="E3348" t="inlineStr">
        <is>
          <t>BBG01VV8VZM2</t>
        </is>
      </c>
    </row>
    <row r="3349">
      <c r="A3349" t="inlineStr">
        <is>
          <t>BBG01YRRBTF3 Equity</t>
        </is>
      </c>
      <c r="B3349" t="inlineStr">
        <is>
          <t>TSLA US 02/20/26 P405</t>
        </is>
      </c>
      <c r="C3349" t="inlineStr">
        <is>
          <t>2026-02-20</t>
        </is>
      </c>
      <c r="D3349" t="n">
        <v>405</v>
      </c>
      <c r="E3349" t="inlineStr">
        <is>
          <t>BBG01YRRBTF3</t>
        </is>
      </c>
    </row>
    <row r="3350">
      <c r="A3350" t="inlineStr">
        <is>
          <t>BBG01VV8WL60 Equity</t>
        </is>
      </c>
      <c r="B3350" t="inlineStr">
        <is>
          <t>TSLA US 02/20/26 P410</t>
        </is>
      </c>
      <c r="C3350" t="inlineStr">
        <is>
          <t>2026-02-20</t>
        </is>
      </c>
      <c r="D3350" t="n">
        <v>410</v>
      </c>
      <c r="E3350" t="inlineStr">
        <is>
          <t>BBG01VV8WL60</t>
        </is>
      </c>
    </row>
    <row r="3351">
      <c r="A3351" t="inlineStr">
        <is>
          <t>BBG01YRRK976 Equity</t>
        </is>
      </c>
      <c r="B3351" t="inlineStr">
        <is>
          <t>TSLA US 02/20/26 P415</t>
        </is>
      </c>
      <c r="C3351" t="inlineStr">
        <is>
          <t>2026-02-20</t>
        </is>
      </c>
      <c r="D3351" t="n">
        <v>415</v>
      </c>
      <c r="E3351" t="inlineStr">
        <is>
          <t>BBG01YRRK976</t>
        </is>
      </c>
    </row>
    <row r="3352">
      <c r="A3352" t="inlineStr">
        <is>
          <t>BBG01VV8W7B5 Equity</t>
        </is>
      </c>
      <c r="B3352" t="inlineStr">
        <is>
          <t>TSLA US 02/20/26 P420</t>
        </is>
      </c>
      <c r="C3352" t="inlineStr">
        <is>
          <t>2026-02-20</t>
        </is>
      </c>
      <c r="D3352" t="n">
        <v>420</v>
      </c>
      <c r="E3352" t="inlineStr">
        <is>
          <t>BBG01VV8W7B5</t>
        </is>
      </c>
    </row>
    <row r="3353">
      <c r="A3353" t="inlineStr">
        <is>
          <t>BBG01YRR8R34 Equity</t>
        </is>
      </c>
      <c r="B3353" t="inlineStr">
        <is>
          <t>TSLA US 02/20/26 P425</t>
        </is>
      </c>
      <c r="C3353" t="inlineStr">
        <is>
          <t>2026-02-20</t>
        </is>
      </c>
      <c r="D3353" t="n">
        <v>425</v>
      </c>
      <c r="E3353" t="inlineStr">
        <is>
          <t>BBG01YRR8R34</t>
        </is>
      </c>
    </row>
    <row r="3354">
      <c r="A3354" t="inlineStr">
        <is>
          <t>BBG01VV8WLT5 Equity</t>
        </is>
      </c>
      <c r="B3354" t="inlineStr">
        <is>
          <t>TSLA US 02/20/26 P430</t>
        </is>
      </c>
      <c r="C3354" t="inlineStr">
        <is>
          <t>2026-02-20</t>
        </is>
      </c>
      <c r="D3354" t="n">
        <v>430</v>
      </c>
      <c r="E3354" t="inlineStr">
        <is>
          <t>BBG01VV8WLT5</t>
        </is>
      </c>
    </row>
    <row r="3355">
      <c r="A3355" t="inlineStr">
        <is>
          <t>BBG01YRRBV13 Equity</t>
        </is>
      </c>
      <c r="B3355" t="inlineStr">
        <is>
          <t>TSLA US 02/20/26 P435</t>
        </is>
      </c>
      <c r="C3355" t="inlineStr">
        <is>
          <t>2026-02-20</t>
        </is>
      </c>
      <c r="D3355" t="n">
        <v>435</v>
      </c>
      <c r="E3355" t="inlineStr">
        <is>
          <t>BBG01YRRBV13</t>
        </is>
      </c>
    </row>
    <row r="3356">
      <c r="A3356" t="inlineStr">
        <is>
          <t>BBG01VV8VGK6 Equity</t>
        </is>
      </c>
      <c r="B3356" t="inlineStr">
        <is>
          <t>TSLA US 02/20/26 P440</t>
        </is>
      </c>
      <c r="C3356" t="inlineStr">
        <is>
          <t>2026-02-20</t>
        </is>
      </c>
      <c r="D3356" t="n">
        <v>440</v>
      </c>
      <c r="E3356" t="inlineStr">
        <is>
          <t>BBG01VV8VGK6</t>
        </is>
      </c>
    </row>
    <row r="3357">
      <c r="A3357" t="inlineStr">
        <is>
          <t>BBG01YRRK8M1 Equity</t>
        </is>
      </c>
      <c r="B3357" t="inlineStr">
        <is>
          <t>TSLA US 02/20/26 P445</t>
        </is>
      </c>
      <c r="C3357" t="inlineStr">
        <is>
          <t>2026-02-20</t>
        </is>
      </c>
      <c r="D3357" t="n">
        <v>445</v>
      </c>
      <c r="E3357" t="inlineStr">
        <is>
          <t>BBG01YRRK8M1</t>
        </is>
      </c>
    </row>
    <row r="3358">
      <c r="A3358" t="inlineStr">
        <is>
          <t>BBG01VV8WDR5 Equity</t>
        </is>
      </c>
      <c r="B3358" t="inlineStr">
        <is>
          <t>TSLA US 02/20/26 P450</t>
        </is>
      </c>
      <c r="C3358" t="inlineStr">
        <is>
          <t>2026-02-20</t>
        </is>
      </c>
      <c r="D3358" t="n">
        <v>450</v>
      </c>
      <c r="E3358" t="inlineStr">
        <is>
          <t>BBG01VV8WDR5</t>
        </is>
      </c>
    </row>
    <row r="3359">
      <c r="A3359" t="inlineStr">
        <is>
          <t>BBG01YRRBVN9 Equity</t>
        </is>
      </c>
      <c r="B3359" t="inlineStr">
        <is>
          <t>TSLA US 02/20/26 P455</t>
        </is>
      </c>
      <c r="C3359" t="inlineStr">
        <is>
          <t>2026-02-20</t>
        </is>
      </c>
      <c r="D3359" t="n">
        <v>455</v>
      </c>
      <c r="E3359" t="inlineStr">
        <is>
          <t>BBG01YRRBVN9</t>
        </is>
      </c>
    </row>
    <row r="3360">
      <c r="A3360" t="inlineStr">
        <is>
          <t>BBG01VV8VWY6 Equity</t>
        </is>
      </c>
      <c r="B3360" t="inlineStr">
        <is>
          <t>TSLA US 02/20/26 P460</t>
        </is>
      </c>
      <c r="C3360" t="inlineStr">
        <is>
          <t>2026-02-20</t>
        </is>
      </c>
      <c r="D3360" t="n">
        <v>460</v>
      </c>
      <c r="E3360" t="inlineStr">
        <is>
          <t>BBG01VV8VWY6</t>
        </is>
      </c>
    </row>
    <row r="3361">
      <c r="A3361" t="inlineStr">
        <is>
          <t>BBG01YRRCZG7 Equity</t>
        </is>
      </c>
      <c r="B3361" t="inlineStr">
        <is>
          <t>TSLA US 02/20/26 P465</t>
        </is>
      </c>
      <c r="C3361" t="inlineStr">
        <is>
          <t>2026-02-20</t>
        </is>
      </c>
      <c r="D3361" t="n">
        <v>465</v>
      </c>
      <c r="E3361" t="inlineStr">
        <is>
          <t>BBG01YRRCZG7</t>
        </is>
      </c>
    </row>
    <row r="3362">
      <c r="A3362" t="inlineStr">
        <is>
          <t>BBG01VV8VRV0 Equity</t>
        </is>
      </c>
      <c r="B3362" t="inlineStr">
        <is>
          <t>TSLA US 02/20/26 P470</t>
        </is>
      </c>
      <c r="C3362" t="inlineStr">
        <is>
          <t>2026-02-20</t>
        </is>
      </c>
      <c r="D3362" t="n">
        <v>470</v>
      </c>
      <c r="E3362" t="inlineStr">
        <is>
          <t>BBG01VV8VRV0</t>
        </is>
      </c>
    </row>
    <row r="3363">
      <c r="A3363" t="inlineStr">
        <is>
          <t>BBG01YRRKC51 Equity</t>
        </is>
      </c>
      <c r="B3363" t="inlineStr">
        <is>
          <t>TSLA US 02/20/26 P475</t>
        </is>
      </c>
      <c r="C3363" t="inlineStr">
        <is>
          <t>2026-02-20</t>
        </is>
      </c>
      <c r="D3363" t="n">
        <v>475</v>
      </c>
      <c r="E3363" t="inlineStr">
        <is>
          <t>BBG01YRRKC51</t>
        </is>
      </c>
    </row>
    <row r="3364">
      <c r="A3364" t="inlineStr">
        <is>
          <t>BBG01VV8VWB1 Equity</t>
        </is>
      </c>
      <c r="B3364" t="inlineStr">
        <is>
          <t>TSLA US 02/20/26 P480</t>
        </is>
      </c>
      <c r="C3364" t="inlineStr">
        <is>
          <t>2026-02-20</t>
        </is>
      </c>
      <c r="D3364" t="n">
        <v>480</v>
      </c>
      <c r="E3364" t="inlineStr">
        <is>
          <t>BBG01VV8VWB1</t>
        </is>
      </c>
    </row>
    <row r="3365">
      <c r="A3365" t="inlineStr">
        <is>
          <t>BBG01YRRK805 Equity</t>
        </is>
      </c>
      <c r="B3365" t="inlineStr">
        <is>
          <t>TSLA US 02/20/26 P485</t>
        </is>
      </c>
      <c r="C3365" t="inlineStr">
        <is>
          <t>2026-02-20</t>
        </is>
      </c>
      <c r="D3365" t="n">
        <v>485</v>
      </c>
      <c r="E3365" t="inlineStr">
        <is>
          <t>BBG01YRRK805</t>
        </is>
      </c>
    </row>
    <row r="3366">
      <c r="A3366" t="inlineStr">
        <is>
          <t>BBG01VV8WD40 Equity</t>
        </is>
      </c>
      <c r="B3366" t="inlineStr">
        <is>
          <t>TSLA US 02/20/26 P490</t>
        </is>
      </c>
      <c r="C3366" t="inlineStr">
        <is>
          <t>2026-02-20</t>
        </is>
      </c>
      <c r="D3366" t="n">
        <v>490</v>
      </c>
      <c r="E3366" t="inlineStr">
        <is>
          <t>BBG01VV8WD40</t>
        </is>
      </c>
    </row>
    <row r="3367">
      <c r="A3367" t="inlineStr">
        <is>
          <t>BBG01YRRKCS6 Equity</t>
        </is>
      </c>
      <c r="B3367" t="inlineStr">
        <is>
          <t>TSLA US 02/20/26 P495</t>
        </is>
      </c>
      <c r="C3367" t="inlineStr">
        <is>
          <t>2026-02-20</t>
        </is>
      </c>
      <c r="D3367" t="n">
        <v>495</v>
      </c>
      <c r="E3367" t="inlineStr">
        <is>
          <t>BBG01YRRKCS6</t>
        </is>
      </c>
    </row>
    <row r="3368">
      <c r="A3368" t="inlineStr">
        <is>
          <t>BBG01VV8X1Z1 Equity</t>
        </is>
      </c>
      <c r="B3368" t="inlineStr">
        <is>
          <t>TSLA US 02/20/26 P500</t>
        </is>
      </c>
      <c r="C3368" t="inlineStr">
        <is>
          <t>2026-02-20</t>
        </is>
      </c>
      <c r="D3368" t="n">
        <v>500</v>
      </c>
      <c r="E3368" t="inlineStr">
        <is>
          <t>BBG01VV8X1Z1</t>
        </is>
      </c>
    </row>
    <row r="3369">
      <c r="A3369" t="inlineStr">
        <is>
          <t>BBG01YRR8RQ9 Equity</t>
        </is>
      </c>
      <c r="B3369" t="inlineStr">
        <is>
          <t>TSLA US 02/20/26 P505</t>
        </is>
      </c>
      <c r="C3369" t="inlineStr">
        <is>
          <t>2026-02-20</t>
        </is>
      </c>
      <c r="D3369" t="n">
        <v>505</v>
      </c>
      <c r="E3369" t="inlineStr">
        <is>
          <t>BBG01YRR8RQ9</t>
        </is>
      </c>
    </row>
    <row r="3370">
      <c r="A3370" t="inlineStr">
        <is>
          <t>BBG01VV8WCV2 Equity</t>
        </is>
      </c>
      <c r="B3370" t="inlineStr">
        <is>
          <t>TSLA US 02/20/26 P510</t>
        </is>
      </c>
      <c r="C3370" t="inlineStr">
        <is>
          <t>2026-02-20</t>
        </is>
      </c>
      <c r="D3370" t="n">
        <v>510</v>
      </c>
      <c r="E3370" t="inlineStr">
        <is>
          <t>BBG01VV8WCV2</t>
        </is>
      </c>
    </row>
    <row r="3371">
      <c r="A3371" t="inlineStr">
        <is>
          <t>BBG01YRRJY82 Equity</t>
        </is>
      </c>
      <c r="B3371" t="inlineStr">
        <is>
          <t>TSLA US 02/20/26 P515</t>
        </is>
      </c>
      <c r="C3371" t="inlineStr">
        <is>
          <t>2026-02-20</t>
        </is>
      </c>
      <c r="D3371" t="n">
        <v>515</v>
      </c>
      <c r="E3371" t="inlineStr">
        <is>
          <t>BBG01YRRJY82</t>
        </is>
      </c>
    </row>
    <row r="3372">
      <c r="A3372" t="inlineStr">
        <is>
          <t>BBG01VV8X5Q2 Equity</t>
        </is>
      </c>
      <c r="B3372" t="inlineStr">
        <is>
          <t>TSLA US 02/20/26 P520</t>
        </is>
      </c>
      <c r="C3372" t="inlineStr">
        <is>
          <t>2026-02-20</t>
        </is>
      </c>
      <c r="D3372" t="n">
        <v>520</v>
      </c>
      <c r="E3372" t="inlineStr">
        <is>
          <t>BBG01VV8X5Q2</t>
        </is>
      </c>
    </row>
    <row r="3373">
      <c r="A3373" t="inlineStr">
        <is>
          <t>BBG01YRRJVH8 Equity</t>
        </is>
      </c>
      <c r="B3373" t="inlineStr">
        <is>
          <t>TSLA US 02/20/26 P525</t>
        </is>
      </c>
      <c r="C3373" t="inlineStr">
        <is>
          <t>2026-02-20</t>
        </is>
      </c>
      <c r="D3373" t="n">
        <v>525</v>
      </c>
      <c r="E3373" t="inlineStr">
        <is>
          <t>BBG01YRRJVH8</t>
        </is>
      </c>
    </row>
    <row r="3374">
      <c r="A3374" t="inlineStr">
        <is>
          <t>BBG01VV8WBM4 Equity</t>
        </is>
      </c>
      <c r="B3374" t="inlineStr">
        <is>
          <t>TSLA US 02/20/26 P530</t>
        </is>
      </c>
      <c r="C3374" t="inlineStr">
        <is>
          <t>2026-02-20</t>
        </is>
      </c>
      <c r="D3374" t="n">
        <v>530</v>
      </c>
      <c r="E3374" t="inlineStr">
        <is>
          <t>BBG01VV8WBM4</t>
        </is>
      </c>
    </row>
    <row r="3375">
      <c r="A3375" t="inlineStr">
        <is>
          <t>BBG01YRRBQW0 Equity</t>
        </is>
      </c>
      <c r="B3375" t="inlineStr">
        <is>
          <t>TSLA US 02/20/26 P535</t>
        </is>
      </c>
      <c r="C3375" t="inlineStr">
        <is>
          <t>2026-02-20</t>
        </is>
      </c>
      <c r="D3375" t="n">
        <v>535</v>
      </c>
      <c r="E3375" t="inlineStr">
        <is>
          <t>BBG01YRRBQW0</t>
        </is>
      </c>
    </row>
    <row r="3376">
      <c r="A3376" t="inlineStr">
        <is>
          <t>BBG01VV8X6B6 Equity</t>
        </is>
      </c>
      <c r="B3376" t="inlineStr">
        <is>
          <t>TSLA US 02/20/26 P540</t>
        </is>
      </c>
      <c r="C3376" t="inlineStr">
        <is>
          <t>2026-02-20</t>
        </is>
      </c>
      <c r="D3376" t="n">
        <v>540</v>
      </c>
      <c r="E3376" t="inlineStr">
        <is>
          <t>BBG01VV8X6B6</t>
        </is>
      </c>
    </row>
    <row r="3377">
      <c r="A3377" t="inlineStr">
        <is>
          <t>BBG01YRRK510 Equity</t>
        </is>
      </c>
      <c r="B3377" t="inlineStr">
        <is>
          <t>TSLA US 02/20/26 P545</t>
        </is>
      </c>
      <c r="C3377" t="inlineStr">
        <is>
          <t>2026-02-20</t>
        </is>
      </c>
      <c r="D3377" t="n">
        <v>545</v>
      </c>
      <c r="E3377" t="inlineStr">
        <is>
          <t>BBG01YRRK510</t>
        </is>
      </c>
    </row>
    <row r="3378">
      <c r="A3378" t="inlineStr">
        <is>
          <t>BBG01VV8WC79 Equity</t>
        </is>
      </c>
      <c r="B3378" t="inlineStr">
        <is>
          <t>TSLA US 02/20/26 P550</t>
        </is>
      </c>
      <c r="C3378" t="inlineStr">
        <is>
          <t>2026-02-20</t>
        </is>
      </c>
      <c r="D3378" t="n">
        <v>550</v>
      </c>
      <c r="E3378" t="inlineStr">
        <is>
          <t>BBG01VV8WC79</t>
        </is>
      </c>
    </row>
    <row r="3379">
      <c r="A3379" t="inlineStr">
        <is>
          <t>BBG01YRRBRH5 Equity</t>
        </is>
      </c>
      <c r="B3379" t="inlineStr">
        <is>
          <t>TSLA US 02/20/26 P555</t>
        </is>
      </c>
      <c r="C3379" t="inlineStr">
        <is>
          <t>2026-02-20</t>
        </is>
      </c>
      <c r="D3379" t="n">
        <v>555</v>
      </c>
      <c r="E3379" t="inlineStr">
        <is>
          <t>BBG01YRRBRH5</t>
        </is>
      </c>
    </row>
    <row r="3380">
      <c r="A3380" t="inlineStr">
        <is>
          <t>BBG01VV8X537 Equity</t>
        </is>
      </c>
      <c r="B3380" t="inlineStr">
        <is>
          <t>TSLA US 02/20/26 P560</t>
        </is>
      </c>
      <c r="C3380" t="inlineStr">
        <is>
          <t>2026-02-20</t>
        </is>
      </c>
      <c r="D3380" t="n">
        <v>560</v>
      </c>
      <c r="E3380" t="inlineStr">
        <is>
          <t>BBG01VV8X537</t>
        </is>
      </c>
    </row>
    <row r="3381">
      <c r="A3381" t="inlineStr">
        <is>
          <t>BBG01YRRB716 Equity</t>
        </is>
      </c>
      <c r="B3381" t="inlineStr">
        <is>
          <t>TSLA US 02/20/26 P565</t>
        </is>
      </c>
      <c r="C3381" t="inlineStr">
        <is>
          <t>2026-02-20</t>
        </is>
      </c>
      <c r="D3381" t="n">
        <v>565</v>
      </c>
      <c r="E3381" t="inlineStr">
        <is>
          <t>BBG01YRRB716</t>
        </is>
      </c>
    </row>
    <row r="3382">
      <c r="A3382" t="inlineStr">
        <is>
          <t>BBG01VV8VH51 Equity</t>
        </is>
      </c>
      <c r="B3382" t="inlineStr">
        <is>
          <t>TSLA US 02/20/26 P570</t>
        </is>
      </c>
      <c r="C3382" t="inlineStr">
        <is>
          <t>2026-02-20</t>
        </is>
      </c>
      <c r="D3382" t="n">
        <v>570</v>
      </c>
      <c r="E3382" t="inlineStr">
        <is>
          <t>BBG01VV8VH51</t>
        </is>
      </c>
    </row>
    <row r="3383">
      <c r="A3383" t="inlineStr">
        <is>
          <t>BBG01YRRJN04 Equity</t>
        </is>
      </c>
      <c r="B3383" t="inlineStr">
        <is>
          <t>TSLA US 02/20/26 P575</t>
        </is>
      </c>
      <c r="C3383" t="inlineStr">
        <is>
          <t>2026-02-20</t>
        </is>
      </c>
      <c r="D3383" t="n">
        <v>575</v>
      </c>
      <c r="E3383" t="inlineStr">
        <is>
          <t>BBG01YRRJN04</t>
        </is>
      </c>
    </row>
    <row r="3384">
      <c r="A3384" t="inlineStr">
        <is>
          <t>BBG01VV8W360 Equity</t>
        </is>
      </c>
      <c r="B3384" t="inlineStr">
        <is>
          <t>TSLA US 02/20/26 P580</t>
        </is>
      </c>
      <c r="C3384" t="inlineStr">
        <is>
          <t>2026-02-20</t>
        </is>
      </c>
      <c r="D3384" t="n">
        <v>580</v>
      </c>
      <c r="E3384" t="inlineStr">
        <is>
          <t>BBG01VV8W360</t>
        </is>
      </c>
    </row>
    <row r="3385">
      <c r="A3385" t="inlineStr">
        <is>
          <t>BBG01YRRJMD2 Equity</t>
        </is>
      </c>
      <c r="B3385" t="inlineStr">
        <is>
          <t>TSLA US 02/20/26 P585</t>
        </is>
      </c>
      <c r="C3385" t="inlineStr">
        <is>
          <t>2026-02-20</t>
        </is>
      </c>
      <c r="D3385" t="n">
        <v>585</v>
      </c>
      <c r="E3385" t="inlineStr">
        <is>
          <t>BBG01YRRJMD2</t>
        </is>
      </c>
    </row>
    <row r="3386">
      <c r="A3386" t="inlineStr">
        <is>
          <t>BBG01VV8W8K3 Equity</t>
        </is>
      </c>
      <c r="B3386" t="inlineStr">
        <is>
          <t>TSLA US 02/20/26 P590</t>
        </is>
      </c>
      <c r="C3386" t="inlineStr">
        <is>
          <t>2026-02-20</t>
        </is>
      </c>
      <c r="D3386" t="n">
        <v>590</v>
      </c>
      <c r="E3386" t="inlineStr">
        <is>
          <t>BBG01VV8W8K3</t>
        </is>
      </c>
    </row>
    <row r="3387">
      <c r="A3387" t="inlineStr">
        <is>
          <t>BBG01YRRJNM0 Equity</t>
        </is>
      </c>
      <c r="B3387" t="inlineStr">
        <is>
          <t>TSLA US 02/20/26 P595</t>
        </is>
      </c>
      <c r="C3387" t="inlineStr">
        <is>
          <t>2026-02-20</t>
        </is>
      </c>
      <c r="D3387" t="n">
        <v>595</v>
      </c>
      <c r="E3387" t="inlineStr">
        <is>
          <t>BBG01YRRJNM0</t>
        </is>
      </c>
    </row>
    <row r="3388">
      <c r="A3388" t="inlineStr">
        <is>
          <t>BBG01RZMPCC5 Equity</t>
        </is>
      </c>
      <c r="B3388" t="inlineStr">
        <is>
          <t>TSLA US 03/20/26 P360</t>
        </is>
      </c>
      <c r="C3388" t="inlineStr">
        <is>
          <t>2026-03-20</t>
        </is>
      </c>
      <c r="D3388" t="n">
        <v>360</v>
      </c>
      <c r="E3388" t="inlineStr">
        <is>
          <t>BBG01RZMPCC5</t>
        </is>
      </c>
    </row>
    <row r="3389">
      <c r="A3389" t="inlineStr">
        <is>
          <t>BBG01W66YPL2 Equity</t>
        </is>
      </c>
      <c r="B3389" t="inlineStr">
        <is>
          <t>TSLA US 03/20/26 P365</t>
        </is>
      </c>
      <c r="C3389" t="inlineStr">
        <is>
          <t>2026-03-20</t>
        </is>
      </c>
      <c r="D3389" t="n">
        <v>365</v>
      </c>
      <c r="E3389" t="inlineStr">
        <is>
          <t>BBG01W66YPL2</t>
        </is>
      </c>
    </row>
    <row r="3390">
      <c r="A3390" t="inlineStr">
        <is>
          <t>BBG01RZMP8L4 Equity</t>
        </is>
      </c>
      <c r="B3390" t="inlineStr">
        <is>
          <t>TSLA US 03/20/26 P370</t>
        </is>
      </c>
      <c r="C3390" t="inlineStr">
        <is>
          <t>2026-03-20</t>
        </is>
      </c>
      <c r="D3390" t="n">
        <v>370</v>
      </c>
      <c r="E3390" t="inlineStr">
        <is>
          <t>BBG01RZMP8L4</t>
        </is>
      </c>
    </row>
    <row r="3391">
      <c r="A3391" t="inlineStr">
        <is>
          <t>BBG01W66XZP7 Equity</t>
        </is>
      </c>
      <c r="B3391" t="inlineStr">
        <is>
          <t>TSLA US 03/20/26 P375</t>
        </is>
      </c>
      <c r="C3391" t="inlineStr">
        <is>
          <t>2026-03-20</t>
        </is>
      </c>
      <c r="D3391" t="n">
        <v>375</v>
      </c>
      <c r="E3391" t="inlineStr">
        <is>
          <t>BBG01W66XZP7</t>
        </is>
      </c>
    </row>
    <row r="3392">
      <c r="A3392" t="inlineStr">
        <is>
          <t>BBG01RZMNLC7 Equity</t>
        </is>
      </c>
      <c r="B3392" t="inlineStr">
        <is>
          <t>TSLA US 03/20/26 P380</t>
        </is>
      </c>
      <c r="C3392" t="inlineStr">
        <is>
          <t>2026-03-20</t>
        </is>
      </c>
      <c r="D3392" t="n">
        <v>380</v>
      </c>
      <c r="E3392" t="inlineStr">
        <is>
          <t>BBG01RZMNLC7</t>
        </is>
      </c>
    </row>
    <row r="3393">
      <c r="A3393" t="inlineStr">
        <is>
          <t>BBG01W66XCF9 Equity</t>
        </is>
      </c>
      <c r="B3393" t="inlineStr">
        <is>
          <t>TSLA US 03/20/26 P385</t>
        </is>
      </c>
      <c r="C3393" t="inlineStr">
        <is>
          <t>2026-03-20</t>
        </is>
      </c>
      <c r="D3393" t="n">
        <v>385</v>
      </c>
      <c r="E3393" t="inlineStr">
        <is>
          <t>BBG01W66XCF9</t>
        </is>
      </c>
    </row>
    <row r="3394">
      <c r="A3394" t="inlineStr">
        <is>
          <t>BBG01RZMNZ27 Equity</t>
        </is>
      </c>
      <c r="B3394" t="inlineStr">
        <is>
          <t>TSLA US 03/20/26 P390</t>
        </is>
      </c>
      <c r="C3394" t="inlineStr">
        <is>
          <t>2026-03-20</t>
        </is>
      </c>
      <c r="D3394" t="n">
        <v>390</v>
      </c>
      <c r="E3394" t="inlineStr">
        <is>
          <t>BBG01RZMNZ27</t>
        </is>
      </c>
    </row>
    <row r="3395">
      <c r="A3395" t="inlineStr">
        <is>
          <t>BBG01W66XD12 Equity</t>
        </is>
      </c>
      <c r="B3395" t="inlineStr">
        <is>
          <t>TSLA US 03/20/26 P395</t>
        </is>
      </c>
      <c r="C3395" t="inlineStr">
        <is>
          <t>2026-03-20</t>
        </is>
      </c>
      <c r="D3395" t="n">
        <v>395</v>
      </c>
      <c r="E3395" t="inlineStr">
        <is>
          <t>BBG01W66XD12</t>
        </is>
      </c>
    </row>
    <row r="3396">
      <c r="A3396" t="inlineStr">
        <is>
          <t>BBG01RZMNWH8 Equity</t>
        </is>
      </c>
      <c r="B3396" t="inlineStr">
        <is>
          <t>TSLA US 03/20/26 P400</t>
        </is>
      </c>
      <c r="C3396" t="inlineStr">
        <is>
          <t>2026-03-20</t>
        </is>
      </c>
      <c r="D3396" t="n">
        <v>400</v>
      </c>
      <c r="E3396" t="inlineStr">
        <is>
          <t>BBG01RZMNWH8</t>
        </is>
      </c>
    </row>
    <row r="3397">
      <c r="A3397" t="inlineStr">
        <is>
          <t>BBG01W66XJ91 Equity</t>
        </is>
      </c>
      <c r="B3397" t="inlineStr">
        <is>
          <t>TSLA US 03/20/26 P405</t>
        </is>
      </c>
      <c r="C3397" t="inlineStr">
        <is>
          <t>2026-03-20</t>
        </is>
      </c>
      <c r="D3397" t="n">
        <v>405</v>
      </c>
      <c r="E3397" t="inlineStr">
        <is>
          <t>BBG01W66XJ91</t>
        </is>
      </c>
    </row>
    <row r="3398">
      <c r="A3398" t="inlineStr">
        <is>
          <t>BBG01RZMPY91 Equity</t>
        </is>
      </c>
      <c r="B3398" t="inlineStr">
        <is>
          <t>TSLA US 03/20/26 P410</t>
        </is>
      </c>
      <c r="C3398" t="inlineStr">
        <is>
          <t>2026-03-20</t>
        </is>
      </c>
      <c r="D3398" t="n">
        <v>410</v>
      </c>
      <c r="E3398" t="inlineStr">
        <is>
          <t>BBG01RZMPY91</t>
        </is>
      </c>
    </row>
    <row r="3399">
      <c r="A3399" t="inlineStr">
        <is>
          <t>BBG01W66YJB7 Equity</t>
        </is>
      </c>
      <c r="B3399" t="inlineStr">
        <is>
          <t>TSLA US 03/20/26 P415</t>
        </is>
      </c>
      <c r="C3399" t="inlineStr">
        <is>
          <t>2026-03-20</t>
        </is>
      </c>
      <c r="D3399" t="n">
        <v>415</v>
      </c>
      <c r="E3399" t="inlineStr">
        <is>
          <t>BBG01W66YJB7</t>
        </is>
      </c>
    </row>
    <row r="3400">
      <c r="A3400" t="inlineStr">
        <is>
          <t>BBG01RZMNX31 Equity</t>
        </is>
      </c>
      <c r="B3400" t="inlineStr">
        <is>
          <t>TSLA US 03/20/26 P420</t>
        </is>
      </c>
      <c r="C3400" t="inlineStr">
        <is>
          <t>2026-03-20</t>
        </is>
      </c>
      <c r="D3400" t="n">
        <v>420</v>
      </c>
      <c r="E3400" t="inlineStr">
        <is>
          <t>BBG01RZMNX31</t>
        </is>
      </c>
    </row>
    <row r="3401">
      <c r="A3401" t="inlineStr">
        <is>
          <t>BBG01ZCZB0K5 Equity</t>
        </is>
      </c>
      <c r="B3401" t="inlineStr">
        <is>
          <t>TSLA US 03/20/26 P425</t>
        </is>
      </c>
      <c r="C3401" t="inlineStr">
        <is>
          <t>2026-03-20</t>
        </is>
      </c>
      <c r="D3401" t="n">
        <v>425</v>
      </c>
      <c r="E3401" t="inlineStr">
        <is>
          <t>BBG01ZCZB0K5</t>
        </is>
      </c>
    </row>
    <row r="3402">
      <c r="A3402" t="inlineStr">
        <is>
          <t>BBG01RZMNXQ6 Equity</t>
        </is>
      </c>
      <c r="B3402" t="inlineStr">
        <is>
          <t>TSLA US 03/20/26 P430</t>
        </is>
      </c>
      <c r="C3402" t="inlineStr">
        <is>
          <t>2026-03-20</t>
        </is>
      </c>
      <c r="D3402" t="n">
        <v>430</v>
      </c>
      <c r="E3402" t="inlineStr">
        <is>
          <t>BBG01RZMNXQ6</t>
        </is>
      </c>
    </row>
    <row r="3403">
      <c r="A3403" t="inlineStr">
        <is>
          <t>BBG01ZCZGM40 Equity</t>
        </is>
      </c>
      <c r="B3403" t="inlineStr">
        <is>
          <t>TSLA US 03/20/26 P435</t>
        </is>
      </c>
      <c r="C3403" t="inlineStr">
        <is>
          <t>2026-03-20</t>
        </is>
      </c>
      <c r="D3403" t="n">
        <v>435</v>
      </c>
      <c r="E3403" t="inlineStr">
        <is>
          <t>BBG01ZCZGM40</t>
        </is>
      </c>
    </row>
    <row r="3404">
      <c r="A3404" t="inlineStr">
        <is>
          <t>BBG01RZMNYB0 Equity</t>
        </is>
      </c>
      <c r="B3404" t="inlineStr">
        <is>
          <t>TSLA US 03/20/26 P440</t>
        </is>
      </c>
      <c r="C3404" t="inlineStr">
        <is>
          <t>2026-03-20</t>
        </is>
      </c>
      <c r="D3404" t="n">
        <v>440</v>
      </c>
      <c r="E3404" t="inlineStr">
        <is>
          <t>BBG01RZMNYB0</t>
        </is>
      </c>
    </row>
    <row r="3405">
      <c r="A3405" t="inlineStr">
        <is>
          <t>BBG01ZCZGNC9 Equity</t>
        </is>
      </c>
      <c r="B3405" t="inlineStr">
        <is>
          <t>TSLA US 03/20/26 P445</t>
        </is>
      </c>
      <c r="C3405" t="inlineStr">
        <is>
          <t>2026-03-20</t>
        </is>
      </c>
      <c r="D3405" t="n">
        <v>445</v>
      </c>
      <c r="E3405" t="inlineStr">
        <is>
          <t>BBG01ZCZGNC9</t>
        </is>
      </c>
    </row>
    <row r="3406">
      <c r="A3406" t="inlineStr">
        <is>
          <t>BBG01RZMPX20 Equity</t>
        </is>
      </c>
      <c r="B3406" t="inlineStr">
        <is>
          <t>TSLA US 03/20/26 P450</t>
        </is>
      </c>
      <c r="C3406" t="inlineStr">
        <is>
          <t>2026-03-20</t>
        </is>
      </c>
      <c r="D3406" t="n">
        <v>450</v>
      </c>
      <c r="E3406" t="inlineStr">
        <is>
          <t>BBG01RZMPX20</t>
        </is>
      </c>
    </row>
    <row r="3407">
      <c r="A3407" t="inlineStr">
        <is>
          <t>BBG01ZCZGMR5 Equity</t>
        </is>
      </c>
      <c r="B3407" t="inlineStr">
        <is>
          <t>TSLA US 03/20/26 P455</t>
        </is>
      </c>
      <c r="C3407" t="inlineStr">
        <is>
          <t>2026-03-20</t>
        </is>
      </c>
      <c r="D3407" t="n">
        <v>455</v>
      </c>
      <c r="E3407" t="inlineStr">
        <is>
          <t>BBG01ZCZGMR5</t>
        </is>
      </c>
    </row>
    <row r="3408">
      <c r="A3408" t="inlineStr">
        <is>
          <t>BBG01RZMPSS3 Equity</t>
        </is>
      </c>
      <c r="B3408" t="inlineStr">
        <is>
          <t>TSLA US 03/20/26 P460</t>
        </is>
      </c>
      <c r="C3408" t="inlineStr">
        <is>
          <t>2026-03-20</t>
        </is>
      </c>
      <c r="D3408" t="n">
        <v>460</v>
      </c>
      <c r="E3408" t="inlineStr">
        <is>
          <t>BBG01RZMPSS3</t>
        </is>
      </c>
    </row>
    <row r="3409">
      <c r="A3409" t="inlineStr">
        <is>
          <t>BBG01ZCZGF36 Equity</t>
        </is>
      </c>
      <c r="B3409" t="inlineStr">
        <is>
          <t>TSLA US 03/20/26 P465</t>
        </is>
      </c>
      <c r="C3409" t="inlineStr">
        <is>
          <t>2026-03-20</t>
        </is>
      </c>
      <c r="D3409" t="n">
        <v>465</v>
      </c>
      <c r="E3409" t="inlineStr">
        <is>
          <t>BBG01ZCZGF36</t>
        </is>
      </c>
    </row>
    <row r="3410">
      <c r="A3410" t="inlineStr">
        <is>
          <t>BBG01RZMPL44 Equity</t>
        </is>
      </c>
      <c r="B3410" t="inlineStr">
        <is>
          <t>TSLA US 03/20/26 P470</t>
        </is>
      </c>
      <c r="C3410" t="inlineStr">
        <is>
          <t>2026-03-20</t>
        </is>
      </c>
      <c r="D3410" t="n">
        <v>470</v>
      </c>
      <c r="E3410" t="inlineStr">
        <is>
          <t>BBG01RZMPL44</t>
        </is>
      </c>
    </row>
    <row r="3411">
      <c r="A3411" t="inlineStr">
        <is>
          <t>BBG01ZCZG5Z3 Equity</t>
        </is>
      </c>
      <c r="B3411" t="inlineStr">
        <is>
          <t>TSLA US 03/20/26 P475</t>
        </is>
      </c>
      <c r="C3411" t="inlineStr">
        <is>
          <t>2026-03-20</t>
        </is>
      </c>
      <c r="D3411" t="n">
        <v>475</v>
      </c>
      <c r="E3411" t="inlineStr">
        <is>
          <t>BBG01ZCZG5Z3</t>
        </is>
      </c>
    </row>
    <row r="3412">
      <c r="A3412" t="inlineStr">
        <is>
          <t>BBG01RZMMZ55 Equity</t>
        </is>
      </c>
      <c r="B3412" t="inlineStr">
        <is>
          <t>TSLA US 03/20/26 P480</t>
        </is>
      </c>
      <c r="C3412" t="inlineStr">
        <is>
          <t>2026-03-20</t>
        </is>
      </c>
      <c r="D3412" t="n">
        <v>480</v>
      </c>
      <c r="E3412" t="inlineStr">
        <is>
          <t>BBG01RZMMZ55</t>
        </is>
      </c>
    </row>
    <row r="3413">
      <c r="A3413" t="inlineStr">
        <is>
          <t>BBG01ZCZGDH6 Equity</t>
        </is>
      </c>
      <c r="B3413" t="inlineStr">
        <is>
          <t>TSLA US 03/20/26 P485</t>
        </is>
      </c>
      <c r="C3413" t="inlineStr">
        <is>
          <t>2026-03-20</t>
        </is>
      </c>
      <c r="D3413" t="n">
        <v>485</v>
      </c>
      <c r="E3413" t="inlineStr">
        <is>
          <t>BBG01ZCZGDH6</t>
        </is>
      </c>
    </row>
    <row r="3414">
      <c r="A3414" t="inlineStr">
        <is>
          <t>BBG01RZMPC17 Equity</t>
        </is>
      </c>
      <c r="B3414" t="inlineStr">
        <is>
          <t>TSLA US 03/20/26 P490</t>
        </is>
      </c>
      <c r="C3414" t="inlineStr">
        <is>
          <t>2026-03-20</t>
        </is>
      </c>
      <c r="D3414" t="n">
        <v>490</v>
      </c>
      <c r="E3414" t="inlineStr">
        <is>
          <t>BBG01RZMPC17</t>
        </is>
      </c>
    </row>
    <row r="3415">
      <c r="A3415" t="inlineStr">
        <is>
          <t>BBG01ZCZ9RM7 Equity</t>
        </is>
      </c>
      <c r="B3415" t="inlineStr">
        <is>
          <t>TSLA US 03/20/26 P495</t>
        </is>
      </c>
      <c r="C3415" t="inlineStr">
        <is>
          <t>2026-03-20</t>
        </is>
      </c>
      <c r="D3415" t="n">
        <v>495</v>
      </c>
      <c r="E3415" t="inlineStr">
        <is>
          <t>BBG01ZCZ9RM7</t>
        </is>
      </c>
    </row>
    <row r="3416">
      <c r="A3416" t="inlineStr">
        <is>
          <t>BBG01RZMP3K6 Equity</t>
        </is>
      </c>
      <c r="B3416" t="inlineStr">
        <is>
          <t>TSLA US 03/20/26 P500</t>
        </is>
      </c>
      <c r="C3416" t="inlineStr">
        <is>
          <t>2026-03-20</t>
        </is>
      </c>
      <c r="D3416" t="n">
        <v>500</v>
      </c>
      <c r="E3416" t="inlineStr">
        <is>
          <t>BBG01RZMP3K6</t>
        </is>
      </c>
    </row>
    <row r="3417">
      <c r="A3417" t="inlineStr">
        <is>
          <t>BBG01ZCZGNZ4 Equity</t>
        </is>
      </c>
      <c r="B3417" t="inlineStr">
        <is>
          <t>TSLA US 03/20/26 P505</t>
        </is>
      </c>
      <c r="C3417" t="inlineStr">
        <is>
          <t>2026-03-20</t>
        </is>
      </c>
      <c r="D3417" t="n">
        <v>505</v>
      </c>
      <c r="E3417" t="inlineStr">
        <is>
          <t>BBG01ZCZGNZ4</t>
        </is>
      </c>
    </row>
    <row r="3418">
      <c r="A3418" t="inlineStr">
        <is>
          <t>BBG01RZMPJQ5 Equity</t>
        </is>
      </c>
      <c r="B3418" t="inlineStr">
        <is>
          <t>TSLA US 03/20/26 P510</t>
        </is>
      </c>
      <c r="C3418" t="inlineStr">
        <is>
          <t>2026-03-20</t>
        </is>
      </c>
      <c r="D3418" t="n">
        <v>510</v>
      </c>
      <c r="E3418" t="inlineStr">
        <is>
          <t>BBG01RZMPJQ5</t>
        </is>
      </c>
    </row>
    <row r="3419">
      <c r="A3419" t="inlineStr">
        <is>
          <t>BBG01ZCZGQJ5 Equity</t>
        </is>
      </c>
      <c r="B3419" t="inlineStr">
        <is>
          <t>TSLA US 03/20/26 P515</t>
        </is>
      </c>
      <c r="C3419" t="inlineStr">
        <is>
          <t>2026-03-20</t>
        </is>
      </c>
      <c r="D3419" t="n">
        <v>515</v>
      </c>
      <c r="E3419" t="inlineStr">
        <is>
          <t>BBG01ZCZGQJ5</t>
        </is>
      </c>
    </row>
    <row r="3420">
      <c r="A3420" t="inlineStr">
        <is>
          <t>BBG01RZMP9T4 Equity</t>
        </is>
      </c>
      <c r="B3420" t="inlineStr">
        <is>
          <t>TSLA US 03/20/26 P520</t>
        </is>
      </c>
      <c r="C3420" t="inlineStr">
        <is>
          <t>2026-03-20</t>
        </is>
      </c>
      <c r="D3420" t="n">
        <v>520</v>
      </c>
      <c r="E3420" t="inlineStr">
        <is>
          <t>BBG01RZMP9T4</t>
        </is>
      </c>
    </row>
    <row r="3421">
      <c r="A3421" t="inlineStr">
        <is>
          <t>BBG01ZCZGFQ1 Equity</t>
        </is>
      </c>
      <c r="B3421" t="inlineStr">
        <is>
          <t>TSLA US 03/20/26 P525</t>
        </is>
      </c>
      <c r="C3421" t="inlineStr">
        <is>
          <t>2026-03-20</t>
        </is>
      </c>
      <c r="D3421" t="n">
        <v>525</v>
      </c>
      <c r="E3421" t="inlineStr">
        <is>
          <t>BBG01ZCZGFQ1</t>
        </is>
      </c>
    </row>
    <row r="3422">
      <c r="A3422" t="inlineStr">
        <is>
          <t>BBG01RZMPCZ0 Equity</t>
        </is>
      </c>
      <c r="B3422" t="inlineStr">
        <is>
          <t>TSLA US 03/20/26 P530</t>
        </is>
      </c>
      <c r="C3422" t="inlineStr">
        <is>
          <t>2026-03-20</t>
        </is>
      </c>
      <c r="D3422" t="n">
        <v>530</v>
      </c>
      <c r="E3422" t="inlineStr">
        <is>
          <t>BBG01RZMPCZ0</t>
        </is>
      </c>
    </row>
    <row r="3423">
      <c r="A3423" t="inlineStr">
        <is>
          <t>BBG01ZCZB3Y4 Equity</t>
        </is>
      </c>
      <c r="B3423" t="inlineStr">
        <is>
          <t>TSLA US 03/20/26 P535</t>
        </is>
      </c>
      <c r="C3423" t="inlineStr">
        <is>
          <t>2026-03-20</t>
        </is>
      </c>
      <c r="D3423" t="n">
        <v>535</v>
      </c>
      <c r="E3423" t="inlineStr">
        <is>
          <t>BBG01ZCZB3Y4</t>
        </is>
      </c>
    </row>
    <row r="3424">
      <c r="A3424" t="inlineStr">
        <is>
          <t>BBG01RZMPBF4 Equity</t>
        </is>
      </c>
      <c r="B3424" t="inlineStr">
        <is>
          <t>TSLA US 03/20/26 P540</t>
        </is>
      </c>
      <c r="C3424" t="inlineStr">
        <is>
          <t>2026-03-20</t>
        </is>
      </c>
      <c r="D3424" t="n">
        <v>540</v>
      </c>
      <c r="E3424" t="inlineStr">
        <is>
          <t>BBG01RZMPBF4</t>
        </is>
      </c>
    </row>
    <row r="3425">
      <c r="A3425" t="inlineStr">
        <is>
          <t>BBG01ZCZB3B9 Equity</t>
        </is>
      </c>
      <c r="B3425" t="inlineStr">
        <is>
          <t>TSLA US 03/20/26 P545</t>
        </is>
      </c>
      <c r="C3425" t="inlineStr">
        <is>
          <t>2026-03-20</t>
        </is>
      </c>
      <c r="D3425" t="n">
        <v>545</v>
      </c>
      <c r="E3425" t="inlineStr">
        <is>
          <t>BBG01ZCZB3B9</t>
        </is>
      </c>
    </row>
    <row r="3426">
      <c r="A3426" t="inlineStr">
        <is>
          <t>BBG01RZMP5C0 Equity</t>
        </is>
      </c>
      <c r="B3426" t="inlineStr">
        <is>
          <t>TSLA US 03/20/26 P550</t>
        </is>
      </c>
      <c r="C3426" t="inlineStr">
        <is>
          <t>2026-03-20</t>
        </is>
      </c>
      <c r="D3426" t="n">
        <v>550</v>
      </c>
      <c r="E3426" t="inlineStr">
        <is>
          <t>BBG01RZMP5C0</t>
        </is>
      </c>
    </row>
    <row r="3427">
      <c r="A3427" t="inlineStr">
        <is>
          <t>BBG01ZCZGSC8 Equity</t>
        </is>
      </c>
      <c r="B3427" t="inlineStr">
        <is>
          <t>TSLA US 03/20/26 P555</t>
        </is>
      </c>
      <c r="C3427" t="inlineStr">
        <is>
          <t>2026-03-20</t>
        </is>
      </c>
      <c r="D3427" t="n">
        <v>555</v>
      </c>
      <c r="E3427" t="inlineStr">
        <is>
          <t>BBG01ZCZGSC8</t>
        </is>
      </c>
    </row>
    <row r="3428">
      <c r="A3428" t="inlineStr">
        <is>
          <t>BBG01RZMMZS0 Equity</t>
        </is>
      </c>
      <c r="B3428" t="inlineStr">
        <is>
          <t>TSLA US 03/20/26 P560</t>
        </is>
      </c>
      <c r="C3428" t="inlineStr">
        <is>
          <t>2026-03-20</t>
        </is>
      </c>
      <c r="D3428" t="n">
        <v>560</v>
      </c>
      <c r="E3428" t="inlineStr">
        <is>
          <t>BBG01RZMMZS0</t>
        </is>
      </c>
    </row>
    <row r="3429">
      <c r="A3429" t="inlineStr">
        <is>
          <t>BBG01ZCZGRR4 Equity</t>
        </is>
      </c>
      <c r="B3429" t="inlineStr">
        <is>
          <t>TSLA US 03/20/26 P565</t>
        </is>
      </c>
      <c r="C3429" t="inlineStr">
        <is>
          <t>2026-03-20</t>
        </is>
      </c>
      <c r="D3429" t="n">
        <v>565</v>
      </c>
      <c r="E3429" t="inlineStr">
        <is>
          <t>BBG01ZCZGRR4</t>
        </is>
      </c>
    </row>
    <row r="3430">
      <c r="A3430" t="inlineStr">
        <is>
          <t>BBG01RZMNYG5 Equity</t>
        </is>
      </c>
      <c r="B3430" t="inlineStr">
        <is>
          <t>TSLA US 03/20/26 P570</t>
        </is>
      </c>
      <c r="C3430" t="inlineStr">
        <is>
          <t>2026-03-20</t>
        </is>
      </c>
      <c r="D3430" t="n">
        <v>570</v>
      </c>
      <c r="E3430" t="inlineStr">
        <is>
          <t>BBG01RZMNYG5</t>
        </is>
      </c>
    </row>
    <row r="3431">
      <c r="A3431" t="inlineStr">
        <is>
          <t>BBG01ZCZ9SV5 Equity</t>
        </is>
      </c>
      <c r="B3431" t="inlineStr">
        <is>
          <t>TSLA US 03/20/26 P575</t>
        </is>
      </c>
      <c r="C3431" t="inlineStr">
        <is>
          <t>2026-03-20</t>
        </is>
      </c>
      <c r="D3431" t="n">
        <v>575</v>
      </c>
      <c r="E3431" t="inlineStr">
        <is>
          <t>BBG01ZCZ9SV5</t>
        </is>
      </c>
    </row>
    <row r="3432">
      <c r="A3432" t="inlineStr">
        <is>
          <t>BBG01RZMP5Z5 Equity</t>
        </is>
      </c>
      <c r="B3432" t="inlineStr">
        <is>
          <t>TSLA US 03/20/26 P580</t>
        </is>
      </c>
      <c r="C3432" t="inlineStr">
        <is>
          <t>2026-03-20</t>
        </is>
      </c>
      <c r="D3432" t="n">
        <v>580</v>
      </c>
      <c r="E3432" t="inlineStr">
        <is>
          <t>BBG01RZMP5Z5</t>
        </is>
      </c>
    </row>
    <row r="3433">
      <c r="A3433" t="inlineStr">
        <is>
          <t>BBG01ZCZ9S72 Equity</t>
        </is>
      </c>
      <c r="B3433" t="inlineStr">
        <is>
          <t>TSLA US 03/20/26 P585</t>
        </is>
      </c>
      <c r="C3433" t="inlineStr">
        <is>
          <t>2026-03-20</t>
        </is>
      </c>
      <c r="D3433" t="n">
        <v>585</v>
      </c>
      <c r="E3433" t="inlineStr">
        <is>
          <t>BBG01ZCZ9S72</t>
        </is>
      </c>
    </row>
    <row r="3434">
      <c r="A3434" t="inlineStr">
        <is>
          <t>BBG01RZMN505 Equity</t>
        </is>
      </c>
      <c r="B3434" t="inlineStr">
        <is>
          <t>TSLA US 03/20/26 P590</t>
        </is>
      </c>
      <c r="C3434" t="inlineStr">
        <is>
          <t>2026-03-20</t>
        </is>
      </c>
      <c r="D3434" t="n">
        <v>590</v>
      </c>
      <c r="E3434" t="inlineStr">
        <is>
          <t>BBG01RZMN505</t>
        </is>
      </c>
    </row>
    <row r="3435">
      <c r="A3435" t="inlineStr">
        <is>
          <t>BBG01ZCZ9R01 Equity</t>
        </is>
      </c>
      <c r="B3435" t="inlineStr">
        <is>
          <t>TSLA US 03/20/26 P595</t>
        </is>
      </c>
      <c r="C3435" t="inlineStr">
        <is>
          <t>2026-03-20</t>
        </is>
      </c>
      <c r="D3435" t="n">
        <v>595</v>
      </c>
      <c r="E3435" t="inlineStr">
        <is>
          <t>BBG01ZCZ9R01</t>
        </is>
      </c>
    </row>
    <row r="3436">
      <c r="A3436" t="inlineStr">
        <is>
          <t>BBG01WXGFN90 Equity</t>
        </is>
      </c>
      <c r="B3436" t="inlineStr">
        <is>
          <t>TSLA US 04/17/26 P310</t>
        </is>
      </c>
      <c r="C3436" t="inlineStr">
        <is>
          <t>2026-04-17</t>
        </is>
      </c>
      <c r="D3436" t="n">
        <v>310</v>
      </c>
      <c r="E3436" t="inlineStr">
        <is>
          <t>BBG01WXGFN90</t>
        </is>
      </c>
    </row>
    <row r="3437">
      <c r="A3437" t="inlineStr">
        <is>
          <t>BBG01WXGGJ43 Equity</t>
        </is>
      </c>
      <c r="B3437" t="inlineStr">
        <is>
          <t>TSLA US 04/17/26 P315</t>
        </is>
      </c>
      <c r="C3437" t="inlineStr">
        <is>
          <t>2026-04-17</t>
        </is>
      </c>
      <c r="D3437" t="n">
        <v>315</v>
      </c>
      <c r="E3437" t="inlineStr">
        <is>
          <t>BBG01WXGGJ43</t>
        </is>
      </c>
    </row>
    <row r="3438">
      <c r="A3438" t="inlineStr">
        <is>
          <t>BBG01WXGGHJ1 Equity</t>
        </is>
      </c>
      <c r="B3438" t="inlineStr">
        <is>
          <t>TSLA US 04/17/26 P320</t>
        </is>
      </c>
      <c r="C3438" t="inlineStr">
        <is>
          <t>2026-04-17</t>
        </is>
      </c>
      <c r="D3438" t="n">
        <v>320</v>
      </c>
      <c r="E3438" t="inlineStr">
        <is>
          <t>BBG01WXGGHJ1</t>
        </is>
      </c>
    </row>
    <row r="3439">
      <c r="A3439" t="inlineStr">
        <is>
          <t>BBG01WXG9QV5 Equity</t>
        </is>
      </c>
      <c r="B3439" t="inlineStr">
        <is>
          <t>TSLA US 04/17/26 P325</t>
        </is>
      </c>
      <c r="C3439" t="inlineStr">
        <is>
          <t>2026-04-17</t>
        </is>
      </c>
      <c r="D3439" t="n">
        <v>325</v>
      </c>
      <c r="E3439" t="inlineStr">
        <is>
          <t>BBG01WXG9QV5</t>
        </is>
      </c>
    </row>
    <row r="3440">
      <c r="A3440" t="inlineStr">
        <is>
          <t>BBG01WXG79G2 Equity</t>
        </is>
      </c>
      <c r="B3440" t="inlineStr">
        <is>
          <t>TSLA US 04/17/26 P330</t>
        </is>
      </c>
      <c r="C3440" t="inlineStr">
        <is>
          <t>2026-04-17</t>
        </is>
      </c>
      <c r="D3440" t="n">
        <v>330</v>
      </c>
      <c r="E3440" t="inlineStr">
        <is>
          <t>BBG01WXG79G2</t>
        </is>
      </c>
    </row>
    <row r="3441">
      <c r="A3441" t="inlineStr">
        <is>
          <t>BBG01WXGDTV4 Equity</t>
        </is>
      </c>
      <c r="B3441" t="inlineStr">
        <is>
          <t>TSLA US 04/17/26 P335</t>
        </is>
      </c>
      <c r="C3441" t="inlineStr">
        <is>
          <t>2026-04-17</t>
        </is>
      </c>
      <c r="D3441" t="n">
        <v>335</v>
      </c>
      <c r="E3441" t="inlineStr">
        <is>
          <t>BBG01WXGDTV4</t>
        </is>
      </c>
    </row>
    <row r="3442">
      <c r="A3442" t="inlineStr">
        <is>
          <t>BBG01WXGDJT9 Equity</t>
        </is>
      </c>
      <c r="B3442" t="inlineStr">
        <is>
          <t>TSLA US 04/17/26 P340</t>
        </is>
      </c>
      <c r="C3442" t="inlineStr">
        <is>
          <t>2026-04-17</t>
        </is>
      </c>
      <c r="D3442" t="n">
        <v>340</v>
      </c>
      <c r="E3442" t="inlineStr">
        <is>
          <t>BBG01WXGDJT9</t>
        </is>
      </c>
    </row>
    <row r="3443">
      <c r="A3443" t="inlineStr">
        <is>
          <t>BBG01WXGD5G3 Equity</t>
        </is>
      </c>
      <c r="B3443" t="inlineStr">
        <is>
          <t>TSLA US 04/17/26 P345</t>
        </is>
      </c>
      <c r="C3443" t="inlineStr">
        <is>
          <t>2026-04-17</t>
        </is>
      </c>
      <c r="D3443" t="n">
        <v>345</v>
      </c>
      <c r="E3443" t="inlineStr">
        <is>
          <t>BBG01WXGD5G3</t>
        </is>
      </c>
    </row>
    <row r="3444">
      <c r="A3444" t="inlineStr">
        <is>
          <t>BBG01WXG9FB1 Equity</t>
        </is>
      </c>
      <c r="B3444" t="inlineStr">
        <is>
          <t>TSLA US 04/17/26 P350</t>
        </is>
      </c>
      <c r="C3444" t="inlineStr">
        <is>
          <t>2026-04-17</t>
        </is>
      </c>
      <c r="D3444" t="n">
        <v>350</v>
      </c>
      <c r="E3444" t="inlineStr">
        <is>
          <t>BBG01WXG9FB1</t>
        </is>
      </c>
    </row>
    <row r="3445">
      <c r="A3445" t="inlineStr">
        <is>
          <t>BBG01WXGGJR8 Equity</t>
        </is>
      </c>
      <c r="B3445" t="inlineStr">
        <is>
          <t>TSLA US 04/17/26 P355</t>
        </is>
      </c>
      <c r="C3445" t="inlineStr">
        <is>
          <t>2026-04-17</t>
        </is>
      </c>
      <c r="D3445" t="n">
        <v>355</v>
      </c>
      <c r="E3445" t="inlineStr">
        <is>
          <t>BBG01WXGGJR8</t>
        </is>
      </c>
    </row>
    <row r="3446">
      <c r="A3446" t="inlineStr">
        <is>
          <t>BBG01WXG9FY6 Equity</t>
        </is>
      </c>
      <c r="B3446" t="inlineStr">
        <is>
          <t>TSLA US 04/17/26 P360</t>
        </is>
      </c>
      <c r="C3446" t="inlineStr">
        <is>
          <t>2026-04-17</t>
        </is>
      </c>
      <c r="D3446" t="n">
        <v>360</v>
      </c>
      <c r="E3446" t="inlineStr">
        <is>
          <t>BBG01WXG9FY6</t>
        </is>
      </c>
    </row>
    <row r="3447">
      <c r="A3447" t="inlineStr">
        <is>
          <t>BBG01WXG74W5 Equity</t>
        </is>
      </c>
      <c r="B3447" t="inlineStr">
        <is>
          <t>TSLA US 04/17/26 P365</t>
        </is>
      </c>
      <c r="C3447" t="inlineStr">
        <is>
          <t>2026-04-17</t>
        </is>
      </c>
      <c r="D3447" t="n">
        <v>365</v>
      </c>
      <c r="E3447" t="inlineStr">
        <is>
          <t>BBG01WXG74W5</t>
        </is>
      </c>
    </row>
    <row r="3448">
      <c r="A3448" t="inlineStr">
        <is>
          <t>BBG01WXGDHL1 Equity</t>
        </is>
      </c>
      <c r="B3448" t="inlineStr">
        <is>
          <t>TSLA US 04/17/26 P370</t>
        </is>
      </c>
      <c r="C3448" t="inlineStr">
        <is>
          <t>2026-04-17</t>
        </is>
      </c>
      <c r="D3448" t="n">
        <v>370</v>
      </c>
      <c r="E3448" t="inlineStr">
        <is>
          <t>BBG01WXGDHL1</t>
        </is>
      </c>
    </row>
    <row r="3449">
      <c r="A3449" t="inlineStr">
        <is>
          <t>BBG0216B3N00 Equity</t>
        </is>
      </c>
      <c r="B3449" t="inlineStr">
        <is>
          <t>TSLA US 04/17/26 P372.5</t>
        </is>
      </c>
      <c r="C3449" t="inlineStr">
        <is>
          <t>2026-04-17</t>
        </is>
      </c>
      <c r="D3449" t="n">
        <v>372.5</v>
      </c>
      <c r="E3449" t="inlineStr">
        <is>
          <t>BBG0216B3N00</t>
        </is>
      </c>
    </row>
    <row r="3450">
      <c r="A3450" t="inlineStr">
        <is>
          <t>BBG01WXGDWP4 Equity</t>
        </is>
      </c>
      <c r="B3450" t="inlineStr">
        <is>
          <t>TSLA US 04/17/26 P375</t>
        </is>
      </c>
      <c r="C3450" t="inlineStr">
        <is>
          <t>2026-04-17</t>
        </is>
      </c>
      <c r="D3450" t="n">
        <v>375</v>
      </c>
      <c r="E3450" t="inlineStr">
        <is>
          <t>BBG01WXGDWP4</t>
        </is>
      </c>
    </row>
    <row r="3451">
      <c r="A3451" t="inlineStr">
        <is>
          <t>BBG0216B3MD8 Equity</t>
        </is>
      </c>
      <c r="B3451" t="inlineStr">
        <is>
          <t>TSLA US 04/17/26 P377.5</t>
        </is>
      </c>
      <c r="C3451" t="inlineStr">
        <is>
          <t>2026-04-17</t>
        </is>
      </c>
      <c r="D3451" t="n">
        <v>377.5</v>
      </c>
      <c r="E3451" t="inlineStr">
        <is>
          <t>BBG0216B3MD8</t>
        </is>
      </c>
    </row>
    <row r="3452">
      <c r="A3452" t="inlineStr">
        <is>
          <t>BBG01WXGDJ64 Equity</t>
        </is>
      </c>
      <c r="B3452" t="inlineStr">
        <is>
          <t>TSLA US 04/17/26 P380</t>
        </is>
      </c>
      <c r="C3452" t="inlineStr">
        <is>
          <t>2026-04-17</t>
        </is>
      </c>
      <c r="D3452" t="n">
        <v>380</v>
      </c>
      <c r="E3452" t="inlineStr">
        <is>
          <t>BBG01WXGDJ64</t>
        </is>
      </c>
    </row>
    <row r="3453">
      <c r="A3453" t="inlineStr">
        <is>
          <t>BBG0216B3Y88 Equity</t>
        </is>
      </c>
      <c r="B3453" t="inlineStr">
        <is>
          <t>TSLA US 04/17/26 P382.5</t>
        </is>
      </c>
      <c r="C3453" t="inlineStr">
        <is>
          <t>2026-04-17</t>
        </is>
      </c>
      <c r="D3453" t="n">
        <v>382.5</v>
      </c>
      <c r="E3453" t="inlineStr">
        <is>
          <t>BBG0216B3Y88</t>
        </is>
      </c>
    </row>
    <row r="3454">
      <c r="A3454" t="inlineStr">
        <is>
          <t>BBG01WXG8X69 Equity</t>
        </is>
      </c>
      <c r="B3454" t="inlineStr">
        <is>
          <t>TSLA US 04/17/26 P385</t>
        </is>
      </c>
      <c r="C3454" t="inlineStr">
        <is>
          <t>2026-04-17</t>
        </is>
      </c>
      <c r="D3454" t="n">
        <v>385</v>
      </c>
      <c r="E3454" t="inlineStr">
        <is>
          <t>BBG01WXG8X69</t>
        </is>
      </c>
    </row>
    <row r="3455">
      <c r="A3455" t="inlineStr">
        <is>
          <t>BBG0216B2KH9 Equity</t>
        </is>
      </c>
      <c r="B3455" t="inlineStr">
        <is>
          <t>TSLA US 04/17/26 P387.5</t>
        </is>
      </c>
      <c r="C3455" t="inlineStr">
        <is>
          <t>2026-04-17</t>
        </is>
      </c>
      <c r="D3455" t="n">
        <v>387.5</v>
      </c>
      <c r="E3455" t="inlineStr">
        <is>
          <t>BBG0216B2KH9</t>
        </is>
      </c>
    </row>
    <row r="3456">
      <c r="A3456" t="inlineStr">
        <is>
          <t>BBG01WXGG5L4 Equity</t>
        </is>
      </c>
      <c r="B3456" t="inlineStr">
        <is>
          <t>TSLA US 04/17/26 P390</t>
        </is>
      </c>
      <c r="C3456" t="inlineStr">
        <is>
          <t>2026-04-17</t>
        </is>
      </c>
      <c r="D3456" t="n">
        <v>390</v>
      </c>
      <c r="E3456" t="inlineStr">
        <is>
          <t>BBG01WXGG5L4</t>
        </is>
      </c>
    </row>
    <row r="3457">
      <c r="A3457" t="inlineStr">
        <is>
          <t>BBG0216B3NM6 Equity</t>
        </is>
      </c>
      <c r="B3457" t="inlineStr">
        <is>
          <t>TSLA US 04/17/26 P392.5</t>
        </is>
      </c>
      <c r="C3457" t="inlineStr">
        <is>
          <t>2026-04-17</t>
        </is>
      </c>
      <c r="D3457" t="n">
        <v>392.5</v>
      </c>
      <c r="E3457" t="inlineStr">
        <is>
          <t>BBG0216B3NM6</t>
        </is>
      </c>
    </row>
    <row r="3458">
      <c r="A3458" t="inlineStr">
        <is>
          <t>BBG01WXGD4V9 Equity</t>
        </is>
      </c>
      <c r="B3458" t="inlineStr">
        <is>
          <t>TSLA US 04/17/26 P395</t>
        </is>
      </c>
      <c r="C3458" t="inlineStr">
        <is>
          <t>2026-04-17</t>
        </is>
      </c>
      <c r="D3458" t="n">
        <v>395</v>
      </c>
      <c r="E3458" t="inlineStr">
        <is>
          <t>BBG01WXGD4V9</t>
        </is>
      </c>
    </row>
    <row r="3459">
      <c r="A3459" t="inlineStr">
        <is>
          <t>BBG0216B2JW5 Equity</t>
        </is>
      </c>
      <c r="B3459" t="inlineStr">
        <is>
          <t>TSLA US 04/17/26 P397.5</t>
        </is>
      </c>
      <c r="C3459" t="inlineStr">
        <is>
          <t>2026-04-17</t>
        </is>
      </c>
      <c r="D3459" t="n">
        <v>397.5</v>
      </c>
      <c r="E3459" t="inlineStr">
        <is>
          <t>BBG0216B2JW5</t>
        </is>
      </c>
    </row>
    <row r="3460">
      <c r="A3460" t="inlineStr">
        <is>
          <t>BBG01WXG9PM7 Equity</t>
        </is>
      </c>
      <c r="B3460" t="inlineStr">
        <is>
          <t>TSLA US 04/17/26 P400</t>
        </is>
      </c>
      <c r="C3460" t="inlineStr">
        <is>
          <t>2026-04-17</t>
        </is>
      </c>
      <c r="D3460" t="n">
        <v>400</v>
      </c>
      <c r="E3460" t="inlineStr">
        <is>
          <t>BBG01WXG9PM7</t>
        </is>
      </c>
    </row>
    <row r="3461">
      <c r="A3461" t="inlineStr">
        <is>
          <t>BBG0216B3YW1 Equity</t>
        </is>
      </c>
      <c r="B3461" t="inlineStr">
        <is>
          <t>TSLA US 04/17/26 P402.5</t>
        </is>
      </c>
      <c r="C3461" t="inlineStr">
        <is>
          <t>2026-04-17</t>
        </is>
      </c>
      <c r="D3461" t="n">
        <v>402.5</v>
      </c>
      <c r="E3461" t="inlineStr">
        <is>
          <t>BBG0216B3YW1</t>
        </is>
      </c>
    </row>
    <row r="3462">
      <c r="A3462" t="inlineStr">
        <is>
          <t>BBG01WXG7GV9 Equity</t>
        </is>
      </c>
      <c r="B3462" t="inlineStr">
        <is>
          <t>TSLA US 04/17/26 P405</t>
        </is>
      </c>
      <c r="C3462" t="inlineStr">
        <is>
          <t>2026-04-17</t>
        </is>
      </c>
      <c r="D3462" t="n">
        <v>405</v>
      </c>
      <c r="E3462" t="inlineStr">
        <is>
          <t>BBG01WXG7GV9</t>
        </is>
      </c>
    </row>
    <row r="3463">
      <c r="A3463" t="inlineStr">
        <is>
          <t>BBG01WXGDW29 Equity</t>
        </is>
      </c>
      <c r="B3463" t="inlineStr">
        <is>
          <t>TSLA US 04/17/26 P410</t>
        </is>
      </c>
      <c r="C3463" t="inlineStr">
        <is>
          <t>2026-04-17</t>
        </is>
      </c>
      <c r="D3463" t="n">
        <v>410</v>
      </c>
      <c r="E3463" t="inlineStr">
        <is>
          <t>BBG01WXGDW29</t>
        </is>
      </c>
    </row>
    <row r="3464">
      <c r="A3464" t="inlineStr">
        <is>
          <t>BBG01WXG8XT4 Equity</t>
        </is>
      </c>
      <c r="B3464" t="inlineStr">
        <is>
          <t>TSLA US 04/17/26 P415</t>
        </is>
      </c>
      <c r="C3464" t="inlineStr">
        <is>
          <t>2026-04-17</t>
        </is>
      </c>
      <c r="D3464" t="n">
        <v>415</v>
      </c>
      <c r="E3464" t="inlineStr">
        <is>
          <t>BBG01WXG8XT4</t>
        </is>
      </c>
    </row>
    <row r="3465">
      <c r="A3465" t="inlineStr">
        <is>
          <t>BBG01WXG9RG0 Equity</t>
        </is>
      </c>
      <c r="B3465" t="inlineStr">
        <is>
          <t>TSLA US 04/17/26 P420</t>
        </is>
      </c>
      <c r="C3465" t="inlineStr">
        <is>
          <t>2026-04-17</t>
        </is>
      </c>
      <c r="D3465" t="n">
        <v>420</v>
      </c>
      <c r="E3465" t="inlineStr">
        <is>
          <t>BBG01WXG9RG0</t>
        </is>
      </c>
    </row>
    <row r="3466">
      <c r="A3466" t="inlineStr">
        <is>
          <t>BBG01WXGBSC9 Equity</t>
        </is>
      </c>
      <c r="B3466" t="inlineStr">
        <is>
          <t>TSLA US 04/17/26 P425</t>
        </is>
      </c>
      <c r="C3466" t="inlineStr">
        <is>
          <t>2026-04-17</t>
        </is>
      </c>
      <c r="D3466" t="n">
        <v>425</v>
      </c>
      <c r="E3466" t="inlineStr">
        <is>
          <t>BBG01WXGBSC9</t>
        </is>
      </c>
    </row>
    <row r="3467">
      <c r="A3467" t="inlineStr">
        <is>
          <t>BBG01WXGBR40 Equity</t>
        </is>
      </c>
      <c r="B3467" t="inlineStr">
        <is>
          <t>TSLA US 04/17/26 P430</t>
        </is>
      </c>
      <c r="C3467" t="inlineStr">
        <is>
          <t>2026-04-17</t>
        </is>
      </c>
      <c r="D3467" t="n">
        <v>430</v>
      </c>
      <c r="E3467" t="inlineStr">
        <is>
          <t>BBG01WXGBR40</t>
        </is>
      </c>
    </row>
    <row r="3468">
      <c r="A3468" t="inlineStr">
        <is>
          <t>BBG01WXG75H9 Equity</t>
        </is>
      </c>
      <c r="B3468" t="inlineStr">
        <is>
          <t>TSLA US 04/17/26 P435</t>
        </is>
      </c>
      <c r="C3468" t="inlineStr">
        <is>
          <t>2026-04-17</t>
        </is>
      </c>
      <c r="D3468" t="n">
        <v>435</v>
      </c>
      <c r="E3468" t="inlineStr">
        <is>
          <t>BBG01WXG75H9</t>
        </is>
      </c>
    </row>
    <row r="3469">
      <c r="A3469" t="inlineStr">
        <is>
          <t>BBG01WXG8WL4 Equity</t>
        </is>
      </c>
      <c r="B3469" t="inlineStr">
        <is>
          <t>TSLA US 04/17/26 P440</t>
        </is>
      </c>
      <c r="C3469" t="inlineStr">
        <is>
          <t>2026-04-17</t>
        </is>
      </c>
      <c r="D3469" t="n">
        <v>440</v>
      </c>
      <c r="E3469" t="inlineStr">
        <is>
          <t>BBG01WXG8WL4</t>
        </is>
      </c>
    </row>
    <row r="3470">
      <c r="A3470" t="inlineStr">
        <is>
          <t>BBG01WXGDXM5 Equity</t>
        </is>
      </c>
      <c r="B3470" t="inlineStr">
        <is>
          <t>TSLA US 04/17/26 P445</t>
        </is>
      </c>
      <c r="C3470" t="inlineStr">
        <is>
          <t>2026-04-17</t>
        </is>
      </c>
      <c r="D3470" t="n">
        <v>445</v>
      </c>
      <c r="E3470" t="inlineStr">
        <is>
          <t>BBG01WXGDXM5</t>
        </is>
      </c>
    </row>
    <row r="3471">
      <c r="A3471" t="inlineStr">
        <is>
          <t>BBG01WXG8VZ1 Equity</t>
        </is>
      </c>
      <c r="B3471" t="inlineStr">
        <is>
          <t>TSLA US 04/17/26 P450</t>
        </is>
      </c>
      <c r="C3471" t="inlineStr">
        <is>
          <t>2026-04-17</t>
        </is>
      </c>
      <c r="D3471" t="n">
        <v>450</v>
      </c>
      <c r="E3471" t="inlineStr">
        <is>
          <t>BBG01WXG8VZ1</t>
        </is>
      </c>
    </row>
    <row r="3472">
      <c r="A3472" t="inlineStr">
        <is>
          <t>BBG01WXG9S23 Equity</t>
        </is>
      </c>
      <c r="B3472" t="inlineStr">
        <is>
          <t>TSLA US 04/17/26 P455</t>
        </is>
      </c>
      <c r="C3472" t="inlineStr">
        <is>
          <t>2026-04-17</t>
        </is>
      </c>
      <c r="D3472" t="n">
        <v>455</v>
      </c>
      <c r="E3472" t="inlineStr">
        <is>
          <t>BBG01WXG9S23</t>
        </is>
      </c>
    </row>
    <row r="3473">
      <c r="A3473" t="inlineStr">
        <is>
          <t>BBG01WXGD3M1 Equity</t>
        </is>
      </c>
      <c r="B3473" t="inlineStr">
        <is>
          <t>TSLA US 04/17/26 P460</t>
        </is>
      </c>
      <c r="C3473" t="inlineStr">
        <is>
          <t>2026-04-17</t>
        </is>
      </c>
      <c r="D3473" t="n">
        <v>460</v>
      </c>
      <c r="E3473" t="inlineStr">
        <is>
          <t>BBG01WXGD3M1</t>
        </is>
      </c>
    </row>
    <row r="3474">
      <c r="A3474" t="inlineStr">
        <is>
          <t>BBG01WXGBSZ4 Equity</t>
        </is>
      </c>
      <c r="B3474" t="inlineStr">
        <is>
          <t>TSLA US 04/17/26 P465</t>
        </is>
      </c>
      <c r="C3474" t="inlineStr">
        <is>
          <t>2026-04-17</t>
        </is>
      </c>
      <c r="D3474" t="n">
        <v>465</v>
      </c>
      <c r="E3474" t="inlineStr">
        <is>
          <t>BBG01WXGBSZ4</t>
        </is>
      </c>
    </row>
    <row r="3475">
      <c r="A3475" t="inlineStr">
        <is>
          <t>BBG01WXGD476 Equity</t>
        </is>
      </c>
      <c r="B3475" t="inlineStr">
        <is>
          <t>TSLA US 04/17/26 P470</t>
        </is>
      </c>
      <c r="C3475" t="inlineStr">
        <is>
          <t>2026-04-17</t>
        </is>
      </c>
      <c r="D3475" t="n">
        <v>470</v>
      </c>
      <c r="E3475" t="inlineStr">
        <is>
          <t>BBG01WXGD476</t>
        </is>
      </c>
    </row>
    <row r="3476">
      <c r="A3476" t="inlineStr">
        <is>
          <t>BBG01WXGDFN3 Equity</t>
        </is>
      </c>
      <c r="B3476" t="inlineStr">
        <is>
          <t>TSLA US 04/17/26 P475</t>
        </is>
      </c>
      <c r="C3476" t="inlineStr">
        <is>
          <t>2026-04-17</t>
        </is>
      </c>
      <c r="D3476" t="n">
        <v>475</v>
      </c>
      <c r="E3476" t="inlineStr">
        <is>
          <t>BBG01WXGDFN3</t>
        </is>
      </c>
    </row>
    <row r="3477">
      <c r="A3477" t="inlineStr">
        <is>
          <t>BBG01WXGD2D3 Equity</t>
        </is>
      </c>
      <c r="B3477" t="inlineStr">
        <is>
          <t>TSLA US 04/17/26 P480</t>
        </is>
      </c>
      <c r="C3477" t="inlineStr">
        <is>
          <t>2026-04-17</t>
        </is>
      </c>
      <c r="D3477" t="n">
        <v>480</v>
      </c>
      <c r="E3477" t="inlineStr">
        <is>
          <t>BBG01WXGD2D3</t>
        </is>
      </c>
    </row>
    <row r="3478">
      <c r="A3478" t="inlineStr">
        <is>
          <t>BBG01WXGDY70 Equity</t>
        </is>
      </c>
      <c r="B3478" t="inlineStr">
        <is>
          <t>TSLA US 04/17/26 P485</t>
        </is>
      </c>
      <c r="C3478" t="inlineStr">
        <is>
          <t>2026-04-17</t>
        </is>
      </c>
      <c r="D3478" t="n">
        <v>485</v>
      </c>
      <c r="E3478" t="inlineStr">
        <is>
          <t>BBG01WXGDY70</t>
        </is>
      </c>
    </row>
    <row r="3479">
      <c r="A3479" t="inlineStr">
        <is>
          <t>BBG01WXGD305 Equity</t>
        </is>
      </c>
      <c r="B3479" t="inlineStr">
        <is>
          <t>TSLA US 04/17/26 P490</t>
        </is>
      </c>
      <c r="C3479" t="inlineStr">
        <is>
          <t>2026-04-17</t>
        </is>
      </c>
      <c r="D3479" t="n">
        <v>490</v>
      </c>
      <c r="E3479" t="inlineStr">
        <is>
          <t>BBG01WXGD305</t>
        </is>
      </c>
    </row>
    <row r="3480">
      <c r="A3480" t="inlineStr">
        <is>
          <t>BBG01WXGG4Z2 Equity</t>
        </is>
      </c>
      <c r="B3480" t="inlineStr">
        <is>
          <t>TSLA US 04/17/26 P495</t>
        </is>
      </c>
      <c r="C3480" t="inlineStr">
        <is>
          <t>2026-04-17</t>
        </is>
      </c>
      <c r="D3480" t="n">
        <v>495</v>
      </c>
      <c r="E3480" t="inlineStr">
        <is>
          <t>BBG01WXGG4Z2</t>
        </is>
      </c>
    </row>
    <row r="3481">
      <c r="A3481" t="inlineStr">
        <is>
          <t>BBG01WXGGKR5 Equity</t>
        </is>
      </c>
      <c r="B3481" t="inlineStr">
        <is>
          <t>TSLA US 04/17/26 P500</t>
        </is>
      </c>
      <c r="C3481" t="inlineStr">
        <is>
          <t>2026-04-17</t>
        </is>
      </c>
      <c r="D3481" t="n">
        <v>500</v>
      </c>
      <c r="E3481" t="inlineStr">
        <is>
          <t>BBG01WXGGKR5</t>
        </is>
      </c>
    </row>
    <row r="3482">
      <c r="A3482" t="inlineStr">
        <is>
          <t>BBG01WXGG286 Equity</t>
        </is>
      </c>
      <c r="B3482" t="inlineStr">
        <is>
          <t>TSLA US 04/17/26 P505</t>
        </is>
      </c>
      <c r="C3482" t="inlineStr">
        <is>
          <t>2026-04-17</t>
        </is>
      </c>
      <c r="D3482" t="n">
        <v>505</v>
      </c>
      <c r="E3482" t="inlineStr">
        <is>
          <t>BBG01WXGG286</t>
        </is>
      </c>
    </row>
    <row r="3483">
      <c r="A3483" t="inlineStr">
        <is>
          <t>BBG01WXGDF17 Equity</t>
        </is>
      </c>
      <c r="B3483" t="inlineStr">
        <is>
          <t>TSLA US 04/17/26 P510</t>
        </is>
      </c>
      <c r="C3483" t="inlineStr">
        <is>
          <t>2026-04-17</t>
        </is>
      </c>
      <c r="D3483" t="n">
        <v>510</v>
      </c>
      <c r="E3483" t="inlineStr">
        <is>
          <t>BBG01WXGDF17</t>
        </is>
      </c>
    </row>
    <row r="3484">
      <c r="A3484" t="inlineStr">
        <is>
          <t>BBG01WXGBX10 Equity</t>
        </is>
      </c>
      <c r="B3484" t="inlineStr">
        <is>
          <t>TSLA US 04/17/26 P515</t>
        </is>
      </c>
      <c r="C3484" t="inlineStr">
        <is>
          <t>2026-04-17</t>
        </is>
      </c>
      <c r="D3484" t="n">
        <v>515</v>
      </c>
      <c r="E3484" t="inlineStr">
        <is>
          <t>BBG01WXGBX10</t>
        </is>
      </c>
    </row>
    <row r="3485">
      <c r="A3485" t="inlineStr">
        <is>
          <t>BBG01WXGDYV3 Equity</t>
        </is>
      </c>
      <c r="B3485" t="inlineStr">
        <is>
          <t>TSLA US 04/17/26 P520</t>
        </is>
      </c>
      <c r="C3485" t="inlineStr">
        <is>
          <t>2026-04-17</t>
        </is>
      </c>
      <c r="D3485" t="n">
        <v>520</v>
      </c>
      <c r="E3485" t="inlineStr">
        <is>
          <t>BBG01WXGDYV3</t>
        </is>
      </c>
    </row>
    <row r="3486">
      <c r="A3486" t="inlineStr">
        <is>
          <t>BBG01WXG93G3 Equity</t>
        </is>
      </c>
      <c r="B3486" t="inlineStr">
        <is>
          <t>TSLA US 04/17/26 P525</t>
        </is>
      </c>
      <c r="C3486" t="inlineStr">
        <is>
          <t>2026-04-17</t>
        </is>
      </c>
      <c r="D3486" t="n">
        <v>525</v>
      </c>
      <c r="E3486" t="inlineStr">
        <is>
          <t>BBG01WXG93G3</t>
        </is>
      </c>
    </row>
    <row r="3487">
      <c r="A3487" t="inlineStr">
        <is>
          <t>BBG01WXGDDF7 Equity</t>
        </is>
      </c>
      <c r="B3487" t="inlineStr">
        <is>
          <t>TSLA US 04/17/26 P530</t>
        </is>
      </c>
      <c r="C3487" t="inlineStr">
        <is>
          <t>2026-04-17</t>
        </is>
      </c>
      <c r="D3487" t="n">
        <v>530</v>
      </c>
      <c r="E3487" t="inlineStr">
        <is>
          <t>BBG01WXGDDF7</t>
        </is>
      </c>
    </row>
    <row r="3488">
      <c r="A3488" t="inlineStr">
        <is>
          <t>BBG01WXGBRR5 Equity</t>
        </is>
      </c>
      <c r="B3488" t="inlineStr">
        <is>
          <t>TSLA US 04/17/26 P535</t>
        </is>
      </c>
      <c r="C3488" t="inlineStr">
        <is>
          <t>2026-04-17</t>
        </is>
      </c>
      <c r="D3488" t="n">
        <v>535</v>
      </c>
      <c r="E3488" t="inlineStr">
        <is>
          <t>BBG01WXGBRR5</t>
        </is>
      </c>
    </row>
    <row r="3489">
      <c r="A3489" t="inlineStr">
        <is>
          <t>BBG01WXGDGL3 Equity</t>
        </is>
      </c>
      <c r="B3489" t="inlineStr">
        <is>
          <t>TSLA US 04/17/26 P540</t>
        </is>
      </c>
      <c r="C3489" t="inlineStr">
        <is>
          <t>2026-04-17</t>
        </is>
      </c>
      <c r="D3489" t="n">
        <v>540</v>
      </c>
      <c r="E3489" t="inlineStr">
        <is>
          <t>BBG01WXGDGL3</t>
        </is>
      </c>
    </row>
    <row r="3490">
      <c r="A3490" t="inlineStr">
        <is>
          <t>BBG01WXG9275 Equity</t>
        </is>
      </c>
      <c r="B3490" t="inlineStr">
        <is>
          <t>TSLA US 04/17/26 P545</t>
        </is>
      </c>
      <c r="C3490" t="inlineStr">
        <is>
          <t>2026-04-17</t>
        </is>
      </c>
      <c r="D3490" t="n">
        <v>545</v>
      </c>
      <c r="E3490" t="inlineStr">
        <is>
          <t>BBG01WXG9275</t>
        </is>
      </c>
    </row>
    <row r="3491">
      <c r="A3491" t="inlineStr">
        <is>
          <t>BBG01WXG47H8 Equity</t>
        </is>
      </c>
      <c r="B3491" t="inlineStr">
        <is>
          <t>TSLA US 04/17/26 P550</t>
        </is>
      </c>
      <c r="C3491" t="inlineStr">
        <is>
          <t>2026-04-17</t>
        </is>
      </c>
      <c r="D3491" t="n">
        <v>550</v>
      </c>
      <c r="E3491" t="inlineStr">
        <is>
          <t>BBG01WXG47H8</t>
        </is>
      </c>
    </row>
    <row r="3492">
      <c r="A3492" t="inlineStr">
        <is>
          <t>BBG01WXGF0T8 Equity</t>
        </is>
      </c>
      <c r="B3492" t="inlineStr">
        <is>
          <t>TSLA US 04/17/26 P555</t>
        </is>
      </c>
      <c r="C3492" t="inlineStr">
        <is>
          <t>2026-04-17</t>
        </is>
      </c>
      <c r="D3492" t="n">
        <v>555</v>
      </c>
      <c r="E3492" t="inlineStr">
        <is>
          <t>BBG01WXGF0T8</t>
        </is>
      </c>
    </row>
    <row r="3493">
      <c r="A3493" t="inlineStr">
        <is>
          <t>BBG01WXGDG88 Equity</t>
        </is>
      </c>
      <c r="B3493" t="inlineStr">
        <is>
          <t>TSLA US 04/17/26 P560</t>
        </is>
      </c>
      <c r="C3493" t="inlineStr">
        <is>
          <t>2026-04-17</t>
        </is>
      </c>
      <c r="D3493" t="n">
        <v>560</v>
      </c>
      <c r="E3493" t="inlineStr">
        <is>
          <t>BBG01WXGDG88</t>
        </is>
      </c>
    </row>
    <row r="3494">
      <c r="A3494" t="inlineStr">
        <is>
          <t>BBG01WXGBLK5 Equity</t>
        </is>
      </c>
      <c r="B3494" t="inlineStr">
        <is>
          <t>TSLA US 04/17/26 P565</t>
        </is>
      </c>
      <c r="C3494" t="inlineStr">
        <is>
          <t>2026-04-17</t>
        </is>
      </c>
      <c r="D3494" t="n">
        <v>565</v>
      </c>
      <c r="E3494" t="inlineStr">
        <is>
          <t>BBG01WXGBLK5</t>
        </is>
      </c>
    </row>
    <row r="3495">
      <c r="A3495" t="inlineStr">
        <is>
          <t>BBG01WXGB5R3 Equity</t>
        </is>
      </c>
      <c r="B3495" t="inlineStr">
        <is>
          <t>TSLA US 04/17/26 P570</t>
        </is>
      </c>
      <c r="C3495" t="inlineStr">
        <is>
          <t>2026-04-17</t>
        </is>
      </c>
      <c r="D3495" t="n">
        <v>570</v>
      </c>
      <c r="E3495" t="inlineStr">
        <is>
          <t>BBG01WXGB5R3</t>
        </is>
      </c>
    </row>
    <row r="3496">
      <c r="A3496" t="inlineStr">
        <is>
          <t>BBG01WXGGNZ0 Equity</t>
        </is>
      </c>
      <c r="B3496" t="inlineStr">
        <is>
          <t>TSLA US 04/17/26 P575</t>
        </is>
      </c>
      <c r="C3496" t="inlineStr">
        <is>
          <t>2026-04-17</t>
        </is>
      </c>
      <c r="D3496" t="n">
        <v>575</v>
      </c>
      <c r="E3496" t="inlineStr">
        <is>
          <t>BBG01WXGGNZ0</t>
        </is>
      </c>
    </row>
    <row r="3497">
      <c r="A3497" t="inlineStr">
        <is>
          <t>BBG01WXGB548 Equity</t>
        </is>
      </c>
      <c r="B3497" t="inlineStr">
        <is>
          <t>TSLA US 04/17/26 P580</t>
        </is>
      </c>
      <c r="C3497" t="inlineStr">
        <is>
          <t>2026-04-17</t>
        </is>
      </c>
      <c r="D3497" t="n">
        <v>580</v>
      </c>
      <c r="E3497" t="inlineStr">
        <is>
          <t>BBG01WXGB548</t>
        </is>
      </c>
    </row>
    <row r="3498">
      <c r="A3498" t="inlineStr">
        <is>
          <t>BBG01VQKP0X3 Equity</t>
        </is>
      </c>
      <c r="B3498" t="inlineStr">
        <is>
          <t>TSLA US 05/15/26 P310</t>
        </is>
      </c>
      <c r="C3498" t="inlineStr">
        <is>
          <t>2026-05-15</t>
        </is>
      </c>
      <c r="D3498" t="n">
        <v>310</v>
      </c>
      <c r="E3498" t="inlineStr">
        <is>
          <t>BBG01VQKP0X3</t>
        </is>
      </c>
    </row>
    <row r="3499">
      <c r="A3499" t="inlineStr">
        <is>
          <t>BBG020J9DML1 Equity</t>
        </is>
      </c>
      <c r="B3499" t="inlineStr">
        <is>
          <t>TSLA US 05/15/26 P315</t>
        </is>
      </c>
      <c r="C3499" t="inlineStr">
        <is>
          <t>2026-05-15</t>
        </is>
      </c>
      <c r="D3499" t="n">
        <v>315</v>
      </c>
      <c r="E3499" t="inlineStr">
        <is>
          <t>BBG020J9DML1</t>
        </is>
      </c>
    </row>
    <row r="3500">
      <c r="A3500" t="inlineStr">
        <is>
          <t>BBG01VQKMB71 Equity</t>
        </is>
      </c>
      <c r="B3500" t="inlineStr">
        <is>
          <t>TSLA US 05/15/26 P320</t>
        </is>
      </c>
      <c r="C3500" t="inlineStr">
        <is>
          <t>2026-05-15</t>
        </is>
      </c>
      <c r="D3500" t="n">
        <v>320</v>
      </c>
      <c r="E3500" t="inlineStr">
        <is>
          <t>BBG01VQKMB71</t>
        </is>
      </c>
    </row>
    <row r="3501">
      <c r="A3501" t="inlineStr">
        <is>
          <t>BBG020J9DN66 Equity</t>
        </is>
      </c>
      <c r="B3501" t="inlineStr">
        <is>
          <t>TSLA US 05/15/26 P325</t>
        </is>
      </c>
      <c r="C3501" t="inlineStr">
        <is>
          <t>2026-05-15</t>
        </is>
      </c>
      <c r="D3501" t="n">
        <v>325</v>
      </c>
      <c r="E3501" t="inlineStr">
        <is>
          <t>BBG020J9DN66</t>
        </is>
      </c>
    </row>
    <row r="3502">
      <c r="A3502" t="inlineStr">
        <is>
          <t>BBG01VQKMMS4 Equity</t>
        </is>
      </c>
      <c r="B3502" t="inlineStr">
        <is>
          <t>TSLA US 05/15/26 P330</t>
        </is>
      </c>
      <c r="C3502" t="inlineStr">
        <is>
          <t>2026-05-15</t>
        </is>
      </c>
      <c r="D3502" t="n">
        <v>330</v>
      </c>
      <c r="E3502" t="inlineStr">
        <is>
          <t>BBG01VQKMMS4</t>
        </is>
      </c>
    </row>
    <row r="3503">
      <c r="A3503" t="inlineStr">
        <is>
          <t>BBG020J99WQ9 Equity</t>
        </is>
      </c>
      <c r="B3503" t="inlineStr">
        <is>
          <t>TSLA US 05/15/26 P335</t>
        </is>
      </c>
      <c r="C3503" t="inlineStr">
        <is>
          <t>2026-05-15</t>
        </is>
      </c>
      <c r="D3503" t="n">
        <v>335</v>
      </c>
      <c r="E3503" t="inlineStr">
        <is>
          <t>BBG020J99WQ9</t>
        </is>
      </c>
    </row>
    <row r="3504">
      <c r="A3504" t="inlineStr">
        <is>
          <t>BBG01VQKMPJ7 Equity</t>
        </is>
      </c>
      <c r="B3504" t="inlineStr">
        <is>
          <t>TSLA US 05/15/26 P340</t>
        </is>
      </c>
      <c r="C3504" t="inlineStr">
        <is>
          <t>2026-05-15</t>
        </is>
      </c>
      <c r="D3504" t="n">
        <v>340</v>
      </c>
      <c r="E3504" t="inlineStr">
        <is>
          <t>BBG01VQKMPJ7</t>
        </is>
      </c>
    </row>
    <row r="3505">
      <c r="A3505" t="inlineStr">
        <is>
          <t>BBG020J9D6X3 Equity</t>
        </is>
      </c>
      <c r="B3505" t="inlineStr">
        <is>
          <t>TSLA US 05/15/26 P345</t>
        </is>
      </c>
      <c r="C3505" t="inlineStr">
        <is>
          <t>2026-05-15</t>
        </is>
      </c>
      <c r="D3505" t="n">
        <v>345</v>
      </c>
      <c r="E3505" t="inlineStr">
        <is>
          <t>BBG020J9D6X3</t>
        </is>
      </c>
    </row>
    <row r="3506">
      <c r="A3506" t="inlineStr">
        <is>
          <t>BBG01VQKN2V3 Equity</t>
        </is>
      </c>
      <c r="B3506" t="inlineStr">
        <is>
          <t>TSLA US 05/15/26 P350</t>
        </is>
      </c>
      <c r="C3506" t="inlineStr">
        <is>
          <t>2026-05-15</t>
        </is>
      </c>
      <c r="D3506" t="n">
        <v>350</v>
      </c>
      <c r="E3506" t="inlineStr">
        <is>
          <t>BBG01VQKN2V3</t>
        </is>
      </c>
    </row>
    <row r="3507">
      <c r="A3507" t="inlineStr">
        <is>
          <t>BBG020J99W34 Equity</t>
        </is>
      </c>
      <c r="B3507" t="inlineStr">
        <is>
          <t>TSLA US 05/15/26 P355</t>
        </is>
      </c>
      <c r="C3507" t="inlineStr">
        <is>
          <t>2026-05-15</t>
        </is>
      </c>
      <c r="D3507" t="n">
        <v>355</v>
      </c>
      <c r="E3507" t="inlineStr">
        <is>
          <t>BBG020J99W34</t>
        </is>
      </c>
    </row>
    <row r="3508">
      <c r="A3508" t="inlineStr">
        <is>
          <t>BBG01VQKMNX6 Equity</t>
        </is>
      </c>
      <c r="B3508" t="inlineStr">
        <is>
          <t>TSLA US 05/15/26 P360</t>
        </is>
      </c>
      <c r="C3508" t="inlineStr">
        <is>
          <t>2026-05-15</t>
        </is>
      </c>
      <c r="D3508" t="n">
        <v>360</v>
      </c>
      <c r="E3508" t="inlineStr">
        <is>
          <t>BBG01VQKMNX6</t>
        </is>
      </c>
    </row>
    <row r="3509">
      <c r="A3509" t="inlineStr">
        <is>
          <t>BBG020J9D084 Equity</t>
        </is>
      </c>
      <c r="B3509" t="inlineStr">
        <is>
          <t>TSLA US 05/15/26 P365</t>
        </is>
      </c>
      <c r="C3509" t="inlineStr">
        <is>
          <t>2026-05-15</t>
        </is>
      </c>
      <c r="D3509" t="n">
        <v>365</v>
      </c>
      <c r="E3509" t="inlineStr">
        <is>
          <t>BBG020J9D084</t>
        </is>
      </c>
    </row>
    <row r="3510">
      <c r="A3510" t="inlineStr">
        <is>
          <t>BBG01VQKMM59 Equity</t>
        </is>
      </c>
      <c r="B3510" t="inlineStr">
        <is>
          <t>TSLA US 05/15/26 P370</t>
        </is>
      </c>
      <c r="C3510" t="inlineStr">
        <is>
          <t>2026-05-15</t>
        </is>
      </c>
      <c r="D3510" t="n">
        <v>370</v>
      </c>
      <c r="E3510" t="inlineStr">
        <is>
          <t>BBG01VQKMM59</t>
        </is>
      </c>
    </row>
    <row r="3511">
      <c r="A3511" t="inlineStr">
        <is>
          <t>BBG020J9CSS2 Equity</t>
        </is>
      </c>
      <c r="B3511" t="inlineStr">
        <is>
          <t>TSLA US 05/15/26 P375</t>
        </is>
      </c>
      <c r="C3511" t="inlineStr">
        <is>
          <t>2026-05-15</t>
        </is>
      </c>
      <c r="D3511" t="n">
        <v>375</v>
      </c>
      <c r="E3511" t="inlineStr">
        <is>
          <t>BBG020J9CSS2</t>
        </is>
      </c>
    </row>
    <row r="3512">
      <c r="A3512" t="inlineStr">
        <is>
          <t>BBG01VQKMND8 Equity</t>
        </is>
      </c>
      <c r="B3512" t="inlineStr">
        <is>
          <t>TSLA US 05/15/26 P380</t>
        </is>
      </c>
      <c r="C3512" t="inlineStr">
        <is>
          <t>2026-05-15</t>
        </is>
      </c>
      <c r="D3512" t="n">
        <v>380</v>
      </c>
      <c r="E3512" t="inlineStr">
        <is>
          <t>BBG01VQKMND8</t>
        </is>
      </c>
    </row>
    <row r="3513">
      <c r="A3513" t="inlineStr">
        <is>
          <t>BBG020J99PN7 Equity</t>
        </is>
      </c>
      <c r="B3513" t="inlineStr">
        <is>
          <t>TSLA US 05/15/26 P385</t>
        </is>
      </c>
      <c r="C3513" t="inlineStr">
        <is>
          <t>2026-05-15</t>
        </is>
      </c>
      <c r="D3513" t="n">
        <v>385</v>
      </c>
      <c r="E3513" t="inlineStr">
        <is>
          <t>BBG020J99PN7</t>
        </is>
      </c>
    </row>
    <row r="3514">
      <c r="A3514" t="inlineStr">
        <is>
          <t>BBG01VQKNV03 Equity</t>
        </is>
      </c>
      <c r="B3514" t="inlineStr">
        <is>
          <t>TSLA US 05/15/26 P390</t>
        </is>
      </c>
      <c r="C3514" t="inlineStr">
        <is>
          <t>2026-05-15</t>
        </is>
      </c>
      <c r="D3514" t="n">
        <v>390</v>
      </c>
      <c r="E3514" t="inlineStr">
        <is>
          <t>BBG01VQKNV03</t>
        </is>
      </c>
    </row>
    <row r="3515">
      <c r="A3515" t="inlineStr">
        <is>
          <t>BBG020J99P11 Equity</t>
        </is>
      </c>
      <c r="B3515" t="inlineStr">
        <is>
          <t>TSLA US 05/15/26 P395</t>
        </is>
      </c>
      <c r="C3515" t="inlineStr">
        <is>
          <t>2026-05-15</t>
        </is>
      </c>
      <c r="D3515" t="n">
        <v>395</v>
      </c>
      <c r="E3515" t="inlineStr">
        <is>
          <t>BBG020J99P11</t>
        </is>
      </c>
    </row>
    <row r="3516">
      <c r="A3516" t="inlineStr">
        <is>
          <t>BBG01VQKMDH6 Equity</t>
        </is>
      </c>
      <c r="B3516" t="inlineStr">
        <is>
          <t>TSLA US 05/15/26 P400</t>
        </is>
      </c>
      <c r="C3516" t="inlineStr">
        <is>
          <t>2026-05-15</t>
        </is>
      </c>
      <c r="D3516" t="n">
        <v>400</v>
      </c>
      <c r="E3516" t="inlineStr">
        <is>
          <t>BBG01VQKMDH6</t>
        </is>
      </c>
    </row>
    <row r="3517">
      <c r="A3517" t="inlineStr">
        <is>
          <t>BBG020J9DHW0 Equity</t>
        </is>
      </c>
      <c r="B3517" t="inlineStr">
        <is>
          <t>TSLA US 05/15/26 P405</t>
        </is>
      </c>
      <c r="C3517" t="inlineStr">
        <is>
          <t>2026-05-15</t>
        </is>
      </c>
      <c r="D3517" t="n">
        <v>405</v>
      </c>
      <c r="E3517" t="inlineStr">
        <is>
          <t>BBG020J9DHW0</t>
        </is>
      </c>
    </row>
    <row r="3518">
      <c r="A3518" t="inlineStr">
        <is>
          <t>BBG01VQKMHF9 Equity</t>
        </is>
      </c>
      <c r="B3518" t="inlineStr">
        <is>
          <t>TSLA US 05/15/26 P410</t>
        </is>
      </c>
      <c r="C3518" t="inlineStr">
        <is>
          <t>2026-05-15</t>
        </is>
      </c>
      <c r="D3518" t="n">
        <v>410</v>
      </c>
      <c r="E3518" t="inlineStr">
        <is>
          <t>BBG01VQKMHF9</t>
        </is>
      </c>
    </row>
    <row r="3519">
      <c r="A3519" t="inlineStr">
        <is>
          <t>BBG020J9DGP0 Equity</t>
        </is>
      </c>
      <c r="B3519" t="inlineStr">
        <is>
          <t>TSLA US 05/15/26 P415</t>
        </is>
      </c>
      <c r="C3519" t="inlineStr">
        <is>
          <t>2026-05-15</t>
        </is>
      </c>
      <c r="D3519" t="n">
        <v>415</v>
      </c>
      <c r="E3519" t="inlineStr">
        <is>
          <t>BBG020J9DGP0</t>
        </is>
      </c>
    </row>
    <row r="3520">
      <c r="A3520" t="inlineStr">
        <is>
          <t>BBG01VQKM6K7 Equity</t>
        </is>
      </c>
      <c r="B3520" t="inlineStr">
        <is>
          <t>TSLA US 05/15/26 P420</t>
        </is>
      </c>
      <c r="C3520" t="inlineStr">
        <is>
          <t>2026-05-15</t>
        </is>
      </c>
      <c r="D3520" t="n">
        <v>420</v>
      </c>
      <c r="E3520" t="inlineStr">
        <is>
          <t>BBG01VQKM6K7</t>
        </is>
      </c>
    </row>
    <row r="3521">
      <c r="A3521" t="inlineStr">
        <is>
          <t>BBG020J9DG25 Equity</t>
        </is>
      </c>
      <c r="B3521" t="inlineStr">
        <is>
          <t>TSLA US 05/15/26 P425</t>
        </is>
      </c>
      <c r="C3521" t="inlineStr">
        <is>
          <t>2026-05-15</t>
        </is>
      </c>
      <c r="D3521" t="n">
        <v>425</v>
      </c>
      <c r="E3521" t="inlineStr">
        <is>
          <t>BBG020J9DG25</t>
        </is>
      </c>
    </row>
    <row r="3522">
      <c r="A3522" t="inlineStr">
        <is>
          <t>BBG01VQKLQ60 Equity</t>
        </is>
      </c>
      <c r="B3522" t="inlineStr">
        <is>
          <t>TSLA US 05/15/26 P430</t>
        </is>
      </c>
      <c r="C3522" t="inlineStr">
        <is>
          <t>2026-05-15</t>
        </is>
      </c>
      <c r="D3522" t="n">
        <v>430</v>
      </c>
      <c r="E3522" t="inlineStr">
        <is>
          <t>BBG01VQKLQ60</t>
        </is>
      </c>
    </row>
    <row r="3523">
      <c r="A3523" t="inlineStr">
        <is>
          <t>BBG020J9DH96 Equity</t>
        </is>
      </c>
      <c r="B3523" t="inlineStr">
        <is>
          <t>TSLA US 05/15/26 P435</t>
        </is>
      </c>
      <c r="C3523" t="inlineStr">
        <is>
          <t>2026-05-15</t>
        </is>
      </c>
      <c r="D3523" t="n">
        <v>435</v>
      </c>
      <c r="E3523" t="inlineStr">
        <is>
          <t>BBG020J9DH96</t>
        </is>
      </c>
    </row>
    <row r="3524">
      <c r="A3524" t="inlineStr">
        <is>
          <t>BBG01VQKLPL5 Equity</t>
        </is>
      </c>
      <c r="B3524" t="inlineStr">
        <is>
          <t>TSLA US 05/15/26 P440</t>
        </is>
      </c>
      <c r="C3524" t="inlineStr">
        <is>
          <t>2026-05-15</t>
        </is>
      </c>
      <c r="D3524" t="n">
        <v>440</v>
      </c>
      <c r="E3524" t="inlineStr">
        <is>
          <t>BBG01VQKLPL5</t>
        </is>
      </c>
    </row>
    <row r="3525">
      <c r="A3525" t="inlineStr">
        <is>
          <t>BBG020J9DJH3 Equity</t>
        </is>
      </c>
      <c r="B3525" t="inlineStr">
        <is>
          <t>TSLA US 05/15/26 P445</t>
        </is>
      </c>
      <c r="C3525" t="inlineStr">
        <is>
          <t>2026-05-15</t>
        </is>
      </c>
      <c r="D3525" t="n">
        <v>445</v>
      </c>
      <c r="E3525" t="inlineStr">
        <is>
          <t>BBG020J9DJH3</t>
        </is>
      </c>
    </row>
    <row r="3526">
      <c r="A3526" t="inlineStr">
        <is>
          <t>BBG01VQKM7Z9 Equity</t>
        </is>
      </c>
      <c r="B3526" t="inlineStr">
        <is>
          <t>TSLA US 05/15/26 P450</t>
        </is>
      </c>
      <c r="C3526" t="inlineStr">
        <is>
          <t>2026-05-15</t>
        </is>
      </c>
      <c r="D3526" t="n">
        <v>450</v>
      </c>
      <c r="E3526" t="inlineStr">
        <is>
          <t>BBG01VQKM7Z9</t>
        </is>
      </c>
    </row>
    <row r="3527">
      <c r="A3527" t="inlineStr">
        <is>
          <t>BBG020J964B0 Equity</t>
        </is>
      </c>
      <c r="B3527" t="inlineStr">
        <is>
          <t>TSLA US 05/15/26 P455</t>
        </is>
      </c>
      <c r="C3527" t="inlineStr">
        <is>
          <t>2026-05-15</t>
        </is>
      </c>
      <c r="D3527" t="n">
        <v>455</v>
      </c>
      <c r="E3527" t="inlineStr">
        <is>
          <t>BBG020J964B0</t>
        </is>
      </c>
    </row>
    <row r="3528">
      <c r="A3528" t="inlineStr">
        <is>
          <t>BBG01VQKMGT6 Equity</t>
        </is>
      </c>
      <c r="B3528" t="inlineStr">
        <is>
          <t>TSLA US 05/15/26 P460</t>
        </is>
      </c>
      <c r="C3528" t="inlineStr">
        <is>
          <t>2026-05-15</t>
        </is>
      </c>
      <c r="D3528" t="n">
        <v>460</v>
      </c>
      <c r="E3528" t="inlineStr">
        <is>
          <t>BBG01VQKMGT6</t>
        </is>
      </c>
    </row>
    <row r="3529">
      <c r="A3529" t="inlineStr">
        <is>
          <t>BBG020J99JH8 Equity</t>
        </is>
      </c>
      <c r="B3529" t="inlineStr">
        <is>
          <t>TSLA US 05/15/26 P465</t>
        </is>
      </c>
      <c r="C3529" t="inlineStr">
        <is>
          <t>2026-05-15</t>
        </is>
      </c>
      <c r="D3529" t="n">
        <v>465</v>
      </c>
      <c r="E3529" t="inlineStr">
        <is>
          <t>BBG020J99JH8</t>
        </is>
      </c>
    </row>
    <row r="3530">
      <c r="A3530" t="inlineStr">
        <is>
          <t>BBG01VQKLXF5 Equity</t>
        </is>
      </c>
      <c r="B3530" t="inlineStr">
        <is>
          <t>TSLA US 05/15/26 P470</t>
        </is>
      </c>
      <c r="C3530" t="inlineStr">
        <is>
          <t>2026-05-15</t>
        </is>
      </c>
      <c r="D3530" t="n">
        <v>470</v>
      </c>
      <c r="E3530" t="inlineStr">
        <is>
          <t>BBG01VQKLXF5</t>
        </is>
      </c>
    </row>
    <row r="3531">
      <c r="A3531" t="inlineStr">
        <is>
          <t>BBG020J9DFG2 Equity</t>
        </is>
      </c>
      <c r="B3531" t="inlineStr">
        <is>
          <t>TSLA US 05/15/26 P475</t>
        </is>
      </c>
      <c r="C3531" t="inlineStr">
        <is>
          <t>2026-05-15</t>
        </is>
      </c>
      <c r="D3531" t="n">
        <v>475</v>
      </c>
      <c r="E3531" t="inlineStr">
        <is>
          <t>BBG020J9DFG2</t>
        </is>
      </c>
    </row>
    <row r="3532">
      <c r="A3532" t="inlineStr">
        <is>
          <t>BBG01VQKMG61 Equity</t>
        </is>
      </c>
      <c r="B3532" t="inlineStr">
        <is>
          <t>TSLA US 05/15/26 P480</t>
        </is>
      </c>
      <c r="C3532" t="inlineStr">
        <is>
          <t>2026-05-15</t>
        </is>
      </c>
      <c r="D3532" t="n">
        <v>480</v>
      </c>
      <c r="E3532" t="inlineStr">
        <is>
          <t>BBG01VQKMG61</t>
        </is>
      </c>
    </row>
    <row r="3533">
      <c r="A3533" t="inlineStr">
        <is>
          <t>BBG020J9D9K1 Equity</t>
        </is>
      </c>
      <c r="B3533" t="inlineStr">
        <is>
          <t>TSLA US 05/15/26 P485</t>
        </is>
      </c>
      <c r="C3533" t="inlineStr">
        <is>
          <t>2026-05-15</t>
        </is>
      </c>
      <c r="D3533" t="n">
        <v>485</v>
      </c>
      <c r="E3533" t="inlineStr">
        <is>
          <t>BBG020J9D9K1</t>
        </is>
      </c>
    </row>
    <row r="3534">
      <c r="A3534" t="inlineStr">
        <is>
          <t>BBG01VQKMJ10 Equity</t>
        </is>
      </c>
      <c r="B3534" t="inlineStr">
        <is>
          <t>TSLA US 05/15/26 P490</t>
        </is>
      </c>
      <c r="C3534" t="inlineStr">
        <is>
          <t>2026-05-15</t>
        </is>
      </c>
      <c r="D3534" t="n">
        <v>490</v>
      </c>
      <c r="E3534" t="inlineStr">
        <is>
          <t>BBG01VQKMJ10</t>
        </is>
      </c>
    </row>
    <row r="3535">
      <c r="A3535" t="inlineStr">
        <is>
          <t>BBG020J9DDV0 Equity</t>
        </is>
      </c>
      <c r="B3535" t="inlineStr">
        <is>
          <t>TSLA US 05/15/26 P495</t>
        </is>
      </c>
      <c r="C3535" t="inlineStr">
        <is>
          <t>2026-05-15</t>
        </is>
      </c>
      <c r="D3535" t="n">
        <v>495</v>
      </c>
      <c r="E3535" t="inlineStr">
        <is>
          <t>BBG020J9DDV0</t>
        </is>
      </c>
    </row>
    <row r="3536">
      <c r="A3536" t="inlineStr">
        <is>
          <t>BBG01VQKMRC0 Equity</t>
        </is>
      </c>
      <c r="B3536" t="inlineStr">
        <is>
          <t>TSLA US 05/15/26 P500</t>
        </is>
      </c>
      <c r="C3536" t="inlineStr">
        <is>
          <t>2026-05-15</t>
        </is>
      </c>
      <c r="D3536" t="n">
        <v>500</v>
      </c>
      <c r="E3536" t="inlineStr">
        <is>
          <t>BBG01VQKMRC0</t>
        </is>
      </c>
    </row>
    <row r="3537">
      <c r="A3537" t="inlineStr">
        <is>
          <t>BBG020J99VH1 Equity</t>
        </is>
      </c>
      <c r="B3537" t="inlineStr">
        <is>
          <t>TSLA US 05/15/26 P505</t>
        </is>
      </c>
      <c r="C3537" t="inlineStr">
        <is>
          <t>2026-05-15</t>
        </is>
      </c>
      <c r="D3537" t="n">
        <v>505</v>
      </c>
      <c r="E3537" t="inlineStr">
        <is>
          <t>BBG020J99VH1</t>
        </is>
      </c>
    </row>
    <row r="3538">
      <c r="A3538" t="inlineStr">
        <is>
          <t>BBG01VQKNFM4 Equity</t>
        </is>
      </c>
      <c r="B3538" t="inlineStr">
        <is>
          <t>TSLA US 05/15/26 P510</t>
        </is>
      </c>
      <c r="C3538" t="inlineStr">
        <is>
          <t>2026-05-15</t>
        </is>
      </c>
      <c r="D3538" t="n">
        <v>510</v>
      </c>
      <c r="E3538" t="inlineStr">
        <is>
          <t>BBG01VQKNFM4</t>
        </is>
      </c>
    </row>
    <row r="3539">
      <c r="A3539" t="inlineStr">
        <is>
          <t>BBG020J9D7J7 Equity</t>
        </is>
      </c>
      <c r="B3539" t="inlineStr">
        <is>
          <t>TSLA US 05/15/26 P515</t>
        </is>
      </c>
      <c r="C3539" t="inlineStr">
        <is>
          <t>2026-05-15</t>
        </is>
      </c>
      <c r="D3539" t="n">
        <v>515</v>
      </c>
      <c r="E3539" t="inlineStr">
        <is>
          <t>BBG020J9D7J7</t>
        </is>
      </c>
    </row>
    <row r="3540">
      <c r="A3540" t="inlineStr">
        <is>
          <t>BBG01VQKN3G8 Equity</t>
        </is>
      </c>
      <c r="B3540" t="inlineStr">
        <is>
          <t>TSLA US 05/15/26 P520</t>
        </is>
      </c>
      <c r="C3540" t="inlineStr">
        <is>
          <t>2026-05-15</t>
        </is>
      </c>
      <c r="D3540" t="n">
        <v>520</v>
      </c>
      <c r="E3540" t="inlineStr">
        <is>
          <t>BBG01VQKN3G8</t>
        </is>
      </c>
    </row>
    <row r="3541">
      <c r="A3541" t="inlineStr">
        <is>
          <t>BBG020J99TW9 Equity</t>
        </is>
      </c>
      <c r="B3541" t="inlineStr">
        <is>
          <t>TSLA US 05/15/26 P525</t>
        </is>
      </c>
      <c r="C3541" t="inlineStr">
        <is>
          <t>2026-05-15</t>
        </is>
      </c>
      <c r="D3541" t="n">
        <v>525</v>
      </c>
      <c r="E3541" t="inlineStr">
        <is>
          <t>BBG020J99TW9</t>
        </is>
      </c>
    </row>
    <row r="3542">
      <c r="A3542" t="inlineStr">
        <is>
          <t>BBG01VQKNF08 Equity</t>
        </is>
      </c>
      <c r="B3542" t="inlineStr">
        <is>
          <t>TSLA US 05/15/26 P530</t>
        </is>
      </c>
      <c r="C3542" t="inlineStr">
        <is>
          <t>2026-05-15</t>
        </is>
      </c>
      <c r="D3542" t="n">
        <v>530</v>
      </c>
      <c r="E3542" t="inlineStr">
        <is>
          <t>BBG01VQKNF08</t>
        </is>
      </c>
    </row>
    <row r="3543">
      <c r="A3543" t="inlineStr">
        <is>
          <t>BBG020J99SG9 Equity</t>
        </is>
      </c>
      <c r="B3543" t="inlineStr">
        <is>
          <t>TSLA US 05/15/26 P535</t>
        </is>
      </c>
      <c r="C3543" t="inlineStr">
        <is>
          <t>2026-05-15</t>
        </is>
      </c>
      <c r="D3543" t="n">
        <v>535</v>
      </c>
      <c r="E3543" t="inlineStr">
        <is>
          <t>BBG020J99SG9</t>
        </is>
      </c>
    </row>
    <row r="3544">
      <c r="A3544" t="inlineStr">
        <is>
          <t>BBG01VQKNDD9 Equity</t>
        </is>
      </c>
      <c r="B3544" t="inlineStr">
        <is>
          <t>TSLA US 05/15/26 P540</t>
        </is>
      </c>
      <c r="C3544" t="inlineStr">
        <is>
          <t>2026-05-15</t>
        </is>
      </c>
      <c r="D3544" t="n">
        <v>540</v>
      </c>
      <c r="E3544" t="inlineStr">
        <is>
          <t>BBG01VQKNDD9</t>
        </is>
      </c>
    </row>
    <row r="3545">
      <c r="A3545" t="inlineStr">
        <is>
          <t>BBG020J99K30 Equity</t>
        </is>
      </c>
      <c r="B3545" t="inlineStr">
        <is>
          <t>TSLA US 05/15/26 P545</t>
        </is>
      </c>
      <c r="C3545" t="inlineStr">
        <is>
          <t>2026-05-15</t>
        </is>
      </c>
      <c r="D3545" t="n">
        <v>545</v>
      </c>
      <c r="E3545" t="inlineStr">
        <is>
          <t>BBG020J99K30</t>
        </is>
      </c>
    </row>
    <row r="3546">
      <c r="A3546" t="inlineStr">
        <is>
          <t>BBG01VQKMQ41 Equity</t>
        </is>
      </c>
      <c r="B3546" t="inlineStr">
        <is>
          <t>TSLA US 05/15/26 P550</t>
        </is>
      </c>
      <c r="C3546" t="inlineStr">
        <is>
          <t>2026-05-15</t>
        </is>
      </c>
      <c r="D3546" t="n">
        <v>550</v>
      </c>
      <c r="E3546" t="inlineStr">
        <is>
          <t>BBG01VQKMQ41</t>
        </is>
      </c>
    </row>
    <row r="3547">
      <c r="A3547" t="inlineStr">
        <is>
          <t>BBG020J99LB9 Equity</t>
        </is>
      </c>
      <c r="B3547" t="inlineStr">
        <is>
          <t>TSLA US 05/15/26 P555</t>
        </is>
      </c>
      <c r="C3547" t="inlineStr">
        <is>
          <t>2026-05-15</t>
        </is>
      </c>
      <c r="D3547" t="n">
        <v>555</v>
      </c>
      <c r="E3547" t="inlineStr">
        <is>
          <t>BBG020J99LB9</t>
        </is>
      </c>
    </row>
    <row r="3548">
      <c r="A3548" t="inlineStr">
        <is>
          <t>BBG01VQKMQR6 Equity</t>
        </is>
      </c>
      <c r="B3548" t="inlineStr">
        <is>
          <t>TSLA US 05/15/26 P560</t>
        </is>
      </c>
      <c r="C3548" t="inlineStr">
        <is>
          <t>2026-05-15</t>
        </is>
      </c>
      <c r="D3548" t="n">
        <v>560</v>
      </c>
      <c r="E3548" t="inlineStr">
        <is>
          <t>BBG01VQKMQR6</t>
        </is>
      </c>
    </row>
    <row r="3549">
      <c r="A3549" t="inlineStr">
        <is>
          <t>BBG020J9D1H2 Equity</t>
        </is>
      </c>
      <c r="B3549" t="inlineStr">
        <is>
          <t>TSLA US 05/15/26 P565</t>
        </is>
      </c>
      <c r="C3549" t="inlineStr">
        <is>
          <t>2026-05-15</t>
        </is>
      </c>
      <c r="D3549" t="n">
        <v>565</v>
      </c>
      <c r="E3549" t="inlineStr">
        <is>
          <t>BBG020J9D1H2</t>
        </is>
      </c>
    </row>
    <row r="3550">
      <c r="A3550" t="inlineStr">
        <is>
          <t>BBG01VQKN948 Equity</t>
        </is>
      </c>
      <c r="B3550" t="inlineStr">
        <is>
          <t>TSLA US 05/15/26 P570</t>
        </is>
      </c>
      <c r="C3550" t="inlineStr">
        <is>
          <t>2026-05-15</t>
        </is>
      </c>
      <c r="D3550" t="n">
        <v>570</v>
      </c>
      <c r="E3550" t="inlineStr">
        <is>
          <t>BBG01VQKN948</t>
        </is>
      </c>
    </row>
    <row r="3551">
      <c r="A3551" t="inlineStr">
        <is>
          <t>BBG020J99RV4 Equity</t>
        </is>
      </c>
      <c r="B3551" t="inlineStr">
        <is>
          <t>TSLA US 05/15/26 P575</t>
        </is>
      </c>
      <c r="C3551" t="inlineStr">
        <is>
          <t>2026-05-15</t>
        </is>
      </c>
      <c r="D3551" t="n">
        <v>575</v>
      </c>
      <c r="E3551" t="inlineStr">
        <is>
          <t>BBG020J99RV4</t>
        </is>
      </c>
    </row>
    <row r="3552">
      <c r="A3552" t="inlineStr">
        <is>
          <t>BBG01VQKMVM0 Equity</t>
        </is>
      </c>
      <c r="B3552" t="inlineStr">
        <is>
          <t>TSLA US 05/15/26 P580</t>
        </is>
      </c>
      <c r="C3552" t="inlineStr">
        <is>
          <t>2026-05-15</t>
        </is>
      </c>
      <c r="D3552" t="n">
        <v>580</v>
      </c>
      <c r="E3552" t="inlineStr">
        <is>
          <t>BBG01VQKMVM0</t>
        </is>
      </c>
    </row>
    <row r="3553">
      <c r="A3553" t="inlineStr">
        <is>
          <t>BBG01KWGGV52 Equity</t>
        </is>
      </c>
      <c r="B3553" t="inlineStr">
        <is>
          <t>TSLA US 06/18/26 P310</t>
        </is>
      </c>
      <c r="C3553" t="inlineStr">
        <is>
          <t>2026-06-18</t>
        </is>
      </c>
      <c r="D3553" t="n">
        <v>310</v>
      </c>
      <c r="E3553" t="inlineStr">
        <is>
          <t>BBG01KWGGV52</t>
        </is>
      </c>
    </row>
    <row r="3554">
      <c r="A3554" t="inlineStr">
        <is>
          <t>BBG0216B3X08 Equity</t>
        </is>
      </c>
      <c r="B3554" t="inlineStr">
        <is>
          <t>TSLA US 06/18/26 P315</t>
        </is>
      </c>
      <c r="C3554" t="inlineStr">
        <is>
          <t>2026-06-18</t>
        </is>
      </c>
      <c r="D3554" t="n">
        <v>315</v>
      </c>
      <c r="E3554" t="inlineStr">
        <is>
          <t>BBG0216B3X08</t>
        </is>
      </c>
    </row>
    <row r="3555">
      <c r="A3555" t="inlineStr">
        <is>
          <t>BBG01KWGGWC2 Equity</t>
        </is>
      </c>
      <c r="B3555" t="inlineStr">
        <is>
          <t>TSLA US 06/18/26 P320</t>
        </is>
      </c>
      <c r="C3555" t="inlineStr">
        <is>
          <t>2026-06-18</t>
        </is>
      </c>
      <c r="D3555" t="n">
        <v>320</v>
      </c>
      <c r="E3555" t="inlineStr">
        <is>
          <t>BBG01KWGGWC2</t>
        </is>
      </c>
    </row>
    <row r="3556">
      <c r="A3556" t="inlineStr">
        <is>
          <t>BBG0216B3XM4 Equity</t>
        </is>
      </c>
      <c r="B3556" t="inlineStr">
        <is>
          <t>TSLA US 06/18/26 P325</t>
        </is>
      </c>
      <c r="C3556" t="inlineStr">
        <is>
          <t>2026-06-18</t>
        </is>
      </c>
      <c r="D3556" t="n">
        <v>325</v>
      </c>
      <c r="E3556" t="inlineStr">
        <is>
          <t>BBG0216B3XM4</t>
        </is>
      </c>
    </row>
    <row r="3557">
      <c r="A3557" t="inlineStr">
        <is>
          <t>BBG01KWGGXJ3 Equity</t>
        </is>
      </c>
      <c r="B3557" t="inlineStr">
        <is>
          <t>TSLA US 06/18/26 P330</t>
        </is>
      </c>
      <c r="C3557" t="inlineStr">
        <is>
          <t>2026-06-18</t>
        </is>
      </c>
      <c r="D3557" t="n">
        <v>330</v>
      </c>
      <c r="E3557" t="inlineStr">
        <is>
          <t>BBG01KWGGXJ3</t>
        </is>
      </c>
    </row>
    <row r="3558">
      <c r="A3558" t="inlineStr">
        <is>
          <t>BBG01XZ8FY18 Equity</t>
        </is>
      </c>
      <c r="B3558" t="inlineStr">
        <is>
          <t>TSLA US 06/18/26 P335</t>
        </is>
      </c>
      <c r="C3558" t="inlineStr">
        <is>
          <t>2026-06-18</t>
        </is>
      </c>
      <c r="D3558" t="n">
        <v>335</v>
      </c>
      <c r="E3558" t="inlineStr">
        <is>
          <t>BBG01XZ8FY18</t>
        </is>
      </c>
    </row>
    <row r="3559">
      <c r="A3559" t="inlineStr">
        <is>
          <t>BBG01KWGGYP4 Equity</t>
        </is>
      </c>
      <c r="B3559" t="inlineStr">
        <is>
          <t>TSLA US 06/18/26 P340</t>
        </is>
      </c>
      <c r="C3559" t="inlineStr">
        <is>
          <t>2026-06-18</t>
        </is>
      </c>
      <c r="D3559" t="n">
        <v>340</v>
      </c>
      <c r="E3559" t="inlineStr">
        <is>
          <t>BBG01KWGGYP4</t>
        </is>
      </c>
    </row>
    <row r="3560">
      <c r="A3560" t="inlineStr">
        <is>
          <t>BBG01XZ89607 Equity</t>
        </is>
      </c>
      <c r="B3560" t="inlineStr">
        <is>
          <t>TSLA US 06/18/26 P345</t>
        </is>
      </c>
      <c r="C3560" t="inlineStr">
        <is>
          <t>2026-06-18</t>
        </is>
      </c>
      <c r="D3560" t="n">
        <v>345</v>
      </c>
      <c r="E3560" t="inlineStr">
        <is>
          <t>BBG01XZ89607</t>
        </is>
      </c>
    </row>
    <row r="3561">
      <c r="A3561" t="inlineStr">
        <is>
          <t>BBG01KWGGZW3 Equity</t>
        </is>
      </c>
      <c r="B3561" t="inlineStr">
        <is>
          <t>TSLA US 06/18/26 P350</t>
        </is>
      </c>
      <c r="C3561" t="inlineStr">
        <is>
          <t>2026-06-18</t>
        </is>
      </c>
      <c r="D3561" t="n">
        <v>350</v>
      </c>
      <c r="E3561" t="inlineStr">
        <is>
          <t>BBG01KWGGZW3</t>
        </is>
      </c>
    </row>
    <row r="3562">
      <c r="A3562" t="inlineStr">
        <is>
          <t>BBG01XZ895D5 Equity</t>
        </is>
      </c>
      <c r="B3562" t="inlineStr">
        <is>
          <t>TSLA US 06/18/26 P355</t>
        </is>
      </c>
      <c r="C3562" t="inlineStr">
        <is>
          <t>2026-06-18</t>
        </is>
      </c>
      <c r="D3562" t="n">
        <v>355</v>
      </c>
      <c r="E3562" t="inlineStr">
        <is>
          <t>BBG01XZ895D5</t>
        </is>
      </c>
    </row>
    <row r="3563">
      <c r="A3563" t="inlineStr">
        <is>
          <t>BBG01KWGH111 Equity</t>
        </is>
      </c>
      <c r="B3563" t="inlineStr">
        <is>
          <t>TSLA US 06/18/26 P360</t>
        </is>
      </c>
      <c r="C3563" t="inlineStr">
        <is>
          <t>2026-06-18</t>
        </is>
      </c>
      <c r="D3563" t="n">
        <v>360</v>
      </c>
      <c r="E3563" t="inlineStr">
        <is>
          <t>BBG01KWGH111</t>
        </is>
      </c>
    </row>
    <row r="3564">
      <c r="A3564" t="inlineStr">
        <is>
          <t>BBG01XZ896M3 Equity</t>
        </is>
      </c>
      <c r="B3564" t="inlineStr">
        <is>
          <t>TSLA US 06/18/26 P365</t>
        </is>
      </c>
      <c r="C3564" t="inlineStr">
        <is>
          <t>2026-06-18</t>
        </is>
      </c>
      <c r="D3564" t="n">
        <v>365</v>
      </c>
      <c r="E3564" t="inlineStr">
        <is>
          <t>BBG01XZ896M3</t>
        </is>
      </c>
    </row>
    <row r="3565">
      <c r="A3565" t="inlineStr">
        <is>
          <t>BBG01KWGH273 Equity</t>
        </is>
      </c>
      <c r="B3565" t="inlineStr">
        <is>
          <t>TSLA US 06/18/26 P370</t>
        </is>
      </c>
      <c r="C3565" t="inlineStr">
        <is>
          <t>2026-06-18</t>
        </is>
      </c>
      <c r="D3565" t="n">
        <v>370</v>
      </c>
      <c r="E3565" t="inlineStr">
        <is>
          <t>BBG01KWGH273</t>
        </is>
      </c>
    </row>
    <row r="3566">
      <c r="A3566" t="inlineStr">
        <is>
          <t>BBG01XZ8FXF5 Equity</t>
        </is>
      </c>
      <c r="B3566" t="inlineStr">
        <is>
          <t>TSLA US 06/18/26 P375</t>
        </is>
      </c>
      <c r="C3566" t="inlineStr">
        <is>
          <t>2026-06-18</t>
        </is>
      </c>
      <c r="D3566" t="n">
        <v>375</v>
      </c>
      <c r="E3566" t="inlineStr">
        <is>
          <t>BBG01XZ8FXF5</t>
        </is>
      </c>
    </row>
    <row r="3567">
      <c r="A3567" t="inlineStr">
        <is>
          <t>BBG01KWGH3D4 Equity</t>
        </is>
      </c>
      <c r="B3567" t="inlineStr">
        <is>
          <t>TSLA US 06/18/26 P380</t>
        </is>
      </c>
      <c r="C3567" t="inlineStr">
        <is>
          <t>2026-06-18</t>
        </is>
      </c>
      <c r="D3567" t="n">
        <v>380</v>
      </c>
      <c r="E3567" t="inlineStr">
        <is>
          <t>BBG01KWGH3D4</t>
        </is>
      </c>
    </row>
    <row r="3568">
      <c r="A3568" t="inlineStr">
        <is>
          <t>BBG01XZ88SR1 Equity</t>
        </is>
      </c>
      <c r="B3568" t="inlineStr">
        <is>
          <t>TSLA US 06/18/26 P385</t>
        </is>
      </c>
      <c r="C3568" t="inlineStr">
        <is>
          <t>2026-06-18</t>
        </is>
      </c>
      <c r="D3568" t="n">
        <v>385</v>
      </c>
      <c r="E3568" t="inlineStr">
        <is>
          <t>BBG01XZ88SR1</t>
        </is>
      </c>
    </row>
    <row r="3569">
      <c r="A3569" t="inlineStr">
        <is>
          <t>BBG01KWGH4K4 Equity</t>
        </is>
      </c>
      <c r="B3569" t="inlineStr">
        <is>
          <t>TSLA US 06/18/26 P390</t>
        </is>
      </c>
      <c r="C3569" t="inlineStr">
        <is>
          <t>2026-06-18</t>
        </is>
      </c>
      <c r="D3569" t="n">
        <v>390</v>
      </c>
      <c r="E3569" t="inlineStr">
        <is>
          <t>BBG01KWGH4K4</t>
        </is>
      </c>
    </row>
    <row r="3570">
      <c r="A3570" t="inlineStr">
        <is>
          <t>BBG01XZ8F9M0 Equity</t>
        </is>
      </c>
      <c r="B3570" t="inlineStr">
        <is>
          <t>TSLA US 06/18/26 P395</t>
        </is>
      </c>
      <c r="C3570" t="inlineStr">
        <is>
          <t>2026-06-18</t>
        </is>
      </c>
      <c r="D3570" t="n">
        <v>395</v>
      </c>
      <c r="E3570" t="inlineStr">
        <is>
          <t>BBG01XZ8F9M0</t>
        </is>
      </c>
    </row>
    <row r="3571">
      <c r="A3571" t="inlineStr">
        <is>
          <t>BBG01KWGH5R4 Equity</t>
        </is>
      </c>
      <c r="B3571" t="inlineStr">
        <is>
          <t>TSLA US 06/18/26 P400</t>
        </is>
      </c>
      <c r="C3571" t="inlineStr">
        <is>
          <t>2026-06-18</t>
        </is>
      </c>
      <c r="D3571" t="n">
        <v>400</v>
      </c>
      <c r="E3571" t="inlineStr">
        <is>
          <t>BBG01KWGH5R4</t>
        </is>
      </c>
    </row>
    <row r="3572">
      <c r="A3572" t="inlineStr">
        <is>
          <t>BBG01XZ88JC7 Equity</t>
        </is>
      </c>
      <c r="B3572" t="inlineStr">
        <is>
          <t>TSLA US 06/18/26 P405</t>
        </is>
      </c>
      <c r="C3572" t="inlineStr">
        <is>
          <t>2026-06-18</t>
        </is>
      </c>
      <c r="D3572" t="n">
        <v>405</v>
      </c>
      <c r="E3572" t="inlineStr">
        <is>
          <t>BBG01XZ88JC7</t>
        </is>
      </c>
    </row>
    <row r="3573">
      <c r="A3573" t="inlineStr">
        <is>
          <t>BBG01KWGH6X5 Equity</t>
        </is>
      </c>
      <c r="B3573" t="inlineStr">
        <is>
          <t>TSLA US 06/18/26 P410</t>
        </is>
      </c>
      <c r="C3573" t="inlineStr">
        <is>
          <t>2026-06-18</t>
        </is>
      </c>
      <c r="D3573" t="n">
        <v>410</v>
      </c>
      <c r="E3573" t="inlineStr">
        <is>
          <t>BBG01KWGH6X5</t>
        </is>
      </c>
    </row>
    <row r="3574">
      <c r="A3574" t="inlineStr">
        <is>
          <t>BBG01XZ88KL4 Equity</t>
        </is>
      </c>
      <c r="B3574" t="inlineStr">
        <is>
          <t>TSLA US 06/18/26 P415</t>
        </is>
      </c>
      <c r="C3574" t="inlineStr">
        <is>
          <t>2026-06-18</t>
        </is>
      </c>
      <c r="D3574" t="n">
        <v>415</v>
      </c>
      <c r="E3574" t="inlineStr">
        <is>
          <t>BBG01XZ88KL4</t>
        </is>
      </c>
    </row>
    <row r="3575">
      <c r="A3575" t="inlineStr">
        <is>
          <t>BBG01KWGH825 Equity</t>
        </is>
      </c>
      <c r="B3575" t="inlineStr">
        <is>
          <t>TSLA US 06/18/26 P420</t>
        </is>
      </c>
      <c r="C3575" t="inlineStr">
        <is>
          <t>2026-06-18</t>
        </is>
      </c>
      <c r="D3575" t="n">
        <v>420</v>
      </c>
      <c r="E3575" t="inlineStr">
        <is>
          <t>BBG01KWGH825</t>
        </is>
      </c>
    </row>
    <row r="3576">
      <c r="A3576" t="inlineStr">
        <is>
          <t>BBG01XZ88JZ2 Equity</t>
        </is>
      </c>
      <c r="B3576" t="inlineStr">
        <is>
          <t>TSLA US 06/18/26 P425</t>
        </is>
      </c>
      <c r="C3576" t="inlineStr">
        <is>
          <t>2026-06-18</t>
        </is>
      </c>
      <c r="D3576" t="n">
        <v>425</v>
      </c>
      <c r="E3576" t="inlineStr">
        <is>
          <t>BBG01XZ88JZ2</t>
        </is>
      </c>
    </row>
    <row r="3577">
      <c r="A3577" t="inlineStr">
        <is>
          <t>BBG01KWGH987 Equity</t>
        </is>
      </c>
      <c r="B3577" t="inlineStr">
        <is>
          <t>TSLA US 06/18/26 P430</t>
        </is>
      </c>
      <c r="C3577" t="inlineStr">
        <is>
          <t>2026-06-18</t>
        </is>
      </c>
      <c r="D3577" t="n">
        <v>430</v>
      </c>
      <c r="E3577" t="inlineStr">
        <is>
          <t>BBG01KWGH987</t>
        </is>
      </c>
    </row>
    <row r="3578">
      <c r="A3578" t="inlineStr">
        <is>
          <t>BBG01XZ88L69 Equity</t>
        </is>
      </c>
      <c r="B3578" t="inlineStr">
        <is>
          <t>TSLA US 06/18/26 P435</t>
        </is>
      </c>
      <c r="C3578" t="inlineStr">
        <is>
          <t>2026-06-18</t>
        </is>
      </c>
      <c r="D3578" t="n">
        <v>435</v>
      </c>
      <c r="E3578" t="inlineStr">
        <is>
          <t>BBG01XZ88L69</t>
        </is>
      </c>
    </row>
    <row r="3579">
      <c r="A3579" t="inlineStr">
        <is>
          <t>BBG01KWGHBF4 Equity</t>
        </is>
      </c>
      <c r="B3579" t="inlineStr">
        <is>
          <t>TSLA US 06/18/26 P440</t>
        </is>
      </c>
      <c r="C3579" t="inlineStr">
        <is>
          <t>2026-06-18</t>
        </is>
      </c>
      <c r="D3579" t="n">
        <v>440</v>
      </c>
      <c r="E3579" t="inlineStr">
        <is>
          <t>BBG01KWGHBF4</t>
        </is>
      </c>
    </row>
    <row r="3580">
      <c r="A3580" t="inlineStr">
        <is>
          <t>BBG01XZ894S2 Equity</t>
        </is>
      </c>
      <c r="B3580" t="inlineStr">
        <is>
          <t>TSLA US 06/18/26 P445</t>
        </is>
      </c>
      <c r="C3580" t="inlineStr">
        <is>
          <t>2026-06-18</t>
        </is>
      </c>
      <c r="D3580" t="n">
        <v>445</v>
      </c>
      <c r="E3580" t="inlineStr">
        <is>
          <t>BBG01XZ894S2</t>
        </is>
      </c>
    </row>
    <row r="3581">
      <c r="A3581" t="inlineStr">
        <is>
          <t>BBG01KWGHCL5 Equity</t>
        </is>
      </c>
      <c r="B3581" t="inlineStr">
        <is>
          <t>TSLA US 06/18/26 P450</t>
        </is>
      </c>
      <c r="C3581" t="inlineStr">
        <is>
          <t>2026-06-18</t>
        </is>
      </c>
      <c r="D3581" t="n">
        <v>450</v>
      </c>
      <c r="E3581" t="inlineStr">
        <is>
          <t>BBG01KWGHCL5</t>
        </is>
      </c>
    </row>
    <row r="3582">
      <c r="A3582" t="inlineStr">
        <is>
          <t>BBG01XZ8FNM9 Equity</t>
        </is>
      </c>
      <c r="B3582" t="inlineStr">
        <is>
          <t>TSLA US 06/18/26 P455</t>
        </is>
      </c>
      <c r="C3582" t="inlineStr">
        <is>
          <t>2026-06-18</t>
        </is>
      </c>
      <c r="D3582" t="n">
        <v>455</v>
      </c>
      <c r="E3582" t="inlineStr">
        <is>
          <t>BBG01XZ8FNM9</t>
        </is>
      </c>
    </row>
    <row r="3583">
      <c r="A3583" t="inlineStr">
        <is>
          <t>BBG01KWGHDS6 Equity</t>
        </is>
      </c>
      <c r="B3583" t="inlineStr">
        <is>
          <t>TSLA US 06/18/26 P460</t>
        </is>
      </c>
      <c r="C3583" t="inlineStr">
        <is>
          <t>2026-06-18</t>
        </is>
      </c>
      <c r="D3583" t="n">
        <v>460</v>
      </c>
      <c r="E3583" t="inlineStr">
        <is>
          <t>BBG01KWGHDS6</t>
        </is>
      </c>
    </row>
    <row r="3584">
      <c r="A3584" t="inlineStr">
        <is>
          <t>BBG01XZ8FN03 Equity</t>
        </is>
      </c>
      <c r="B3584" t="inlineStr">
        <is>
          <t>TSLA US 06/18/26 P465</t>
        </is>
      </c>
      <c r="C3584" t="inlineStr">
        <is>
          <t>2026-06-18</t>
        </is>
      </c>
      <c r="D3584" t="n">
        <v>465</v>
      </c>
      <c r="E3584" t="inlineStr">
        <is>
          <t>BBG01XZ8FN03</t>
        </is>
      </c>
    </row>
    <row r="3585">
      <c r="A3585" t="inlineStr">
        <is>
          <t>BBG01KWGHFY4 Equity</t>
        </is>
      </c>
      <c r="B3585" t="inlineStr">
        <is>
          <t>TSLA US 06/18/26 P470</t>
        </is>
      </c>
      <c r="C3585" t="inlineStr">
        <is>
          <t>2026-06-18</t>
        </is>
      </c>
      <c r="D3585" t="n">
        <v>470</v>
      </c>
      <c r="E3585" t="inlineStr">
        <is>
          <t>BBG01KWGHFY4</t>
        </is>
      </c>
    </row>
    <row r="3586">
      <c r="A3586" t="inlineStr">
        <is>
          <t>BBG01XZ8FB72 Equity</t>
        </is>
      </c>
      <c r="B3586" t="inlineStr">
        <is>
          <t>TSLA US 06/18/26 P475</t>
        </is>
      </c>
      <c r="C3586" t="inlineStr">
        <is>
          <t>2026-06-18</t>
        </is>
      </c>
      <c r="D3586" t="n">
        <v>475</v>
      </c>
      <c r="E3586" t="inlineStr">
        <is>
          <t>BBG01XZ8FB72</t>
        </is>
      </c>
    </row>
    <row r="3587">
      <c r="A3587" t="inlineStr">
        <is>
          <t>BBG01KWGHH43 Equity</t>
        </is>
      </c>
      <c r="B3587" t="inlineStr">
        <is>
          <t>TSLA US 06/18/26 P480</t>
        </is>
      </c>
      <c r="C3587" t="inlineStr">
        <is>
          <t>2026-06-18</t>
        </is>
      </c>
      <c r="D3587" t="n">
        <v>480</v>
      </c>
      <c r="E3587" t="inlineStr">
        <is>
          <t>BBG01KWGHH43</t>
        </is>
      </c>
    </row>
    <row r="3588">
      <c r="A3588" t="inlineStr">
        <is>
          <t>BBG01XZ8FMD1 Equity</t>
        </is>
      </c>
      <c r="B3588" t="inlineStr">
        <is>
          <t>TSLA US 06/18/26 P485</t>
        </is>
      </c>
      <c r="C3588" t="inlineStr">
        <is>
          <t>2026-06-18</t>
        </is>
      </c>
      <c r="D3588" t="n">
        <v>485</v>
      </c>
      <c r="E3588" t="inlineStr">
        <is>
          <t>BBG01XZ8FMD1</t>
        </is>
      </c>
    </row>
    <row r="3589">
      <c r="A3589" t="inlineStr">
        <is>
          <t>BBG01KWGHJ94 Equity</t>
        </is>
      </c>
      <c r="B3589" t="inlineStr">
        <is>
          <t>TSLA US 06/18/26 P490</t>
        </is>
      </c>
      <c r="C3589" t="inlineStr">
        <is>
          <t>2026-06-18</t>
        </is>
      </c>
      <c r="D3589" t="n">
        <v>490</v>
      </c>
      <c r="E3589" t="inlineStr">
        <is>
          <t>BBG01KWGHJ94</t>
        </is>
      </c>
    </row>
    <row r="3590">
      <c r="A3590" t="inlineStr">
        <is>
          <t>BBG01XZ8FLS7 Equity</t>
        </is>
      </c>
      <c r="B3590" t="inlineStr">
        <is>
          <t>TSLA US 06/18/26 P495</t>
        </is>
      </c>
      <c r="C3590" t="inlineStr">
        <is>
          <t>2026-06-18</t>
        </is>
      </c>
      <c r="D3590" t="n">
        <v>495</v>
      </c>
      <c r="E3590" t="inlineStr">
        <is>
          <t>BBG01XZ8FLS7</t>
        </is>
      </c>
    </row>
    <row r="3591">
      <c r="A3591" t="inlineStr">
        <is>
          <t>BBG01NP39MB4 Equity</t>
        </is>
      </c>
      <c r="B3591" t="inlineStr">
        <is>
          <t>TSLA US 06/18/26 P500</t>
        </is>
      </c>
      <c r="C3591" t="inlineStr">
        <is>
          <t>2026-06-18</t>
        </is>
      </c>
      <c r="D3591" t="n">
        <v>500</v>
      </c>
      <c r="E3591" t="inlineStr">
        <is>
          <t>BBG01NP39MB4</t>
        </is>
      </c>
    </row>
    <row r="3592">
      <c r="A3592" t="inlineStr">
        <is>
          <t>BBG01XZ8F904 Equity</t>
        </is>
      </c>
      <c r="B3592" t="inlineStr">
        <is>
          <t>TSLA US 06/18/26 P505</t>
        </is>
      </c>
      <c r="C3592" t="inlineStr">
        <is>
          <t>2026-06-18</t>
        </is>
      </c>
      <c r="D3592" t="n">
        <v>505</v>
      </c>
      <c r="E3592" t="inlineStr">
        <is>
          <t>BBG01XZ8F904</t>
        </is>
      </c>
    </row>
    <row r="3593">
      <c r="A3593" t="inlineStr">
        <is>
          <t>BBG01NQ1JYM8 Equity</t>
        </is>
      </c>
      <c r="B3593" t="inlineStr">
        <is>
          <t>TSLA US 06/18/26 P510</t>
        </is>
      </c>
      <c r="C3593" t="inlineStr">
        <is>
          <t>2026-06-18</t>
        </is>
      </c>
      <c r="D3593" t="n">
        <v>510</v>
      </c>
      <c r="E3593" t="inlineStr">
        <is>
          <t>BBG01NQ1JYM8</t>
        </is>
      </c>
    </row>
    <row r="3594">
      <c r="A3594" t="inlineStr">
        <is>
          <t>BBG01XZ88GZ8 Equity</t>
        </is>
      </c>
      <c r="B3594" t="inlineStr">
        <is>
          <t>TSLA US 06/18/26 P515</t>
        </is>
      </c>
      <c r="C3594" t="inlineStr">
        <is>
          <t>2026-06-18</t>
        </is>
      </c>
      <c r="D3594" t="n">
        <v>515</v>
      </c>
      <c r="E3594" t="inlineStr">
        <is>
          <t>BBG01XZ88GZ8</t>
        </is>
      </c>
    </row>
    <row r="3595">
      <c r="A3595" t="inlineStr">
        <is>
          <t>BBG01NQ1JZ63 Equity</t>
        </is>
      </c>
      <c r="B3595" t="inlineStr">
        <is>
          <t>TSLA US 06/18/26 P520</t>
        </is>
      </c>
      <c r="C3595" t="inlineStr">
        <is>
          <t>2026-06-18</t>
        </is>
      </c>
      <c r="D3595" t="n">
        <v>520</v>
      </c>
      <c r="E3595" t="inlineStr">
        <is>
          <t>BBG01NQ1JZ63</t>
        </is>
      </c>
    </row>
    <row r="3596">
      <c r="A3596" t="inlineStr">
        <is>
          <t>BBG01XZ8DNN0 Equity</t>
        </is>
      </c>
      <c r="B3596" t="inlineStr">
        <is>
          <t>TSLA US 06/18/26 P525</t>
        </is>
      </c>
      <c r="C3596" t="inlineStr">
        <is>
          <t>2026-06-18</t>
        </is>
      </c>
      <c r="D3596" t="n">
        <v>525</v>
      </c>
      <c r="E3596" t="inlineStr">
        <is>
          <t>BBG01XZ8DNN0</t>
        </is>
      </c>
    </row>
    <row r="3597">
      <c r="A3597" t="inlineStr">
        <is>
          <t>BBG01NQ1JY11 Equity</t>
        </is>
      </c>
      <c r="B3597" t="inlineStr">
        <is>
          <t>TSLA US 06/18/26 P530</t>
        </is>
      </c>
      <c r="C3597" t="inlineStr">
        <is>
          <t>2026-06-18</t>
        </is>
      </c>
      <c r="D3597" t="n">
        <v>530</v>
      </c>
      <c r="E3597" t="inlineStr">
        <is>
          <t>BBG01NQ1JY11</t>
        </is>
      </c>
    </row>
    <row r="3598">
      <c r="A3598" t="inlineStr">
        <is>
          <t>BBG01XZ88GC3 Equity</t>
        </is>
      </c>
      <c r="B3598" t="inlineStr">
        <is>
          <t>TSLA US 06/18/26 P535</t>
        </is>
      </c>
      <c r="C3598" t="inlineStr">
        <is>
          <t>2026-06-18</t>
        </is>
      </c>
      <c r="D3598" t="n">
        <v>535</v>
      </c>
      <c r="E3598" t="inlineStr">
        <is>
          <t>BBG01XZ88GC3</t>
        </is>
      </c>
    </row>
    <row r="3599">
      <c r="A3599" t="inlineStr">
        <is>
          <t>BBG01NRLLC11 Equity</t>
        </is>
      </c>
      <c r="B3599" t="inlineStr">
        <is>
          <t>TSLA US 06/18/26 P540</t>
        </is>
      </c>
      <c r="C3599" t="inlineStr">
        <is>
          <t>2026-06-18</t>
        </is>
      </c>
      <c r="D3599" t="n">
        <v>540</v>
      </c>
      <c r="E3599" t="inlineStr">
        <is>
          <t>BBG01NRLLC11</t>
        </is>
      </c>
    </row>
    <row r="3600">
      <c r="A3600" t="inlineStr">
        <is>
          <t>BBG0216B0VS5 Equity</t>
        </is>
      </c>
      <c r="B3600" t="inlineStr">
        <is>
          <t>TSLA US 06/18/26 P545</t>
        </is>
      </c>
      <c r="C3600" t="inlineStr">
        <is>
          <t>2026-06-18</t>
        </is>
      </c>
      <c r="D3600" t="n">
        <v>545</v>
      </c>
      <c r="E3600" t="inlineStr">
        <is>
          <t>BBG0216B0VS5</t>
        </is>
      </c>
    </row>
    <row r="3601">
      <c r="A3601" t="inlineStr">
        <is>
          <t>BBG01QPLK291 Equity</t>
        </is>
      </c>
      <c r="B3601" t="inlineStr">
        <is>
          <t>TSLA US 06/18/26 P550</t>
        </is>
      </c>
      <c r="C3601" t="inlineStr">
        <is>
          <t>2026-06-18</t>
        </is>
      </c>
      <c r="D3601" t="n">
        <v>550</v>
      </c>
      <c r="E3601" t="inlineStr">
        <is>
          <t>BBG01QPLK291</t>
        </is>
      </c>
    </row>
    <row r="3602">
      <c r="A3602" t="inlineStr">
        <is>
          <t>BBG0216B0WD9 Equity</t>
        </is>
      </c>
      <c r="B3602" t="inlineStr">
        <is>
          <t>TSLA US 06/18/26 P555</t>
        </is>
      </c>
      <c r="C3602" t="inlineStr">
        <is>
          <t>2026-06-18</t>
        </is>
      </c>
      <c r="D3602" t="n">
        <v>555</v>
      </c>
      <c r="E3602" t="inlineStr">
        <is>
          <t>BBG0216B0WD9</t>
        </is>
      </c>
    </row>
    <row r="3603">
      <c r="A3603" t="inlineStr">
        <is>
          <t>BBG01QPLK3J8 Equity</t>
        </is>
      </c>
      <c r="B3603" t="inlineStr">
        <is>
          <t>TSLA US 06/18/26 P560</t>
        </is>
      </c>
      <c r="C3603" t="inlineStr">
        <is>
          <t>2026-06-18</t>
        </is>
      </c>
      <c r="D3603" t="n">
        <v>560</v>
      </c>
      <c r="E3603" t="inlineStr">
        <is>
          <t>BBG01QPLK3J8</t>
        </is>
      </c>
    </row>
    <row r="3604">
      <c r="A3604" t="inlineStr">
        <is>
          <t>BBG0217WCKF3 Equity</t>
        </is>
      </c>
      <c r="B3604" t="inlineStr">
        <is>
          <t>TSLA US 06/18/26 P565</t>
        </is>
      </c>
      <c r="C3604" t="inlineStr">
        <is>
          <t>2026-06-18</t>
        </is>
      </c>
      <c r="D3604" t="n">
        <v>565</v>
      </c>
      <c r="E3604" t="inlineStr">
        <is>
          <t>BBG0217WCKF3</t>
        </is>
      </c>
    </row>
    <row r="3605">
      <c r="A3605" t="inlineStr">
        <is>
          <t>BBG01QPLK2X4 Equity</t>
        </is>
      </c>
      <c r="B3605" t="inlineStr">
        <is>
          <t>TSLA US 06/18/26 P570</t>
        </is>
      </c>
      <c r="C3605" t="inlineStr">
        <is>
          <t>2026-06-18</t>
        </is>
      </c>
      <c r="D3605" t="n">
        <v>570</v>
      </c>
      <c r="E3605" t="inlineStr">
        <is>
          <t>BBG01QPLK2X4</t>
        </is>
      </c>
    </row>
    <row r="3606">
      <c r="A3606" t="inlineStr">
        <is>
          <t>BBG0217WCL16 Equity</t>
        </is>
      </c>
      <c r="B3606" t="inlineStr">
        <is>
          <t>TSLA US 06/18/26 P575</t>
        </is>
      </c>
      <c r="C3606" t="inlineStr">
        <is>
          <t>2026-06-18</t>
        </is>
      </c>
      <c r="D3606" t="n">
        <v>575</v>
      </c>
      <c r="E3606" t="inlineStr">
        <is>
          <t>BBG0217WCL16</t>
        </is>
      </c>
    </row>
    <row r="3607">
      <c r="A3607" t="inlineStr">
        <is>
          <t>BBG01QR8K350 Equity</t>
        </is>
      </c>
      <c r="B3607" t="inlineStr">
        <is>
          <t>TSLA US 06/18/26 P580</t>
        </is>
      </c>
      <c r="C3607" t="inlineStr">
        <is>
          <t>2026-06-18</t>
        </is>
      </c>
      <c r="D3607" t="n">
        <v>580</v>
      </c>
      <c r="E3607" t="inlineStr">
        <is>
          <t>BBG01QR8K350</t>
        </is>
      </c>
    </row>
    <row r="3608">
      <c r="A3608" t="inlineStr">
        <is>
          <t>BBG01W2NBZD1 Equity</t>
        </is>
      </c>
      <c r="B3608" t="inlineStr">
        <is>
          <t>TSLA US 07/17/26 P310</t>
        </is>
      </c>
      <c r="C3608" t="inlineStr">
        <is>
          <t>2026-07-17</t>
        </is>
      </c>
      <c r="D3608" t="n">
        <v>310</v>
      </c>
      <c r="E3608" t="inlineStr">
        <is>
          <t>BBG01W2NBZD1</t>
        </is>
      </c>
    </row>
    <row r="3609">
      <c r="A3609" t="inlineStr">
        <is>
          <t>BBG01W2NBDW9 Equity</t>
        </is>
      </c>
      <c r="B3609" t="inlineStr">
        <is>
          <t>TSLA US 07/17/26 P320</t>
        </is>
      </c>
      <c r="C3609" t="inlineStr">
        <is>
          <t>2026-07-17</t>
        </is>
      </c>
      <c r="D3609" t="n">
        <v>320</v>
      </c>
      <c r="E3609" t="inlineStr">
        <is>
          <t>BBG01W2NBDW9</t>
        </is>
      </c>
    </row>
    <row r="3610">
      <c r="A3610" t="inlineStr">
        <is>
          <t>BBG01W2NC0M7 Equity</t>
        </is>
      </c>
      <c r="B3610" t="inlineStr">
        <is>
          <t>TSLA US 07/17/26 P330</t>
        </is>
      </c>
      <c r="C3610" t="inlineStr">
        <is>
          <t>2026-07-17</t>
        </is>
      </c>
      <c r="D3610" t="n">
        <v>330</v>
      </c>
      <c r="E3610" t="inlineStr">
        <is>
          <t>BBG01W2NC0M7</t>
        </is>
      </c>
    </row>
    <row r="3611">
      <c r="A3611" t="inlineStr">
        <is>
          <t>BBG01W2NC172 Equity</t>
        </is>
      </c>
      <c r="B3611" t="inlineStr">
        <is>
          <t>TSLA US 07/17/26 P340</t>
        </is>
      </c>
      <c r="C3611" t="inlineStr">
        <is>
          <t>2026-07-17</t>
        </is>
      </c>
      <c r="D3611" t="n">
        <v>340</v>
      </c>
      <c r="E3611" t="inlineStr">
        <is>
          <t>BBG01W2NC172</t>
        </is>
      </c>
    </row>
    <row r="3612">
      <c r="A3612" t="inlineStr">
        <is>
          <t>BBG01W2NC1W4 Equity</t>
        </is>
      </c>
      <c r="B3612" t="inlineStr">
        <is>
          <t>TSLA US 07/17/26 P350</t>
        </is>
      </c>
      <c r="C3612" t="inlineStr">
        <is>
          <t>2026-07-17</t>
        </is>
      </c>
      <c r="D3612" t="n">
        <v>350</v>
      </c>
      <c r="E3612" t="inlineStr">
        <is>
          <t>BBG01W2NC1W4</t>
        </is>
      </c>
    </row>
    <row r="3613">
      <c r="A3613" t="inlineStr">
        <is>
          <t>BBG01W2NC2H9 Equity</t>
        </is>
      </c>
      <c r="B3613" t="inlineStr">
        <is>
          <t>TSLA US 07/17/26 P360</t>
        </is>
      </c>
      <c r="C3613" t="inlineStr">
        <is>
          <t>2026-07-17</t>
        </is>
      </c>
      <c r="D3613" t="n">
        <v>360</v>
      </c>
      <c r="E3613" t="inlineStr">
        <is>
          <t>BBG01W2NC2H9</t>
        </is>
      </c>
    </row>
    <row r="3614">
      <c r="A3614" t="inlineStr">
        <is>
          <t>BBG01W2N9XT2 Equity</t>
        </is>
      </c>
      <c r="B3614" t="inlineStr">
        <is>
          <t>TSLA US 07/17/26 P370</t>
        </is>
      </c>
      <c r="C3614" t="inlineStr">
        <is>
          <t>2026-07-17</t>
        </is>
      </c>
      <c r="D3614" t="n">
        <v>370</v>
      </c>
      <c r="E3614" t="inlineStr">
        <is>
          <t>BBG01W2N9XT2</t>
        </is>
      </c>
    </row>
    <row r="3615">
      <c r="A3615" t="inlineStr">
        <is>
          <t>BBG01W2NBMG7 Equity</t>
        </is>
      </c>
      <c r="B3615" t="inlineStr">
        <is>
          <t>TSLA US 07/17/26 P380</t>
        </is>
      </c>
      <c r="C3615" t="inlineStr">
        <is>
          <t>2026-07-17</t>
        </is>
      </c>
      <c r="D3615" t="n">
        <v>380</v>
      </c>
      <c r="E3615" t="inlineStr">
        <is>
          <t>BBG01W2NBMG7</t>
        </is>
      </c>
    </row>
    <row r="3616">
      <c r="A3616" t="inlineStr">
        <is>
          <t>BBG01W2N9C90 Equity</t>
        </is>
      </c>
      <c r="B3616" t="inlineStr">
        <is>
          <t>TSLA US 07/17/26 P390</t>
        </is>
      </c>
      <c r="C3616" t="inlineStr">
        <is>
          <t>2026-07-17</t>
        </is>
      </c>
      <c r="D3616" t="n">
        <v>390</v>
      </c>
      <c r="E3616" t="inlineStr">
        <is>
          <t>BBG01W2N9C90</t>
        </is>
      </c>
    </row>
    <row r="3617">
      <c r="A3617" t="inlineStr">
        <is>
          <t>BBG01W2N9TG5 Equity</t>
        </is>
      </c>
      <c r="B3617" t="inlineStr">
        <is>
          <t>TSLA US 07/17/26 P400</t>
        </is>
      </c>
      <c r="C3617" t="inlineStr">
        <is>
          <t>2026-07-17</t>
        </is>
      </c>
      <c r="D3617" t="n">
        <v>400</v>
      </c>
      <c r="E3617" t="inlineStr">
        <is>
          <t>BBG01W2N9TG5</t>
        </is>
      </c>
    </row>
    <row r="3618">
      <c r="A3618" t="inlineStr">
        <is>
          <t>BBG01W2N9B29 Equity</t>
        </is>
      </c>
      <c r="B3618" t="inlineStr">
        <is>
          <t>TSLA US 07/17/26 P410</t>
        </is>
      </c>
      <c r="C3618" t="inlineStr">
        <is>
          <t>2026-07-17</t>
        </is>
      </c>
      <c r="D3618" t="n">
        <v>410</v>
      </c>
      <c r="E3618" t="inlineStr">
        <is>
          <t>BBG01W2N9B29</t>
        </is>
      </c>
    </row>
    <row r="3619">
      <c r="A3619" t="inlineStr">
        <is>
          <t>BBG01W2N9R15 Equity</t>
        </is>
      </c>
      <c r="B3619" t="inlineStr">
        <is>
          <t>TSLA US 07/17/26 P420</t>
        </is>
      </c>
      <c r="C3619" t="inlineStr">
        <is>
          <t>2026-07-17</t>
        </is>
      </c>
      <c r="D3619" t="n">
        <v>420</v>
      </c>
      <c r="E3619" t="inlineStr">
        <is>
          <t>BBG01W2N9R15</t>
        </is>
      </c>
    </row>
    <row r="3620">
      <c r="A3620" t="inlineStr">
        <is>
          <t>BBG01W2N9BP4 Equity</t>
        </is>
      </c>
      <c r="B3620" t="inlineStr">
        <is>
          <t>TSLA US 07/17/26 P430</t>
        </is>
      </c>
      <c r="C3620" t="inlineStr">
        <is>
          <t>2026-07-17</t>
        </is>
      </c>
      <c r="D3620" t="n">
        <v>430</v>
      </c>
      <c r="E3620" t="inlineStr">
        <is>
          <t>BBG01W2N9BP4</t>
        </is>
      </c>
    </row>
    <row r="3621">
      <c r="A3621" t="inlineStr">
        <is>
          <t>BBG01W2N9CX3 Equity</t>
        </is>
      </c>
      <c r="B3621" t="inlineStr">
        <is>
          <t>TSLA US 07/17/26 P440</t>
        </is>
      </c>
      <c r="C3621" t="inlineStr">
        <is>
          <t>2026-07-17</t>
        </is>
      </c>
      <c r="D3621" t="n">
        <v>440</v>
      </c>
      <c r="E3621" t="inlineStr">
        <is>
          <t>BBG01W2N9CX3</t>
        </is>
      </c>
    </row>
    <row r="3622">
      <c r="A3622" t="inlineStr">
        <is>
          <t>BBG01W2N9YF5 Equity</t>
        </is>
      </c>
      <c r="B3622" t="inlineStr">
        <is>
          <t>TSLA US 07/17/26 P450</t>
        </is>
      </c>
      <c r="C3622" t="inlineStr">
        <is>
          <t>2026-07-17</t>
        </is>
      </c>
      <c r="D3622" t="n">
        <v>450</v>
      </c>
      <c r="E3622" t="inlineStr">
        <is>
          <t>BBG01W2N9YF5</t>
        </is>
      </c>
    </row>
    <row r="3623">
      <c r="A3623" t="inlineStr">
        <is>
          <t>BBG01W2NBKM4 Equity</t>
        </is>
      </c>
      <c r="B3623" t="inlineStr">
        <is>
          <t>TSLA US 07/17/26 P460</t>
        </is>
      </c>
      <c r="C3623" t="inlineStr">
        <is>
          <t>2026-07-17</t>
        </is>
      </c>
      <c r="D3623" t="n">
        <v>460</v>
      </c>
      <c r="E3623" t="inlineStr">
        <is>
          <t>BBG01W2NBKM4</t>
        </is>
      </c>
    </row>
    <row r="3624">
      <c r="A3624" t="inlineStr">
        <is>
          <t>BBG01W2N9ZN3 Equity</t>
        </is>
      </c>
      <c r="B3624" t="inlineStr">
        <is>
          <t>TSLA US 07/17/26 P470</t>
        </is>
      </c>
      <c r="C3624" t="inlineStr">
        <is>
          <t>2026-07-17</t>
        </is>
      </c>
      <c r="D3624" t="n">
        <v>470</v>
      </c>
      <c r="E3624" t="inlineStr">
        <is>
          <t>BBG01W2N9ZN3</t>
        </is>
      </c>
    </row>
    <row r="3625">
      <c r="A3625" t="inlineStr">
        <is>
          <t>BBG01W2NBCN1 Equity</t>
        </is>
      </c>
      <c r="B3625" t="inlineStr">
        <is>
          <t>TSLA US 07/17/26 P480</t>
        </is>
      </c>
      <c r="C3625" t="inlineStr">
        <is>
          <t>2026-07-17</t>
        </is>
      </c>
      <c r="D3625" t="n">
        <v>480</v>
      </c>
      <c r="E3625" t="inlineStr">
        <is>
          <t>BBG01W2NBCN1</t>
        </is>
      </c>
    </row>
    <row r="3626">
      <c r="A3626" t="inlineStr">
        <is>
          <t>BBG01W2NBD86 Equity</t>
        </is>
      </c>
      <c r="B3626" t="inlineStr">
        <is>
          <t>TSLA US 07/17/26 P490</t>
        </is>
      </c>
      <c r="C3626" t="inlineStr">
        <is>
          <t>2026-07-17</t>
        </is>
      </c>
      <c r="D3626" t="n">
        <v>490</v>
      </c>
      <c r="E3626" t="inlineStr">
        <is>
          <t>BBG01W2NBD86</t>
        </is>
      </c>
    </row>
    <row r="3627">
      <c r="A3627" t="inlineStr">
        <is>
          <t>BBG01W2NC001 Equity</t>
        </is>
      </c>
      <c r="B3627" t="inlineStr">
        <is>
          <t>TSLA US 07/17/26 P500</t>
        </is>
      </c>
      <c r="C3627" t="inlineStr">
        <is>
          <t>2026-07-17</t>
        </is>
      </c>
      <c r="D3627" t="n">
        <v>500</v>
      </c>
      <c r="E3627" t="inlineStr">
        <is>
          <t>BBG01W2NC001</t>
        </is>
      </c>
    </row>
    <row r="3628">
      <c r="A3628" t="inlineStr">
        <is>
          <t>BBG01W2NBV40 Equity</t>
        </is>
      </c>
      <c r="B3628" t="inlineStr">
        <is>
          <t>TSLA US 07/17/26 P510</t>
        </is>
      </c>
      <c r="C3628" t="inlineStr">
        <is>
          <t>2026-07-17</t>
        </is>
      </c>
      <c r="D3628" t="n">
        <v>510</v>
      </c>
      <c r="E3628" t="inlineStr">
        <is>
          <t>BBG01W2NBV40</t>
        </is>
      </c>
    </row>
    <row r="3629">
      <c r="A3629" t="inlineStr">
        <is>
          <t>BBG01W2N9H44 Equity</t>
        </is>
      </c>
      <c r="B3629" t="inlineStr">
        <is>
          <t>TSLA US 07/17/26 P520</t>
        </is>
      </c>
      <c r="C3629" t="inlineStr">
        <is>
          <t>2026-07-17</t>
        </is>
      </c>
      <c r="D3629" t="n">
        <v>520</v>
      </c>
      <c r="E3629" t="inlineStr">
        <is>
          <t>BBG01W2N9H44</t>
        </is>
      </c>
    </row>
    <row r="3630">
      <c r="A3630" t="inlineStr">
        <is>
          <t>BBG01W2NBTJ9 Equity</t>
        </is>
      </c>
      <c r="B3630" t="inlineStr">
        <is>
          <t>TSLA US 07/17/26 P530</t>
        </is>
      </c>
      <c r="C3630" t="inlineStr">
        <is>
          <t>2026-07-17</t>
        </is>
      </c>
      <c r="D3630" t="n">
        <v>530</v>
      </c>
      <c r="E3630" t="inlineStr">
        <is>
          <t>BBG01W2NBTJ9</t>
        </is>
      </c>
    </row>
    <row r="3631">
      <c r="A3631" t="inlineStr">
        <is>
          <t>BBG01WM3R5R7 Equity</t>
        </is>
      </c>
      <c r="B3631" t="inlineStr">
        <is>
          <t>TSLA US 08/21/26 P310</t>
        </is>
      </c>
      <c r="C3631" t="inlineStr">
        <is>
          <t>2026-08-21</t>
        </is>
      </c>
      <c r="D3631" t="n">
        <v>310</v>
      </c>
      <c r="E3631" t="inlineStr">
        <is>
          <t>BBG01WM3R5R7</t>
        </is>
      </c>
    </row>
    <row r="3632">
      <c r="A3632" t="inlineStr">
        <is>
          <t>BBG01WM3L6R1 Equity</t>
        </is>
      </c>
      <c r="B3632" t="inlineStr">
        <is>
          <t>TSLA US 08/21/26 P320</t>
        </is>
      </c>
      <c r="C3632" t="inlineStr">
        <is>
          <t>2026-08-21</t>
        </is>
      </c>
      <c r="D3632" t="n">
        <v>320</v>
      </c>
      <c r="E3632" t="inlineStr">
        <is>
          <t>BBG01WM3L6R1</t>
        </is>
      </c>
    </row>
    <row r="3633">
      <c r="A3633" t="inlineStr">
        <is>
          <t>BBG01WM3L7Z0 Equity</t>
        </is>
      </c>
      <c r="B3633" t="inlineStr">
        <is>
          <t>TSLA US 08/21/26 P330</t>
        </is>
      </c>
      <c r="C3633" t="inlineStr">
        <is>
          <t>2026-08-21</t>
        </is>
      </c>
      <c r="D3633" t="n">
        <v>330</v>
      </c>
      <c r="E3633" t="inlineStr">
        <is>
          <t>BBG01WM3L7Z0</t>
        </is>
      </c>
    </row>
    <row r="3634">
      <c r="A3634" t="inlineStr">
        <is>
          <t>BBG01WM3NFV4 Equity</t>
        </is>
      </c>
      <c r="B3634" t="inlineStr">
        <is>
          <t>TSLA US 08/21/26 P340</t>
        </is>
      </c>
      <c r="C3634" t="inlineStr">
        <is>
          <t>2026-08-21</t>
        </is>
      </c>
      <c r="D3634" t="n">
        <v>340</v>
      </c>
      <c r="E3634" t="inlineStr">
        <is>
          <t>BBG01WM3NFV4</t>
        </is>
      </c>
    </row>
    <row r="3635">
      <c r="A3635" t="inlineStr">
        <is>
          <t>BBG01WM3QYX8 Equity</t>
        </is>
      </c>
      <c r="B3635" t="inlineStr">
        <is>
          <t>TSLA US 08/21/26 P350</t>
        </is>
      </c>
      <c r="C3635" t="inlineStr">
        <is>
          <t>2026-08-21</t>
        </is>
      </c>
      <c r="D3635" t="n">
        <v>350</v>
      </c>
      <c r="E3635" t="inlineStr">
        <is>
          <t>BBG01WM3QYX8</t>
        </is>
      </c>
    </row>
    <row r="3636">
      <c r="A3636" t="inlineStr">
        <is>
          <t>BBG01WM3NF71 Equity</t>
        </is>
      </c>
      <c r="B3636" t="inlineStr">
        <is>
          <t>TSLA US 08/21/26 P360</t>
        </is>
      </c>
      <c r="C3636" t="inlineStr">
        <is>
          <t>2026-08-21</t>
        </is>
      </c>
      <c r="D3636" t="n">
        <v>360</v>
      </c>
      <c r="E3636" t="inlineStr">
        <is>
          <t>BBG01WM3NF71</t>
        </is>
      </c>
    </row>
    <row r="3637">
      <c r="A3637" t="inlineStr">
        <is>
          <t>BBG01WM3QSN2 Equity</t>
        </is>
      </c>
      <c r="B3637" t="inlineStr">
        <is>
          <t>TSLA US 08/21/26 P370</t>
        </is>
      </c>
      <c r="C3637" t="inlineStr">
        <is>
          <t>2026-08-21</t>
        </is>
      </c>
      <c r="D3637" t="n">
        <v>370</v>
      </c>
      <c r="E3637" t="inlineStr">
        <is>
          <t>BBG01WM3QSN2</t>
        </is>
      </c>
    </row>
    <row r="3638">
      <c r="A3638" t="inlineStr">
        <is>
          <t>BBG01WM3QS16 Equity</t>
        </is>
      </c>
      <c r="B3638" t="inlineStr">
        <is>
          <t>TSLA US 08/21/26 P380</t>
        </is>
      </c>
      <c r="C3638" t="inlineStr">
        <is>
          <t>2026-08-21</t>
        </is>
      </c>
      <c r="D3638" t="n">
        <v>380</v>
      </c>
      <c r="E3638" t="inlineStr">
        <is>
          <t>BBG01WM3QS16</t>
        </is>
      </c>
    </row>
    <row r="3639">
      <c r="A3639" t="inlineStr">
        <is>
          <t>BBG01WM3QT87 Equity</t>
        </is>
      </c>
      <c r="B3639" t="inlineStr">
        <is>
          <t>TSLA US 08/21/26 P390</t>
        </is>
      </c>
      <c r="C3639" t="inlineStr">
        <is>
          <t>2026-08-21</t>
        </is>
      </c>
      <c r="D3639" t="n">
        <v>390</v>
      </c>
      <c r="E3639" t="inlineStr">
        <is>
          <t>BBG01WM3QT87</t>
        </is>
      </c>
    </row>
    <row r="3640">
      <c r="A3640" t="inlineStr">
        <is>
          <t>BBG01WM3NBD3 Equity</t>
        </is>
      </c>
      <c r="B3640" t="inlineStr">
        <is>
          <t>TSLA US 08/21/26 P400</t>
        </is>
      </c>
      <c r="C3640" t="inlineStr">
        <is>
          <t>2026-08-21</t>
        </is>
      </c>
      <c r="D3640" t="n">
        <v>400</v>
      </c>
      <c r="E3640" t="inlineStr">
        <is>
          <t>BBG01WM3NBD3</t>
        </is>
      </c>
    </row>
    <row r="3641">
      <c r="A3641" t="inlineStr">
        <is>
          <t>BBG01WM3QZJ1 Equity</t>
        </is>
      </c>
      <c r="B3641" t="inlineStr">
        <is>
          <t>TSLA US 08/21/26 P410</t>
        </is>
      </c>
      <c r="C3641" t="inlineStr">
        <is>
          <t>2026-08-21</t>
        </is>
      </c>
      <c r="D3641" t="n">
        <v>410</v>
      </c>
      <c r="E3641" t="inlineStr">
        <is>
          <t>BBG01WM3QZJ1</t>
        </is>
      </c>
    </row>
    <row r="3642">
      <c r="A3642" t="inlineStr">
        <is>
          <t>BBG01WM3R1P8 Equity</t>
        </is>
      </c>
      <c r="B3642" t="inlineStr">
        <is>
          <t>TSLA US 08/21/26 P420</t>
        </is>
      </c>
      <c r="C3642" t="inlineStr">
        <is>
          <t>2026-08-21</t>
        </is>
      </c>
      <c r="D3642" t="n">
        <v>420</v>
      </c>
      <c r="E3642" t="inlineStr">
        <is>
          <t>BBG01WM3R1P8</t>
        </is>
      </c>
    </row>
    <row r="3643">
      <c r="A3643" t="inlineStr">
        <is>
          <t>BBG01WM3QW44 Equity</t>
        </is>
      </c>
      <c r="B3643" t="inlineStr">
        <is>
          <t>TSLA US 08/21/26 P430</t>
        </is>
      </c>
      <c r="C3643" t="inlineStr">
        <is>
          <t>2026-08-21</t>
        </is>
      </c>
      <c r="D3643" t="n">
        <v>430</v>
      </c>
      <c r="E3643" t="inlineStr">
        <is>
          <t>BBG01WM3QW44</t>
        </is>
      </c>
    </row>
    <row r="3644">
      <c r="A3644" t="inlineStr">
        <is>
          <t>BBG01WM3R294 Equity</t>
        </is>
      </c>
      <c r="B3644" t="inlineStr">
        <is>
          <t>TSLA US 08/21/26 P440</t>
        </is>
      </c>
      <c r="C3644" t="inlineStr">
        <is>
          <t>2026-08-21</t>
        </is>
      </c>
      <c r="D3644" t="n">
        <v>440</v>
      </c>
      <c r="E3644" t="inlineStr">
        <is>
          <t>BBG01WM3R294</t>
        </is>
      </c>
    </row>
    <row r="3645">
      <c r="A3645" t="inlineStr">
        <is>
          <t>BBG01WM3P3R4 Equity</t>
        </is>
      </c>
      <c r="B3645" t="inlineStr">
        <is>
          <t>TSLA US 08/21/26 P450</t>
        </is>
      </c>
      <c r="C3645" t="inlineStr">
        <is>
          <t>2026-08-21</t>
        </is>
      </c>
      <c r="D3645" t="n">
        <v>450</v>
      </c>
      <c r="E3645" t="inlineStr">
        <is>
          <t>BBG01WM3P3R4</t>
        </is>
      </c>
    </row>
    <row r="3646">
      <c r="A3646" t="inlineStr">
        <is>
          <t>BBG01WM3R2X7 Equity</t>
        </is>
      </c>
      <c r="B3646" t="inlineStr">
        <is>
          <t>TSLA US 08/21/26 P460</t>
        </is>
      </c>
      <c r="C3646" t="inlineStr">
        <is>
          <t>2026-08-21</t>
        </is>
      </c>
      <c r="D3646" t="n">
        <v>460</v>
      </c>
      <c r="E3646" t="inlineStr">
        <is>
          <t>BBG01WM3R2X7</t>
        </is>
      </c>
    </row>
    <row r="3647">
      <c r="A3647" t="inlineStr">
        <is>
          <t>BBG01WM3QRF3 Equity</t>
        </is>
      </c>
      <c r="B3647" t="inlineStr">
        <is>
          <t>TSLA US 08/21/26 P470</t>
        </is>
      </c>
      <c r="C3647" t="inlineStr">
        <is>
          <t>2026-08-21</t>
        </is>
      </c>
      <c r="D3647" t="n">
        <v>470</v>
      </c>
      <c r="E3647" t="inlineStr">
        <is>
          <t>BBG01WM3QRF3</t>
        </is>
      </c>
    </row>
    <row r="3648">
      <c r="A3648" t="inlineStr">
        <is>
          <t>BBG01WM3P4Z3 Equity</t>
        </is>
      </c>
      <c r="B3648" t="inlineStr">
        <is>
          <t>TSLA US 08/21/26 P480</t>
        </is>
      </c>
      <c r="C3648" t="inlineStr">
        <is>
          <t>2026-08-21</t>
        </is>
      </c>
      <c r="D3648" t="n">
        <v>480</v>
      </c>
      <c r="E3648" t="inlineStr">
        <is>
          <t>BBG01WM3P4Z3</t>
        </is>
      </c>
    </row>
    <row r="3649">
      <c r="A3649" t="inlineStr">
        <is>
          <t>BBG01WM3P4C8 Equity</t>
        </is>
      </c>
      <c r="B3649" t="inlineStr">
        <is>
          <t>TSLA US 08/21/26 P490</t>
        </is>
      </c>
      <c r="C3649" t="inlineStr">
        <is>
          <t>2026-08-21</t>
        </is>
      </c>
      <c r="D3649" t="n">
        <v>490</v>
      </c>
      <c r="E3649" t="inlineStr">
        <is>
          <t>BBG01WM3P4C8</t>
        </is>
      </c>
    </row>
    <row r="3650">
      <c r="A3650" t="inlineStr">
        <is>
          <t>BBG01WM3RH82 Equity</t>
        </is>
      </c>
      <c r="B3650" t="inlineStr">
        <is>
          <t>TSLA US 08/21/26 P500</t>
        </is>
      </c>
      <c r="C3650" t="inlineStr">
        <is>
          <t>2026-08-21</t>
        </is>
      </c>
      <c r="D3650" t="n">
        <v>500</v>
      </c>
      <c r="E3650" t="inlineStr">
        <is>
          <t>BBG01WM3RH82</t>
        </is>
      </c>
    </row>
    <row r="3651">
      <c r="A3651" t="inlineStr">
        <is>
          <t>BBG01XB6QJJ0 Equity</t>
        </is>
      </c>
      <c r="B3651" t="inlineStr">
        <is>
          <t>TSLA US 08/21/26 P510</t>
        </is>
      </c>
      <c r="C3651" t="inlineStr">
        <is>
          <t>2026-08-21</t>
        </is>
      </c>
      <c r="D3651" t="n">
        <v>510</v>
      </c>
      <c r="E3651" t="inlineStr">
        <is>
          <t>BBG01XB6QJJ0</t>
        </is>
      </c>
    </row>
    <row r="3652">
      <c r="A3652" t="inlineStr">
        <is>
          <t>BBG01XB6QK43 Equity</t>
        </is>
      </c>
      <c r="B3652" t="inlineStr">
        <is>
          <t>TSLA US 08/21/26 P520</t>
        </is>
      </c>
      <c r="C3652" t="inlineStr">
        <is>
          <t>2026-08-21</t>
        </is>
      </c>
      <c r="D3652" t="n">
        <v>520</v>
      </c>
      <c r="E3652" t="inlineStr">
        <is>
          <t>BBG01XB6QK43</t>
        </is>
      </c>
    </row>
    <row r="3653">
      <c r="A3653" t="inlineStr">
        <is>
          <t>BBG01XB6QFK6 Equity</t>
        </is>
      </c>
      <c r="B3653" t="inlineStr">
        <is>
          <t>TSLA US 08/21/26 P530</t>
        </is>
      </c>
      <c r="C3653" t="inlineStr">
        <is>
          <t>2026-08-21</t>
        </is>
      </c>
      <c r="D3653" t="n">
        <v>530</v>
      </c>
      <c r="E3653" t="inlineStr">
        <is>
          <t>BBG01XB6QFK6</t>
        </is>
      </c>
    </row>
    <row r="3654">
      <c r="A3654" t="inlineStr">
        <is>
          <t>BBG01S6R9118 Equity</t>
        </is>
      </c>
      <c r="B3654" t="inlineStr">
        <is>
          <t>TSLA US 09/18/26 P310</t>
        </is>
      </c>
      <c r="C3654" t="inlineStr">
        <is>
          <t>2026-09-18</t>
        </is>
      </c>
      <c r="D3654" t="n">
        <v>310</v>
      </c>
      <c r="E3654" t="inlineStr">
        <is>
          <t>BBG01S6R9118</t>
        </is>
      </c>
    </row>
    <row r="3655">
      <c r="A3655" t="inlineStr">
        <is>
          <t>BBG01S6R8HT4 Equity</t>
        </is>
      </c>
      <c r="B3655" t="inlineStr">
        <is>
          <t>TSLA US 09/18/26 P320</t>
        </is>
      </c>
      <c r="C3655" t="inlineStr">
        <is>
          <t>2026-09-18</t>
        </is>
      </c>
      <c r="D3655" t="n">
        <v>320</v>
      </c>
      <c r="E3655" t="inlineStr">
        <is>
          <t>BBG01S6R8HT4</t>
        </is>
      </c>
    </row>
    <row r="3656">
      <c r="A3656" t="inlineStr">
        <is>
          <t>BBG01S6R8H69 Equity</t>
        </is>
      </c>
      <c r="B3656" t="inlineStr">
        <is>
          <t>TSLA US 09/18/26 P330</t>
        </is>
      </c>
      <c r="C3656" t="inlineStr">
        <is>
          <t>2026-09-18</t>
        </is>
      </c>
      <c r="D3656" t="n">
        <v>330</v>
      </c>
      <c r="E3656" t="inlineStr">
        <is>
          <t>BBG01S6R8H69</t>
        </is>
      </c>
    </row>
    <row r="3657">
      <c r="A3657" t="inlineStr">
        <is>
          <t>BBG01S6R8823 Equity</t>
        </is>
      </c>
      <c r="B3657" t="inlineStr">
        <is>
          <t>TSLA US 09/18/26 P340</t>
        </is>
      </c>
      <c r="C3657" t="inlineStr">
        <is>
          <t>2026-09-18</t>
        </is>
      </c>
      <c r="D3657" t="n">
        <v>340</v>
      </c>
      <c r="E3657" t="inlineStr">
        <is>
          <t>BBG01S6R8823</t>
        </is>
      </c>
    </row>
    <row r="3658">
      <c r="A3658" t="inlineStr">
        <is>
          <t>BBG01ZN2KNZ0 Equity</t>
        </is>
      </c>
      <c r="B3658" t="inlineStr">
        <is>
          <t>TSLA US 09/18/26 P345</t>
        </is>
      </c>
      <c r="C3658" t="inlineStr">
        <is>
          <t>2026-09-18</t>
        </is>
      </c>
      <c r="D3658" t="n">
        <v>345</v>
      </c>
      <c r="E3658" t="inlineStr">
        <is>
          <t>BBG01ZN2KNZ0</t>
        </is>
      </c>
    </row>
    <row r="3659">
      <c r="A3659" t="inlineStr">
        <is>
          <t>BBG01S6R9KT6 Equity</t>
        </is>
      </c>
      <c r="B3659" t="inlineStr">
        <is>
          <t>TSLA US 09/18/26 P350</t>
        </is>
      </c>
      <c r="C3659" t="inlineStr">
        <is>
          <t>2026-09-18</t>
        </is>
      </c>
      <c r="D3659" t="n">
        <v>350</v>
      </c>
      <c r="E3659" t="inlineStr">
        <is>
          <t>BBG01S6R9KT6</t>
        </is>
      </c>
    </row>
    <row r="3660">
      <c r="A3660" t="inlineStr">
        <is>
          <t>BBG01ZN2KMR1 Equity</t>
        </is>
      </c>
      <c r="B3660" t="inlineStr">
        <is>
          <t>TSLA US 09/18/26 P355</t>
        </is>
      </c>
      <c r="C3660" t="inlineStr">
        <is>
          <t>2026-09-18</t>
        </is>
      </c>
      <c r="D3660" t="n">
        <v>355</v>
      </c>
      <c r="E3660" t="inlineStr">
        <is>
          <t>BBG01ZN2KMR1</t>
        </is>
      </c>
    </row>
    <row r="3661">
      <c r="A3661" t="inlineStr">
        <is>
          <t>BBG01S6R9JN5 Equity</t>
        </is>
      </c>
      <c r="B3661" t="inlineStr">
        <is>
          <t>TSLA US 09/18/26 P360</t>
        </is>
      </c>
      <c r="C3661" t="inlineStr">
        <is>
          <t>2026-09-18</t>
        </is>
      </c>
      <c r="D3661" t="n">
        <v>360</v>
      </c>
      <c r="E3661" t="inlineStr">
        <is>
          <t>BBG01S6R9JN5</t>
        </is>
      </c>
    </row>
    <row r="3662">
      <c r="A3662" t="inlineStr">
        <is>
          <t>BBG01ZN27CF1 Equity</t>
        </is>
      </c>
      <c r="B3662" t="inlineStr">
        <is>
          <t>TSLA US 09/18/26 P365</t>
        </is>
      </c>
      <c r="C3662" t="inlineStr">
        <is>
          <t>2026-09-18</t>
        </is>
      </c>
      <c r="D3662" t="n">
        <v>365</v>
      </c>
      <c r="E3662" t="inlineStr">
        <is>
          <t>BBG01ZN27CF1</t>
        </is>
      </c>
    </row>
    <row r="3663">
      <c r="A3663" t="inlineStr">
        <is>
          <t>BBG01S6R88P8 Equity</t>
        </is>
      </c>
      <c r="B3663" t="inlineStr">
        <is>
          <t>TSLA US 09/18/26 P370</t>
        </is>
      </c>
      <c r="C3663" t="inlineStr">
        <is>
          <t>2026-09-18</t>
        </is>
      </c>
      <c r="D3663" t="n">
        <v>370</v>
      </c>
      <c r="E3663" t="inlineStr">
        <is>
          <t>BBG01S6R88P8</t>
        </is>
      </c>
    </row>
    <row r="3664">
      <c r="A3664" t="inlineStr">
        <is>
          <t>BBG01ZN29859 Equity</t>
        </is>
      </c>
      <c r="B3664" t="inlineStr">
        <is>
          <t>TSLA US 09/18/26 P375</t>
        </is>
      </c>
      <c r="C3664" t="inlineStr">
        <is>
          <t>2026-09-18</t>
        </is>
      </c>
      <c r="D3664" t="n">
        <v>375</v>
      </c>
      <c r="E3664" t="inlineStr">
        <is>
          <t>BBG01ZN29859</t>
        </is>
      </c>
    </row>
    <row r="3665">
      <c r="A3665" t="inlineStr">
        <is>
          <t>BBG01S6R87G0 Equity</t>
        </is>
      </c>
      <c r="B3665" t="inlineStr">
        <is>
          <t>TSLA US 09/18/26 P380</t>
        </is>
      </c>
      <c r="C3665" t="inlineStr">
        <is>
          <t>2026-09-18</t>
        </is>
      </c>
      <c r="D3665" t="n">
        <v>380</v>
      </c>
      <c r="E3665" t="inlineStr">
        <is>
          <t>BBG01S6R87G0</t>
        </is>
      </c>
    </row>
    <row r="3666">
      <c r="A3666" t="inlineStr">
        <is>
          <t>BBG01ZN2G8F0 Equity</t>
        </is>
      </c>
      <c r="B3666" t="inlineStr">
        <is>
          <t>TSLA US 09/18/26 P385</t>
        </is>
      </c>
      <c r="C3666" t="inlineStr">
        <is>
          <t>2026-09-18</t>
        </is>
      </c>
      <c r="D3666" t="n">
        <v>385</v>
      </c>
      <c r="E3666" t="inlineStr">
        <is>
          <t>BBG01ZN2G8F0</t>
        </is>
      </c>
    </row>
    <row r="3667">
      <c r="A3667" t="inlineStr">
        <is>
          <t>BBG01S6R8994 Equity</t>
        </is>
      </c>
      <c r="B3667" t="inlineStr">
        <is>
          <t>TSLA US 09/18/26 P390</t>
        </is>
      </c>
      <c r="C3667" t="inlineStr">
        <is>
          <t>2026-09-18</t>
        </is>
      </c>
      <c r="D3667" t="n">
        <v>390</v>
      </c>
      <c r="E3667" t="inlineStr">
        <is>
          <t>BBG01S6R8994</t>
        </is>
      </c>
    </row>
    <row r="3668">
      <c r="A3668" t="inlineStr">
        <is>
          <t>BBG01ZN2KDV6 Equity</t>
        </is>
      </c>
      <c r="B3668" t="inlineStr">
        <is>
          <t>TSLA US 09/18/26 P395</t>
        </is>
      </c>
      <c r="C3668" t="inlineStr">
        <is>
          <t>2026-09-18</t>
        </is>
      </c>
      <c r="D3668" t="n">
        <v>395</v>
      </c>
      <c r="E3668" t="inlineStr">
        <is>
          <t>BBG01ZN2KDV6</t>
        </is>
      </c>
    </row>
    <row r="3669">
      <c r="A3669" t="inlineStr">
        <is>
          <t>BBG01S6R9WM7 Equity</t>
        </is>
      </c>
      <c r="B3669" t="inlineStr">
        <is>
          <t>TSLA US 09/18/26 P400</t>
        </is>
      </c>
      <c r="C3669" t="inlineStr">
        <is>
          <t>2026-09-18</t>
        </is>
      </c>
      <c r="D3669" t="n">
        <v>400</v>
      </c>
      <c r="E3669" t="inlineStr">
        <is>
          <t>BBG01S6R9WM7</t>
        </is>
      </c>
    </row>
    <row r="3670">
      <c r="A3670" t="inlineStr">
        <is>
          <t>BBG01ZN2G7T7 Equity</t>
        </is>
      </c>
      <c r="B3670" t="inlineStr">
        <is>
          <t>TSLA US 09/18/26 P405</t>
        </is>
      </c>
      <c r="C3670" t="inlineStr">
        <is>
          <t>2026-09-18</t>
        </is>
      </c>
      <c r="D3670" t="n">
        <v>405</v>
      </c>
      <c r="E3670" t="inlineStr">
        <is>
          <t>BBG01ZN2G7T7</t>
        </is>
      </c>
    </row>
    <row r="3671">
      <c r="A3671" t="inlineStr">
        <is>
          <t>BBG01S6R8LY9 Equity</t>
        </is>
      </c>
      <c r="B3671" t="inlineStr">
        <is>
          <t>TSLA US 09/18/26 P410</t>
        </is>
      </c>
      <c r="C3671" t="inlineStr">
        <is>
          <t>2026-09-18</t>
        </is>
      </c>
      <c r="D3671" t="n">
        <v>410</v>
      </c>
      <c r="E3671" t="inlineStr">
        <is>
          <t>BBG01S6R8LY9</t>
        </is>
      </c>
    </row>
    <row r="3672">
      <c r="A3672" t="inlineStr">
        <is>
          <t>BBG01ZN2KZ65 Equity</t>
        </is>
      </c>
      <c r="B3672" t="inlineStr">
        <is>
          <t>TSLA US 09/18/26 P415</t>
        </is>
      </c>
      <c r="C3672" t="inlineStr">
        <is>
          <t>2026-09-18</t>
        </is>
      </c>
      <c r="D3672" t="n">
        <v>415</v>
      </c>
      <c r="E3672" t="inlineStr">
        <is>
          <t>BBG01ZN2KZ65</t>
        </is>
      </c>
    </row>
    <row r="3673">
      <c r="A3673" t="inlineStr">
        <is>
          <t>BBG01S6R9X72 Equity</t>
        </is>
      </c>
      <c r="B3673" t="inlineStr">
        <is>
          <t>TSLA US 09/18/26 P420</t>
        </is>
      </c>
      <c r="C3673" t="inlineStr">
        <is>
          <t>2026-09-18</t>
        </is>
      </c>
      <c r="D3673" t="n">
        <v>420</v>
      </c>
      <c r="E3673" t="inlineStr">
        <is>
          <t>BBG01S6R9X72</t>
        </is>
      </c>
    </row>
    <row r="3674">
      <c r="A3674" t="inlineStr">
        <is>
          <t>BBG01ZN2KYL1 Equity</t>
        </is>
      </c>
      <c r="B3674" t="inlineStr">
        <is>
          <t>TSLA US 09/18/26 P425</t>
        </is>
      </c>
      <c r="C3674" t="inlineStr">
        <is>
          <t>2026-09-18</t>
        </is>
      </c>
      <c r="D3674" t="n">
        <v>425</v>
      </c>
      <c r="E3674" t="inlineStr">
        <is>
          <t>BBG01ZN2KYL1</t>
        </is>
      </c>
    </row>
    <row r="3675">
      <c r="A3675" t="inlineStr">
        <is>
          <t>BBG01S6R86L6 Equity</t>
        </is>
      </c>
      <c r="B3675" t="inlineStr">
        <is>
          <t>TSLA US 09/18/26 P430</t>
        </is>
      </c>
      <c r="C3675" t="inlineStr">
        <is>
          <t>2026-09-18</t>
        </is>
      </c>
      <c r="D3675" t="n">
        <v>430</v>
      </c>
      <c r="E3675" t="inlineStr">
        <is>
          <t>BBG01S6R86L6</t>
        </is>
      </c>
    </row>
    <row r="3676">
      <c r="A3676" t="inlineStr">
        <is>
          <t>BBG01ZN2FZK5 Equity</t>
        </is>
      </c>
      <c r="B3676" t="inlineStr">
        <is>
          <t>TSLA US 09/18/26 P435</t>
        </is>
      </c>
      <c r="C3676" t="inlineStr">
        <is>
          <t>2026-09-18</t>
        </is>
      </c>
      <c r="D3676" t="n">
        <v>435</v>
      </c>
      <c r="E3676" t="inlineStr">
        <is>
          <t>BBG01ZN2FZK5</t>
        </is>
      </c>
    </row>
    <row r="3677">
      <c r="A3677" t="inlineStr">
        <is>
          <t>BBG01S6R7YV5 Equity</t>
        </is>
      </c>
      <c r="B3677" t="inlineStr">
        <is>
          <t>TSLA US 09/18/26 P440</t>
        </is>
      </c>
      <c r="C3677" t="inlineStr">
        <is>
          <t>2026-09-18</t>
        </is>
      </c>
      <c r="D3677" t="n">
        <v>440</v>
      </c>
      <c r="E3677" t="inlineStr">
        <is>
          <t>BBG01S6R7YV5</t>
        </is>
      </c>
    </row>
    <row r="3678">
      <c r="A3678" t="inlineStr">
        <is>
          <t>BBG01ZN2G0S3 Equity</t>
        </is>
      </c>
      <c r="B3678" t="inlineStr">
        <is>
          <t>TSLA US 09/18/26 P445</t>
        </is>
      </c>
      <c r="C3678" t="inlineStr">
        <is>
          <t>2026-09-18</t>
        </is>
      </c>
      <c r="D3678" t="n">
        <v>445</v>
      </c>
      <c r="E3678" t="inlineStr">
        <is>
          <t>BBG01ZN2G0S3</t>
        </is>
      </c>
    </row>
    <row r="3679">
      <c r="A3679" t="inlineStr">
        <is>
          <t>BBG01S6R8CT5 Equity</t>
        </is>
      </c>
      <c r="B3679" t="inlineStr">
        <is>
          <t>TSLA US 09/18/26 P450</t>
        </is>
      </c>
      <c r="C3679" t="inlineStr">
        <is>
          <t>2026-09-18</t>
        </is>
      </c>
      <c r="D3679" t="n">
        <v>450</v>
      </c>
      <c r="E3679" t="inlineStr">
        <is>
          <t>BBG01S6R8CT5</t>
        </is>
      </c>
    </row>
    <row r="3680">
      <c r="A3680" t="inlineStr">
        <is>
          <t>BBG01ZN2G058 Equity</t>
        </is>
      </c>
      <c r="B3680" t="inlineStr">
        <is>
          <t>TSLA US 09/18/26 P455</t>
        </is>
      </c>
      <c r="C3680" t="inlineStr">
        <is>
          <t>2026-09-18</t>
        </is>
      </c>
      <c r="D3680" t="n">
        <v>455</v>
      </c>
      <c r="E3680" t="inlineStr">
        <is>
          <t>BBG01ZN2G058</t>
        </is>
      </c>
    </row>
    <row r="3681">
      <c r="A3681" t="inlineStr">
        <is>
          <t>BBG01S6R7ZG9 Equity</t>
        </is>
      </c>
      <c r="B3681" t="inlineStr">
        <is>
          <t>TSLA US 09/18/26 P460</t>
        </is>
      </c>
      <c r="C3681" t="inlineStr">
        <is>
          <t>2026-09-18</t>
        </is>
      </c>
      <c r="D3681" t="n">
        <v>460</v>
      </c>
      <c r="E3681" t="inlineStr">
        <is>
          <t>BBG01S6R7ZG9</t>
        </is>
      </c>
    </row>
    <row r="3682">
      <c r="A3682" t="inlineStr">
        <is>
          <t>BBG01ZN2KXZ8 Equity</t>
        </is>
      </c>
      <c r="B3682" t="inlineStr">
        <is>
          <t>TSLA US 09/18/26 P465</t>
        </is>
      </c>
      <c r="C3682" t="inlineStr">
        <is>
          <t>2026-09-18</t>
        </is>
      </c>
      <c r="D3682" t="n">
        <v>465</v>
      </c>
      <c r="E3682" t="inlineStr">
        <is>
          <t>BBG01ZN2KXZ8</t>
        </is>
      </c>
    </row>
    <row r="3683">
      <c r="A3683" t="inlineStr">
        <is>
          <t>BBG01S6R81C7 Equity</t>
        </is>
      </c>
      <c r="B3683" t="inlineStr">
        <is>
          <t>TSLA US 09/18/26 P470</t>
        </is>
      </c>
      <c r="C3683" t="inlineStr">
        <is>
          <t>2026-09-18</t>
        </is>
      </c>
      <c r="D3683" t="n">
        <v>470</v>
      </c>
      <c r="E3683" t="inlineStr">
        <is>
          <t>BBG01S6R81C7</t>
        </is>
      </c>
    </row>
    <row r="3684">
      <c r="A3684" t="inlineStr">
        <is>
          <t>BBG01ZN2G1D7 Equity</t>
        </is>
      </c>
      <c r="B3684" t="inlineStr">
        <is>
          <t>TSLA US 09/18/26 P475</t>
        </is>
      </c>
      <c r="C3684" t="inlineStr">
        <is>
          <t>2026-09-18</t>
        </is>
      </c>
      <c r="D3684" t="n">
        <v>475</v>
      </c>
      <c r="E3684" t="inlineStr">
        <is>
          <t>BBG01ZN2G1D7</t>
        </is>
      </c>
    </row>
    <row r="3685">
      <c r="A3685" t="inlineStr">
        <is>
          <t>BBG01S6R74J5 Equity</t>
        </is>
      </c>
      <c r="B3685" t="inlineStr">
        <is>
          <t>TSLA US 09/18/26 P480</t>
        </is>
      </c>
      <c r="C3685" t="inlineStr">
        <is>
          <t>2026-09-18</t>
        </is>
      </c>
      <c r="D3685" t="n">
        <v>480</v>
      </c>
      <c r="E3685" t="inlineStr">
        <is>
          <t>BBG01S6R74J5</t>
        </is>
      </c>
    </row>
    <row r="3686">
      <c r="A3686" t="inlineStr">
        <is>
          <t>BBG01ZN2G762 Equity</t>
        </is>
      </c>
      <c r="B3686" t="inlineStr">
        <is>
          <t>TSLA US 09/18/26 P485</t>
        </is>
      </c>
      <c r="C3686" t="inlineStr">
        <is>
          <t>2026-09-18</t>
        </is>
      </c>
      <c r="D3686" t="n">
        <v>485</v>
      </c>
      <c r="E3686" t="inlineStr">
        <is>
          <t>BBG01ZN2G762</t>
        </is>
      </c>
    </row>
    <row r="3687">
      <c r="A3687" t="inlineStr">
        <is>
          <t>BBG01S6R80R3 Equity</t>
        </is>
      </c>
      <c r="B3687" t="inlineStr">
        <is>
          <t>TSLA US 09/18/26 P490</t>
        </is>
      </c>
      <c r="C3687" t="inlineStr">
        <is>
          <t>2026-09-18</t>
        </is>
      </c>
      <c r="D3687" t="n">
        <v>490</v>
      </c>
      <c r="E3687" t="inlineStr">
        <is>
          <t>BBG01S6R80R3</t>
        </is>
      </c>
    </row>
    <row r="3688">
      <c r="A3688" t="inlineStr">
        <is>
          <t>BBG01ZN2G6L7 Equity</t>
        </is>
      </c>
      <c r="B3688" t="inlineStr">
        <is>
          <t>TSLA US 09/18/26 P495</t>
        </is>
      </c>
      <c r="C3688" t="inlineStr">
        <is>
          <t>2026-09-18</t>
        </is>
      </c>
      <c r="D3688" t="n">
        <v>495</v>
      </c>
      <c r="E3688" t="inlineStr">
        <is>
          <t>BBG01ZN2G6L7</t>
        </is>
      </c>
    </row>
    <row r="3689">
      <c r="A3689" t="inlineStr">
        <is>
          <t>BBG01S6R8YY1 Equity</t>
        </is>
      </c>
      <c r="B3689" t="inlineStr">
        <is>
          <t>TSLA US 09/18/26 P500</t>
        </is>
      </c>
      <c r="C3689" t="inlineStr">
        <is>
          <t>2026-09-18</t>
        </is>
      </c>
      <c r="D3689" t="n">
        <v>500</v>
      </c>
      <c r="E3689" t="inlineStr">
        <is>
          <t>BBG01S6R8YY1</t>
        </is>
      </c>
    </row>
    <row r="3690">
      <c r="A3690" t="inlineStr">
        <is>
          <t>BBG01ZN2G209 Equity</t>
        </is>
      </c>
      <c r="B3690" t="inlineStr">
        <is>
          <t>TSLA US 09/18/26 P505</t>
        </is>
      </c>
      <c r="C3690" t="inlineStr">
        <is>
          <t>2026-09-18</t>
        </is>
      </c>
      <c r="D3690" t="n">
        <v>505</v>
      </c>
      <c r="E3690" t="inlineStr">
        <is>
          <t>BBG01ZN2G209</t>
        </is>
      </c>
    </row>
    <row r="3691">
      <c r="A3691" t="inlineStr">
        <is>
          <t>BBG01S6R9671 Equity</t>
        </is>
      </c>
      <c r="B3691" t="inlineStr">
        <is>
          <t>TSLA US 09/18/26 P510</t>
        </is>
      </c>
      <c r="C3691" t="inlineStr">
        <is>
          <t>2026-09-18</t>
        </is>
      </c>
      <c r="D3691" t="n">
        <v>510</v>
      </c>
      <c r="E3691" t="inlineStr">
        <is>
          <t>BBG01S6R9671</t>
        </is>
      </c>
    </row>
    <row r="3692">
      <c r="A3692" t="inlineStr">
        <is>
          <t>BBG01ZN27D14 Equity</t>
        </is>
      </c>
      <c r="B3692" t="inlineStr">
        <is>
          <t>TSLA US 09/18/26 P515</t>
        </is>
      </c>
      <c r="C3692" t="inlineStr">
        <is>
          <t>2026-09-18</t>
        </is>
      </c>
      <c r="D3692" t="n">
        <v>515</v>
      </c>
      <c r="E3692" t="inlineStr">
        <is>
          <t>BBG01ZN27D14</t>
        </is>
      </c>
    </row>
    <row r="3693">
      <c r="A3693" t="inlineStr">
        <is>
          <t>BBG01S6R8YB6 Equity</t>
        </is>
      </c>
      <c r="B3693" t="inlineStr">
        <is>
          <t>TSLA US 09/18/26 P520</t>
        </is>
      </c>
      <c r="C3693" t="inlineStr">
        <is>
          <t>2026-09-18</t>
        </is>
      </c>
      <c r="D3693" t="n">
        <v>520</v>
      </c>
      <c r="E3693" t="inlineStr">
        <is>
          <t>BBG01S6R8YB6</t>
        </is>
      </c>
    </row>
    <row r="3694">
      <c r="A3694" t="inlineStr">
        <is>
          <t>BBG01ZN2KM46 Equity</t>
        </is>
      </c>
      <c r="B3694" t="inlineStr">
        <is>
          <t>TSLA US 09/18/26 P525</t>
        </is>
      </c>
      <c r="C3694" t="inlineStr">
        <is>
          <t>2026-09-18</t>
        </is>
      </c>
      <c r="D3694" t="n">
        <v>525</v>
      </c>
      <c r="E3694" t="inlineStr">
        <is>
          <t>BBG01ZN2KM46</t>
        </is>
      </c>
    </row>
    <row r="3695">
      <c r="A3695" t="inlineStr">
        <is>
          <t>BBG01S6R96V4 Equity</t>
        </is>
      </c>
      <c r="B3695" t="inlineStr">
        <is>
          <t>TSLA US 09/18/26 P530</t>
        </is>
      </c>
      <c r="C3695" t="inlineStr">
        <is>
          <t>2026-09-18</t>
        </is>
      </c>
      <c r="D3695" t="n">
        <v>530</v>
      </c>
      <c r="E3695" t="inlineStr">
        <is>
          <t>BBG01S6R96V4</t>
        </is>
      </c>
    </row>
    <row r="3696">
      <c r="A3696" t="inlineStr">
        <is>
          <t>BBG0214ZXYQ4 Equity</t>
        </is>
      </c>
      <c r="B3696" t="inlineStr">
        <is>
          <t>TSLA US 10/16/26 P330</t>
        </is>
      </c>
      <c r="C3696" t="inlineStr">
        <is>
          <t>2026-10-16</t>
        </is>
      </c>
      <c r="D3696" t="n">
        <v>330</v>
      </c>
      <c r="E3696" t="inlineStr">
        <is>
          <t>BBG0214ZXYQ4</t>
        </is>
      </c>
    </row>
    <row r="3697">
      <c r="A3697" t="inlineStr">
        <is>
          <t>BBG0214ZXJN0 Equity</t>
        </is>
      </c>
      <c r="B3697" t="inlineStr">
        <is>
          <t>TSLA US 10/16/26 P335</t>
        </is>
      </c>
      <c r="C3697" t="inlineStr">
        <is>
          <t>2026-10-16</t>
        </is>
      </c>
      <c r="D3697" t="n">
        <v>335</v>
      </c>
      <c r="E3697" t="inlineStr">
        <is>
          <t>BBG0214ZXJN0</t>
        </is>
      </c>
    </row>
    <row r="3698">
      <c r="A3698" t="inlineStr">
        <is>
          <t>BBG0214ZRWT2 Equity</t>
        </is>
      </c>
      <c r="B3698" t="inlineStr">
        <is>
          <t>TSLA US 10/16/26 P340</t>
        </is>
      </c>
      <c r="C3698" t="inlineStr">
        <is>
          <t>2026-10-16</t>
        </is>
      </c>
      <c r="D3698" t="n">
        <v>340</v>
      </c>
      <c r="E3698" t="inlineStr">
        <is>
          <t>BBG0214ZRWT2</t>
        </is>
      </c>
    </row>
    <row r="3699">
      <c r="A3699" t="inlineStr">
        <is>
          <t>BBG0214ZXGT0 Equity</t>
        </is>
      </c>
      <c r="B3699" t="inlineStr">
        <is>
          <t>TSLA US 10/16/26 P345</t>
        </is>
      </c>
      <c r="C3699" t="inlineStr">
        <is>
          <t>2026-10-16</t>
        </is>
      </c>
      <c r="D3699" t="n">
        <v>345</v>
      </c>
      <c r="E3699" t="inlineStr">
        <is>
          <t>BBG0214ZXGT0</t>
        </is>
      </c>
    </row>
    <row r="3700">
      <c r="A3700" t="inlineStr">
        <is>
          <t>BBG0214ZTRB0 Equity</t>
        </is>
      </c>
      <c r="B3700" t="inlineStr">
        <is>
          <t>TSLA US 10/16/26 P350</t>
        </is>
      </c>
      <c r="C3700" t="inlineStr">
        <is>
          <t>2026-10-16</t>
        </is>
      </c>
      <c r="D3700" t="n">
        <v>350</v>
      </c>
      <c r="E3700" t="inlineStr">
        <is>
          <t>BBG0214ZTRB0</t>
        </is>
      </c>
    </row>
    <row r="3701">
      <c r="A3701" t="inlineStr">
        <is>
          <t>BBG0214ZX809 Equity</t>
        </is>
      </c>
      <c r="B3701" t="inlineStr">
        <is>
          <t>TSLA US 10/16/26 P355</t>
        </is>
      </c>
      <c r="C3701" t="inlineStr">
        <is>
          <t>2026-10-16</t>
        </is>
      </c>
      <c r="D3701" t="n">
        <v>355</v>
      </c>
      <c r="E3701" t="inlineStr">
        <is>
          <t>BBG0214ZX809</t>
        </is>
      </c>
    </row>
    <row r="3702">
      <c r="A3702" t="inlineStr">
        <is>
          <t>BBG0214ZXZB7 Equity</t>
        </is>
      </c>
      <c r="B3702" t="inlineStr">
        <is>
          <t>TSLA US 10/16/26 P360</t>
        </is>
      </c>
      <c r="C3702" t="inlineStr">
        <is>
          <t>2026-10-16</t>
        </is>
      </c>
      <c r="D3702" t="n">
        <v>360</v>
      </c>
      <c r="E3702" t="inlineStr">
        <is>
          <t>BBG0214ZXZB7</t>
        </is>
      </c>
    </row>
    <row r="3703">
      <c r="A3703" t="inlineStr">
        <is>
          <t>BBG0214ZX8M5 Equity</t>
        </is>
      </c>
      <c r="B3703" t="inlineStr">
        <is>
          <t>TSLA US 10/16/26 P365</t>
        </is>
      </c>
      <c r="C3703" t="inlineStr">
        <is>
          <t>2026-10-16</t>
        </is>
      </c>
      <c r="D3703" t="n">
        <v>365</v>
      </c>
      <c r="E3703" t="inlineStr">
        <is>
          <t>BBG0214ZX8M5</t>
        </is>
      </c>
    </row>
    <row r="3704">
      <c r="A3704" t="inlineStr">
        <is>
          <t>BBG0214ZXY39 Equity</t>
        </is>
      </c>
      <c r="B3704" t="inlineStr">
        <is>
          <t>TSLA US 10/16/26 P370</t>
        </is>
      </c>
      <c r="C3704" t="inlineStr">
        <is>
          <t>2026-10-16</t>
        </is>
      </c>
      <c r="D3704" t="n">
        <v>370</v>
      </c>
      <c r="E3704" t="inlineStr">
        <is>
          <t>BBG0214ZXY39</t>
        </is>
      </c>
    </row>
    <row r="3705">
      <c r="A3705" t="inlineStr">
        <is>
          <t>BBG0214ZX970 Equity</t>
        </is>
      </c>
      <c r="B3705" t="inlineStr">
        <is>
          <t>TSLA US 10/16/26 P375</t>
        </is>
      </c>
      <c r="C3705" t="inlineStr">
        <is>
          <t>2026-10-16</t>
        </is>
      </c>
      <c r="D3705" t="n">
        <v>375</v>
      </c>
      <c r="E3705" t="inlineStr">
        <is>
          <t>BBG0214ZX970</t>
        </is>
      </c>
    </row>
    <row r="3706">
      <c r="A3706" t="inlineStr">
        <is>
          <t>BBG0214ZS2M4 Equity</t>
        </is>
      </c>
      <c r="B3706" t="inlineStr">
        <is>
          <t>TSLA US 10/16/26 P380</t>
        </is>
      </c>
      <c r="C3706" t="inlineStr">
        <is>
          <t>2026-10-16</t>
        </is>
      </c>
      <c r="D3706" t="n">
        <v>380</v>
      </c>
      <c r="E3706" t="inlineStr">
        <is>
          <t>BBG0214ZS2M4</t>
        </is>
      </c>
    </row>
    <row r="3707">
      <c r="A3707" t="inlineStr">
        <is>
          <t>BBG0214ZSQC2 Equity</t>
        </is>
      </c>
      <c r="B3707" t="inlineStr">
        <is>
          <t>TSLA US 10/16/26 P385</t>
        </is>
      </c>
      <c r="C3707" t="inlineStr">
        <is>
          <t>2026-10-16</t>
        </is>
      </c>
      <c r="D3707" t="n">
        <v>385</v>
      </c>
      <c r="E3707" t="inlineStr">
        <is>
          <t>BBG0214ZSQC2</t>
        </is>
      </c>
    </row>
    <row r="3708">
      <c r="A3708" t="inlineStr">
        <is>
          <t>BBG0214ZXNX0 Equity</t>
        </is>
      </c>
      <c r="B3708" t="inlineStr">
        <is>
          <t>TSLA US 10/16/26 P390</t>
        </is>
      </c>
      <c r="C3708" t="inlineStr">
        <is>
          <t>2026-10-16</t>
        </is>
      </c>
      <c r="D3708" t="n">
        <v>390</v>
      </c>
      <c r="E3708" t="inlineStr">
        <is>
          <t>BBG0214ZXNX0</t>
        </is>
      </c>
    </row>
    <row r="3709">
      <c r="A3709" t="inlineStr">
        <is>
          <t>BBG0214ZXC55 Equity</t>
        </is>
      </c>
      <c r="B3709" t="inlineStr">
        <is>
          <t>TSLA US 10/16/26 P395</t>
        </is>
      </c>
      <c r="C3709" t="inlineStr">
        <is>
          <t>2026-10-16</t>
        </is>
      </c>
      <c r="D3709" t="n">
        <v>395</v>
      </c>
      <c r="E3709" t="inlineStr">
        <is>
          <t>BBG0214ZXC55</t>
        </is>
      </c>
    </row>
    <row r="3710">
      <c r="A3710" t="inlineStr">
        <is>
          <t>BBG0214ZXHF3 Equity</t>
        </is>
      </c>
      <c r="B3710" t="inlineStr">
        <is>
          <t>TSLA US 10/16/26 P400</t>
        </is>
      </c>
      <c r="C3710" t="inlineStr">
        <is>
          <t>2026-10-16</t>
        </is>
      </c>
      <c r="D3710" t="n">
        <v>400</v>
      </c>
      <c r="E3710" t="inlineStr">
        <is>
          <t>BBG0214ZXHF3</t>
        </is>
      </c>
    </row>
    <row r="3711">
      <c r="A3711" t="inlineStr">
        <is>
          <t>BBG0214ZWV18 Equity</t>
        </is>
      </c>
      <c r="B3711" t="inlineStr">
        <is>
          <t>TSLA US 10/16/26 P405</t>
        </is>
      </c>
      <c r="C3711" t="inlineStr">
        <is>
          <t>2026-10-16</t>
        </is>
      </c>
      <c r="D3711" t="n">
        <v>405</v>
      </c>
      <c r="E3711" t="inlineStr">
        <is>
          <t>BBG0214ZWV18</t>
        </is>
      </c>
    </row>
    <row r="3712">
      <c r="A3712" t="inlineStr">
        <is>
          <t>BBG0214ZX7J1 Equity</t>
        </is>
      </c>
      <c r="B3712" t="inlineStr">
        <is>
          <t>TSLA US 10/16/26 P410</t>
        </is>
      </c>
      <c r="C3712" t="inlineStr">
        <is>
          <t>2026-10-16</t>
        </is>
      </c>
      <c r="D3712" t="n">
        <v>410</v>
      </c>
      <c r="E3712" t="inlineStr">
        <is>
          <t>BBG0214ZX7J1</t>
        </is>
      </c>
    </row>
    <row r="3713">
      <c r="A3713" t="inlineStr">
        <is>
          <t>BBG0214ZRXF5 Equity</t>
        </is>
      </c>
      <c r="B3713" t="inlineStr">
        <is>
          <t>TSLA US 10/16/26 P415</t>
        </is>
      </c>
      <c r="C3713" t="inlineStr">
        <is>
          <t>2026-10-16</t>
        </is>
      </c>
      <c r="D3713" t="n">
        <v>415</v>
      </c>
      <c r="E3713" t="inlineStr">
        <is>
          <t>BBG0214ZRXF5</t>
        </is>
      </c>
    </row>
    <row r="3714">
      <c r="A3714" t="inlineStr">
        <is>
          <t>BBG0214ZX694 Equity</t>
        </is>
      </c>
      <c r="B3714" t="inlineStr">
        <is>
          <t>TSLA US 10/16/26 P420</t>
        </is>
      </c>
      <c r="C3714" t="inlineStr">
        <is>
          <t>2026-10-16</t>
        </is>
      </c>
      <c r="D3714" t="n">
        <v>420</v>
      </c>
      <c r="E3714" t="inlineStr">
        <is>
          <t>BBG0214ZX694</t>
        </is>
      </c>
    </row>
    <row r="3715">
      <c r="A3715" t="inlineStr">
        <is>
          <t>BBG0214ZT9B0 Equity</t>
        </is>
      </c>
      <c r="B3715" t="inlineStr">
        <is>
          <t>TSLA US 10/16/26 P425</t>
        </is>
      </c>
      <c r="C3715" t="inlineStr">
        <is>
          <t>2026-10-16</t>
        </is>
      </c>
      <c r="D3715" t="n">
        <v>425</v>
      </c>
      <c r="E3715" t="inlineStr">
        <is>
          <t>BBG0214ZT9B0</t>
        </is>
      </c>
    </row>
    <row r="3716">
      <c r="A3716" t="inlineStr">
        <is>
          <t>BBG0214ZX6X7 Equity</t>
        </is>
      </c>
      <c r="B3716" t="inlineStr">
        <is>
          <t>TSLA US 10/16/26 P430</t>
        </is>
      </c>
      <c r="C3716" t="inlineStr">
        <is>
          <t>2026-10-16</t>
        </is>
      </c>
      <c r="D3716" t="n">
        <v>430</v>
      </c>
      <c r="E3716" t="inlineStr">
        <is>
          <t>BBG0214ZX6X7</t>
        </is>
      </c>
    </row>
    <row r="3717">
      <c r="A3717" t="inlineStr">
        <is>
          <t>BBG0214ZY167 Equity</t>
        </is>
      </c>
      <c r="B3717" t="inlineStr">
        <is>
          <t>TSLA US 10/16/26 P435</t>
        </is>
      </c>
      <c r="C3717" t="inlineStr">
        <is>
          <t>2026-10-16</t>
        </is>
      </c>
      <c r="D3717" t="n">
        <v>435</v>
      </c>
      <c r="E3717" t="inlineStr">
        <is>
          <t>BBG0214ZY167</t>
        </is>
      </c>
    </row>
    <row r="3718">
      <c r="A3718" t="inlineStr">
        <is>
          <t>BBG0214ZSQZ7 Equity</t>
        </is>
      </c>
      <c r="B3718" t="inlineStr">
        <is>
          <t>TSLA US 10/16/26 P440</t>
        </is>
      </c>
      <c r="C3718" t="inlineStr">
        <is>
          <t>2026-10-16</t>
        </is>
      </c>
      <c r="D3718" t="n">
        <v>440</v>
      </c>
      <c r="E3718" t="inlineStr">
        <is>
          <t>BBG0214ZSQZ7</t>
        </is>
      </c>
    </row>
    <row r="3719">
      <c r="A3719" t="inlineStr">
        <is>
          <t>BBG0214ZWVN4 Equity</t>
        </is>
      </c>
      <c r="B3719" t="inlineStr">
        <is>
          <t>TSLA US 10/16/26 P445</t>
        </is>
      </c>
      <c r="C3719" t="inlineStr">
        <is>
          <t>2026-10-16</t>
        </is>
      </c>
      <c r="D3719" t="n">
        <v>445</v>
      </c>
      <c r="E3719" t="inlineStr">
        <is>
          <t>BBG0214ZWVN4</t>
        </is>
      </c>
    </row>
    <row r="3720">
      <c r="A3720" t="inlineStr">
        <is>
          <t>BBG0214ZSPZ9 Equity</t>
        </is>
      </c>
      <c r="B3720" t="inlineStr">
        <is>
          <t>TSLA US 10/16/26 P450</t>
        </is>
      </c>
      <c r="C3720" t="inlineStr">
        <is>
          <t>2026-10-16</t>
        </is>
      </c>
      <c r="D3720" t="n">
        <v>450</v>
      </c>
      <c r="E3720" t="inlineStr">
        <is>
          <t>BBG0214ZSPZ9</t>
        </is>
      </c>
    </row>
    <row r="3721">
      <c r="A3721" t="inlineStr">
        <is>
          <t>BBG0214ZWM09 Equity</t>
        </is>
      </c>
      <c r="B3721" t="inlineStr">
        <is>
          <t>TSLA US 10/16/26 P455</t>
        </is>
      </c>
      <c r="C3721" t="inlineStr">
        <is>
          <t>2026-10-16</t>
        </is>
      </c>
      <c r="D3721" t="n">
        <v>455</v>
      </c>
      <c r="E3721" t="inlineStr">
        <is>
          <t>BBG0214ZWM09</t>
        </is>
      </c>
    </row>
    <row r="3722">
      <c r="A3722" t="inlineStr">
        <is>
          <t>BBG0214ZSLB4 Equity</t>
        </is>
      </c>
      <c r="B3722" t="inlineStr">
        <is>
          <t>TSLA US 10/16/26 P460</t>
        </is>
      </c>
      <c r="C3722" t="inlineStr">
        <is>
          <t>2026-10-16</t>
        </is>
      </c>
      <c r="D3722" t="n">
        <v>460</v>
      </c>
      <c r="E3722" t="inlineStr">
        <is>
          <t>BBG0214ZSLB4</t>
        </is>
      </c>
    </row>
    <row r="3723">
      <c r="A3723" t="inlineStr">
        <is>
          <t>BBG0214ZY1T2 Equity</t>
        </is>
      </c>
      <c r="B3723" t="inlineStr">
        <is>
          <t>TSLA US 10/16/26 P465</t>
        </is>
      </c>
      <c r="C3723" t="inlineStr">
        <is>
          <t>2026-10-16</t>
        </is>
      </c>
      <c r="D3723" t="n">
        <v>465</v>
      </c>
      <c r="E3723" t="inlineStr">
        <is>
          <t>BBG0214ZY1T2</t>
        </is>
      </c>
    </row>
    <row r="3724">
      <c r="A3724" t="inlineStr">
        <is>
          <t>BBG0214ZSRL0 Equity</t>
        </is>
      </c>
      <c r="B3724" t="inlineStr">
        <is>
          <t>TSLA US 10/16/26 P470</t>
        </is>
      </c>
      <c r="C3724" t="inlineStr">
        <is>
          <t>2026-10-16</t>
        </is>
      </c>
      <c r="D3724" t="n">
        <v>470</v>
      </c>
      <c r="E3724" t="inlineStr">
        <is>
          <t>BBG0214ZSRL0</t>
        </is>
      </c>
    </row>
    <row r="3725">
      <c r="A3725" t="inlineStr">
        <is>
          <t>BBG0214ZY2F5 Equity</t>
        </is>
      </c>
      <c r="B3725" t="inlineStr">
        <is>
          <t>TSLA US 10/16/26 P475</t>
        </is>
      </c>
      <c r="C3725" t="inlineStr">
        <is>
          <t>2026-10-16</t>
        </is>
      </c>
      <c r="D3725" t="n">
        <v>475</v>
      </c>
      <c r="E3725" t="inlineStr">
        <is>
          <t>BBG0214ZY2F5</t>
        </is>
      </c>
    </row>
    <row r="3726">
      <c r="A3726" t="inlineStr">
        <is>
          <t>BBG0214ZSS65 Equity</t>
        </is>
      </c>
      <c r="B3726" t="inlineStr">
        <is>
          <t>TSLA US 10/16/26 P480</t>
        </is>
      </c>
      <c r="C3726" t="inlineStr">
        <is>
          <t>2026-10-16</t>
        </is>
      </c>
      <c r="D3726" t="n">
        <v>480</v>
      </c>
      <c r="E3726" t="inlineStr">
        <is>
          <t>BBG0214ZSS65</t>
        </is>
      </c>
    </row>
    <row r="3727">
      <c r="A3727" t="inlineStr">
        <is>
          <t>BBG0214ZRYN4 Equity</t>
        </is>
      </c>
      <c r="B3727" t="inlineStr">
        <is>
          <t>TSLA US 10/16/26 P485</t>
        </is>
      </c>
      <c r="C3727" t="inlineStr">
        <is>
          <t>2026-10-16</t>
        </is>
      </c>
      <c r="D3727" t="n">
        <v>485</v>
      </c>
      <c r="E3727" t="inlineStr">
        <is>
          <t>BBG0214ZRYN4</t>
        </is>
      </c>
    </row>
    <row r="3728">
      <c r="A3728" t="inlineStr">
        <is>
          <t>BBG0214ZWYD9 Equity</t>
        </is>
      </c>
      <c r="B3728" t="inlineStr">
        <is>
          <t>TSLA US 10/16/26 P490</t>
        </is>
      </c>
      <c r="C3728" t="inlineStr">
        <is>
          <t>2026-10-16</t>
        </is>
      </c>
      <c r="D3728" t="n">
        <v>490</v>
      </c>
      <c r="E3728" t="inlineStr">
        <is>
          <t>BBG0214ZWYD9</t>
        </is>
      </c>
    </row>
    <row r="3729">
      <c r="A3729" t="inlineStr">
        <is>
          <t>BBG0214ZRY18 Equity</t>
        </is>
      </c>
      <c r="B3729" t="inlineStr">
        <is>
          <t>TSLA US 10/16/26 P495</t>
        </is>
      </c>
      <c r="C3729" t="inlineStr">
        <is>
          <t>2026-10-16</t>
        </is>
      </c>
      <c r="D3729" t="n">
        <v>495</v>
      </c>
      <c r="E3729" t="inlineStr">
        <is>
          <t>BBG0214ZRY18</t>
        </is>
      </c>
    </row>
    <row r="3730">
      <c r="A3730" t="inlineStr">
        <is>
          <t>BBG0214ZT0C8 Equity</t>
        </is>
      </c>
      <c r="B3730" t="inlineStr">
        <is>
          <t>TSLA US 10/16/26 P500</t>
        </is>
      </c>
      <c r="C3730" t="inlineStr">
        <is>
          <t>2026-10-16</t>
        </is>
      </c>
      <c r="D3730" t="n">
        <v>500</v>
      </c>
      <c r="E3730" t="inlineStr">
        <is>
          <t>BBG0214ZT0C8</t>
        </is>
      </c>
    </row>
    <row r="3731">
      <c r="A3731" t="inlineStr">
        <is>
          <t>BBG0214ZRLX1 Equity</t>
        </is>
      </c>
      <c r="B3731" t="inlineStr">
        <is>
          <t>TSLA US 10/16/26 P505</t>
        </is>
      </c>
      <c r="C3731" t="inlineStr">
        <is>
          <t>2026-10-16</t>
        </is>
      </c>
      <c r="D3731" t="n">
        <v>505</v>
      </c>
      <c r="E3731" t="inlineStr">
        <is>
          <t>BBG0214ZRLX1</t>
        </is>
      </c>
    </row>
    <row r="3732">
      <c r="A3732" t="inlineStr">
        <is>
          <t>BBG0214ZXS69 Equity</t>
        </is>
      </c>
      <c r="B3732" t="inlineStr">
        <is>
          <t>TSLA US 10/16/26 P510</t>
        </is>
      </c>
      <c r="C3732" t="inlineStr">
        <is>
          <t>2026-10-16</t>
        </is>
      </c>
      <c r="D3732" t="n">
        <v>510</v>
      </c>
      <c r="E3732" t="inlineStr">
        <is>
          <t>BBG0214ZXS69</t>
        </is>
      </c>
    </row>
    <row r="3733">
      <c r="A3733" t="inlineStr">
        <is>
          <t>BBG0214ZW3K9 Equity</t>
        </is>
      </c>
      <c r="B3733" t="inlineStr">
        <is>
          <t>TSLA US 10/16/26 P515</t>
        </is>
      </c>
      <c r="C3733" t="inlineStr">
        <is>
          <t>2026-10-16</t>
        </is>
      </c>
      <c r="D3733" t="n">
        <v>515</v>
      </c>
      <c r="E3733" t="inlineStr">
        <is>
          <t>BBG0214ZW3K9</t>
        </is>
      </c>
    </row>
    <row r="3734">
      <c r="A3734" t="inlineStr">
        <is>
          <t>BBG0214ZQXM8 Equity</t>
        </is>
      </c>
      <c r="B3734" t="inlineStr">
        <is>
          <t>TSLA US 10/16/26 P520</t>
        </is>
      </c>
      <c r="C3734" t="inlineStr">
        <is>
          <t>2026-10-16</t>
        </is>
      </c>
      <c r="D3734" t="n">
        <v>520</v>
      </c>
      <c r="E3734" t="inlineStr">
        <is>
          <t>BBG0214ZQXM8</t>
        </is>
      </c>
    </row>
    <row r="3735">
      <c r="A3735" t="inlineStr">
        <is>
          <t>BBG0214ZSCZ8 Equity</t>
        </is>
      </c>
      <c r="B3735" t="inlineStr">
        <is>
          <t>TSLA US 10/16/26 P525</t>
        </is>
      </c>
      <c r="C3735" t="inlineStr">
        <is>
          <t>2026-10-16</t>
        </is>
      </c>
      <c r="D3735" t="n">
        <v>525</v>
      </c>
      <c r="E3735" t="inlineStr">
        <is>
          <t>BBG0214ZSCZ8</t>
        </is>
      </c>
    </row>
    <row r="3736">
      <c r="A3736" t="inlineStr">
        <is>
          <t>BBG0214ZWR53 Equity</t>
        </is>
      </c>
      <c r="B3736" t="inlineStr">
        <is>
          <t>TSLA US 10/16/26 P530</t>
        </is>
      </c>
      <c r="C3736" t="inlineStr">
        <is>
          <t>2026-10-16</t>
        </is>
      </c>
      <c r="D3736" t="n">
        <v>530</v>
      </c>
      <c r="E3736" t="inlineStr">
        <is>
          <t>BBG0214ZWR53</t>
        </is>
      </c>
    </row>
    <row r="3737">
      <c r="A3737" t="inlineStr">
        <is>
          <t>BBG01ZJR4KY5 Equity</t>
        </is>
      </c>
      <c r="B3737" t="inlineStr">
        <is>
          <t>TSLA US 11/20/26 P330</t>
        </is>
      </c>
      <c r="C3737" t="inlineStr">
        <is>
          <t>2026-11-20</t>
        </is>
      </c>
      <c r="D3737" t="n">
        <v>330</v>
      </c>
      <c r="E3737" t="inlineStr">
        <is>
          <t>BBG01ZJR4KY5</t>
        </is>
      </c>
    </row>
    <row r="3738">
      <c r="A3738" t="inlineStr">
        <is>
          <t>BBG01ZJR7QW1 Equity</t>
        </is>
      </c>
      <c r="B3738" t="inlineStr">
        <is>
          <t>TSLA US 11/20/26 P335</t>
        </is>
      </c>
      <c r="C3738" t="inlineStr">
        <is>
          <t>2026-11-20</t>
        </is>
      </c>
      <c r="D3738" t="n">
        <v>335</v>
      </c>
      <c r="E3738" t="inlineStr">
        <is>
          <t>BBG01ZJR7QW1</t>
        </is>
      </c>
    </row>
    <row r="3739">
      <c r="A3739" t="inlineStr">
        <is>
          <t>BBG01ZJR5522 Equity</t>
        </is>
      </c>
      <c r="B3739" t="inlineStr">
        <is>
          <t>TSLA US 11/20/26 P340</t>
        </is>
      </c>
      <c r="C3739" t="inlineStr">
        <is>
          <t>2026-11-20</t>
        </is>
      </c>
      <c r="D3739" t="n">
        <v>340</v>
      </c>
      <c r="E3739" t="inlineStr">
        <is>
          <t>BBG01ZJR5522</t>
        </is>
      </c>
    </row>
    <row r="3740">
      <c r="A3740" t="inlineStr">
        <is>
          <t>BBG01ZJR44Y1 Equity</t>
        </is>
      </c>
      <c r="B3740" t="inlineStr">
        <is>
          <t>TSLA US 11/20/26 P345</t>
        </is>
      </c>
      <c r="C3740" t="inlineStr">
        <is>
          <t>2026-11-20</t>
        </is>
      </c>
      <c r="D3740" t="n">
        <v>345</v>
      </c>
      <c r="E3740" t="inlineStr">
        <is>
          <t>BBG01ZJR44Y1</t>
        </is>
      </c>
    </row>
    <row r="3741">
      <c r="A3741" t="inlineStr">
        <is>
          <t>BBG01ZJR4GG4 Equity</t>
        </is>
      </c>
      <c r="B3741" t="inlineStr">
        <is>
          <t>TSLA US 11/20/26 P350</t>
        </is>
      </c>
      <c r="C3741" t="inlineStr">
        <is>
          <t>2026-11-20</t>
        </is>
      </c>
      <c r="D3741" t="n">
        <v>350</v>
      </c>
      <c r="E3741" t="inlineStr">
        <is>
          <t>BBG01ZJR4GG4</t>
        </is>
      </c>
    </row>
    <row r="3742">
      <c r="A3742" t="inlineStr">
        <is>
          <t>BBG01ZJR7JR3 Equity</t>
        </is>
      </c>
      <c r="B3742" t="inlineStr">
        <is>
          <t>TSLA US 11/20/26 P355</t>
        </is>
      </c>
      <c r="C3742" t="inlineStr">
        <is>
          <t>2026-11-20</t>
        </is>
      </c>
      <c r="D3742" t="n">
        <v>355</v>
      </c>
      <c r="E3742" t="inlineStr">
        <is>
          <t>BBG01ZJR7JR3</t>
        </is>
      </c>
    </row>
    <row r="3743">
      <c r="A3743" t="inlineStr">
        <is>
          <t>BBG01ZJR3ZF4 Equity</t>
        </is>
      </c>
      <c r="B3743" t="inlineStr">
        <is>
          <t>TSLA US 11/20/26 P360</t>
        </is>
      </c>
      <c r="C3743" t="inlineStr">
        <is>
          <t>2026-11-20</t>
        </is>
      </c>
      <c r="D3743" t="n">
        <v>360</v>
      </c>
      <c r="E3743" t="inlineStr">
        <is>
          <t>BBG01ZJR3ZF4</t>
        </is>
      </c>
    </row>
    <row r="3744">
      <c r="A3744" t="inlineStr">
        <is>
          <t>BBG01ZJR84W9 Equity</t>
        </is>
      </c>
      <c r="B3744" t="inlineStr">
        <is>
          <t>TSLA US 11/20/26 P365</t>
        </is>
      </c>
      <c r="C3744" t="inlineStr">
        <is>
          <t>2026-11-20</t>
        </is>
      </c>
      <c r="D3744" t="n">
        <v>365</v>
      </c>
      <c r="E3744" t="inlineStr">
        <is>
          <t>BBG01ZJR84W9</t>
        </is>
      </c>
    </row>
    <row r="3745">
      <c r="A3745" t="inlineStr">
        <is>
          <t>BBG01ZJR4LK8 Equity</t>
        </is>
      </c>
      <c r="B3745" t="inlineStr">
        <is>
          <t>TSLA US 11/20/26 P370</t>
        </is>
      </c>
      <c r="C3745" t="inlineStr">
        <is>
          <t>2026-11-20</t>
        </is>
      </c>
      <c r="D3745" t="n">
        <v>370</v>
      </c>
      <c r="E3745" t="inlineStr">
        <is>
          <t>BBG01ZJR4LK8</t>
        </is>
      </c>
    </row>
    <row r="3746">
      <c r="A3746" t="inlineStr">
        <is>
          <t>BBG01ZJR8P52 Equity</t>
        </is>
      </c>
      <c r="B3746" t="inlineStr">
        <is>
          <t>TSLA US 11/20/26 P375</t>
        </is>
      </c>
      <c r="C3746" t="inlineStr">
        <is>
          <t>2026-11-20</t>
        </is>
      </c>
      <c r="D3746" t="n">
        <v>375</v>
      </c>
      <c r="E3746" t="inlineStr">
        <is>
          <t>BBG01ZJR8P52</t>
        </is>
      </c>
    </row>
    <row r="3747">
      <c r="A3747" t="inlineStr">
        <is>
          <t>BBG01ZJR8S74 Equity</t>
        </is>
      </c>
      <c r="B3747" t="inlineStr">
        <is>
          <t>TSLA US 11/20/26 P380</t>
        </is>
      </c>
      <c r="C3747" t="inlineStr">
        <is>
          <t>2026-11-20</t>
        </is>
      </c>
      <c r="D3747" t="n">
        <v>380</v>
      </c>
      <c r="E3747" t="inlineStr">
        <is>
          <t>BBG01ZJR8S74</t>
        </is>
      </c>
    </row>
    <row r="3748">
      <c r="A3748" t="inlineStr">
        <is>
          <t>BBG01ZJR4H27 Equity</t>
        </is>
      </c>
      <c r="B3748" t="inlineStr">
        <is>
          <t>TSLA US 11/20/26 P385</t>
        </is>
      </c>
      <c r="C3748" t="inlineStr">
        <is>
          <t>2026-11-20</t>
        </is>
      </c>
      <c r="D3748" t="n">
        <v>385</v>
      </c>
      <c r="E3748" t="inlineStr">
        <is>
          <t>BBG01ZJR4H27</t>
        </is>
      </c>
    </row>
    <row r="3749">
      <c r="A3749" t="inlineStr">
        <is>
          <t>BBG01ZJR80B0 Equity</t>
        </is>
      </c>
      <c r="B3749" t="inlineStr">
        <is>
          <t>TSLA US 11/20/26 P390</t>
        </is>
      </c>
      <c r="C3749" t="inlineStr">
        <is>
          <t>2026-11-20</t>
        </is>
      </c>
      <c r="D3749" t="n">
        <v>390</v>
      </c>
      <c r="E3749" t="inlineStr">
        <is>
          <t>BBG01ZJR80B0</t>
        </is>
      </c>
    </row>
    <row r="3750">
      <c r="A3750" t="inlineStr">
        <is>
          <t>BBG01ZJR7H88 Equity</t>
        </is>
      </c>
      <c r="B3750" t="inlineStr">
        <is>
          <t>TSLA US 11/20/26 P395</t>
        </is>
      </c>
      <c r="C3750" t="inlineStr">
        <is>
          <t>2026-11-20</t>
        </is>
      </c>
      <c r="D3750" t="n">
        <v>395</v>
      </c>
      <c r="E3750" t="inlineStr">
        <is>
          <t>BBG01ZJR7H88</t>
        </is>
      </c>
    </row>
    <row r="3751">
      <c r="A3751" t="inlineStr">
        <is>
          <t>BBG01ZJR45K3 Equity</t>
        </is>
      </c>
      <c r="B3751" t="inlineStr">
        <is>
          <t>TSLA US 11/20/26 P400</t>
        </is>
      </c>
      <c r="C3751" t="inlineStr">
        <is>
          <t>2026-11-20</t>
        </is>
      </c>
      <c r="D3751" t="n">
        <v>400</v>
      </c>
      <c r="E3751" t="inlineStr">
        <is>
          <t>BBG01ZJR45K3</t>
        </is>
      </c>
    </row>
    <row r="3752">
      <c r="A3752" t="inlineStr">
        <is>
          <t>BBG01ZJR8CP9 Equity</t>
        </is>
      </c>
      <c r="B3752" t="inlineStr">
        <is>
          <t>TSLA US 11/20/26 P405</t>
        </is>
      </c>
      <c r="C3752" t="inlineStr">
        <is>
          <t>2026-11-20</t>
        </is>
      </c>
      <c r="D3752" t="n">
        <v>405</v>
      </c>
      <c r="E3752" t="inlineStr">
        <is>
          <t>BBG01ZJR8CP9</t>
        </is>
      </c>
    </row>
    <row r="3753">
      <c r="A3753" t="inlineStr">
        <is>
          <t>BBG01ZJR5693 Equity</t>
        </is>
      </c>
      <c r="B3753" t="inlineStr">
        <is>
          <t>TSLA US 11/20/26 P410</t>
        </is>
      </c>
      <c r="C3753" t="inlineStr">
        <is>
          <t>2026-11-20</t>
        </is>
      </c>
      <c r="D3753" t="n">
        <v>410</v>
      </c>
      <c r="E3753" t="inlineStr">
        <is>
          <t>BBG01ZJR5693</t>
        </is>
      </c>
    </row>
    <row r="3754">
      <c r="A3754" t="inlineStr">
        <is>
          <t>BBG01ZJR8DX8 Equity</t>
        </is>
      </c>
      <c r="B3754" t="inlineStr">
        <is>
          <t>TSLA US 11/20/26 P415</t>
        </is>
      </c>
      <c r="C3754" t="inlineStr">
        <is>
          <t>2026-11-20</t>
        </is>
      </c>
      <c r="D3754" t="n">
        <v>415</v>
      </c>
      <c r="E3754" t="inlineStr">
        <is>
          <t>BBG01ZJR8DX8</t>
        </is>
      </c>
    </row>
    <row r="3755">
      <c r="A3755" t="inlineStr">
        <is>
          <t>BBG01ZJR4HP2 Equity</t>
        </is>
      </c>
      <c r="B3755" t="inlineStr">
        <is>
          <t>TSLA US 11/20/26 P420</t>
        </is>
      </c>
      <c r="C3755" t="inlineStr">
        <is>
          <t>2026-11-20</t>
        </is>
      </c>
      <c r="D3755" t="n">
        <v>420</v>
      </c>
      <c r="E3755" t="inlineStr">
        <is>
          <t>BBG01ZJR4HP2</t>
        </is>
      </c>
    </row>
    <row r="3756">
      <c r="A3756" t="inlineStr">
        <is>
          <t>BBG01ZJR3HQ2 Equity</t>
        </is>
      </c>
      <c r="B3756" t="inlineStr">
        <is>
          <t>TSLA US 11/20/26 P425</t>
        </is>
      </c>
      <c r="C3756" t="inlineStr">
        <is>
          <t>2026-11-20</t>
        </is>
      </c>
      <c r="D3756" t="n">
        <v>425</v>
      </c>
      <c r="E3756" t="inlineStr">
        <is>
          <t>BBG01ZJR3HQ2</t>
        </is>
      </c>
    </row>
    <row r="3757">
      <c r="A3757" t="inlineStr">
        <is>
          <t>BBG01ZJR7G17 Equity</t>
        </is>
      </c>
      <c r="B3757" t="inlineStr">
        <is>
          <t>TSLA US 11/20/26 P430</t>
        </is>
      </c>
      <c r="C3757" t="inlineStr">
        <is>
          <t>2026-11-20</t>
        </is>
      </c>
      <c r="D3757" t="n">
        <v>430</v>
      </c>
      <c r="E3757" t="inlineStr">
        <is>
          <t>BBG01ZJR7G17</t>
        </is>
      </c>
    </row>
    <row r="3758">
      <c r="A3758" t="inlineStr">
        <is>
          <t>BBG01ZJR3JB4 Equity</t>
        </is>
      </c>
      <c r="B3758" t="inlineStr">
        <is>
          <t>TSLA US 11/20/26 P435</t>
        </is>
      </c>
      <c r="C3758" t="inlineStr">
        <is>
          <t>2026-11-20</t>
        </is>
      </c>
      <c r="D3758" t="n">
        <v>435</v>
      </c>
      <c r="E3758" t="inlineStr">
        <is>
          <t>BBG01ZJR3JB4</t>
        </is>
      </c>
    </row>
    <row r="3759">
      <c r="A3759" t="inlineStr">
        <is>
          <t>BBG01ZJR4JQ7 Equity</t>
        </is>
      </c>
      <c r="B3759" t="inlineStr">
        <is>
          <t>TSLA US 11/20/26 P440</t>
        </is>
      </c>
      <c r="C3759" t="inlineStr">
        <is>
          <t>2026-11-20</t>
        </is>
      </c>
      <c r="D3759" t="n">
        <v>440</v>
      </c>
      <c r="E3759" t="inlineStr">
        <is>
          <t>BBG01ZJR4JQ7</t>
        </is>
      </c>
    </row>
    <row r="3760">
      <c r="A3760" t="inlineStr">
        <is>
          <t>BBG01ZJR8D95 Equity</t>
        </is>
      </c>
      <c r="B3760" t="inlineStr">
        <is>
          <t>TSLA US 11/20/26 P445</t>
        </is>
      </c>
      <c r="C3760" t="inlineStr">
        <is>
          <t>2026-11-20</t>
        </is>
      </c>
      <c r="D3760" t="n">
        <v>445</v>
      </c>
      <c r="E3760" t="inlineStr">
        <is>
          <t>BBG01ZJR8D95</t>
        </is>
      </c>
    </row>
    <row r="3761">
      <c r="A3761" t="inlineStr">
        <is>
          <t>BBG01ZJR56X6 Equity</t>
        </is>
      </c>
      <c r="B3761" t="inlineStr">
        <is>
          <t>TSLA US 11/20/26 P450</t>
        </is>
      </c>
      <c r="C3761" t="inlineStr">
        <is>
          <t>2026-11-20</t>
        </is>
      </c>
      <c r="D3761" t="n">
        <v>450</v>
      </c>
      <c r="E3761" t="inlineStr">
        <is>
          <t>BBG01ZJR56X6</t>
        </is>
      </c>
    </row>
    <row r="3762">
      <c r="A3762" t="inlineStr">
        <is>
          <t>BBG01ZJR8FJ9 Equity</t>
        </is>
      </c>
      <c r="B3762" t="inlineStr">
        <is>
          <t>TSLA US 11/20/26 P455</t>
        </is>
      </c>
      <c r="C3762" t="inlineStr">
        <is>
          <t>2026-11-20</t>
        </is>
      </c>
      <c r="D3762" t="n">
        <v>455</v>
      </c>
      <c r="E3762" t="inlineStr">
        <is>
          <t>BBG01ZJR8FJ9</t>
        </is>
      </c>
    </row>
    <row r="3763">
      <c r="A3763" t="inlineStr">
        <is>
          <t>BBG01ZJR80Y5 Equity</t>
        </is>
      </c>
      <c r="B3763" t="inlineStr">
        <is>
          <t>TSLA US 11/20/26 P460</t>
        </is>
      </c>
      <c r="C3763" t="inlineStr">
        <is>
          <t>2026-11-20</t>
        </is>
      </c>
      <c r="D3763" t="n">
        <v>460</v>
      </c>
      <c r="E3763" t="inlineStr">
        <is>
          <t>BBG01ZJR80Y5</t>
        </is>
      </c>
    </row>
    <row r="3764">
      <c r="A3764" t="inlineStr">
        <is>
          <t>BBG01ZJR3W34 Equity</t>
        </is>
      </c>
      <c r="B3764" t="inlineStr">
        <is>
          <t>TSLA US 11/20/26 P465</t>
        </is>
      </c>
      <c r="C3764" t="inlineStr">
        <is>
          <t>2026-11-20</t>
        </is>
      </c>
      <c r="D3764" t="n">
        <v>465</v>
      </c>
      <c r="E3764" t="inlineStr">
        <is>
          <t>BBG01ZJR3W34</t>
        </is>
      </c>
    </row>
    <row r="3765">
      <c r="A3765" t="inlineStr">
        <is>
          <t>BBG01ZJR7CG0 Equity</t>
        </is>
      </c>
      <c r="B3765" t="inlineStr">
        <is>
          <t>TSLA US 11/20/26 P470</t>
        </is>
      </c>
      <c r="C3765" t="inlineStr">
        <is>
          <t>2026-11-20</t>
        </is>
      </c>
      <c r="D3765" t="n">
        <v>470</v>
      </c>
      <c r="E3765" t="inlineStr">
        <is>
          <t>BBG01ZJR7CG0</t>
        </is>
      </c>
    </row>
    <row r="3766">
      <c r="A3766" t="inlineStr">
        <is>
          <t>BBG01ZJR6Q34 Equity</t>
        </is>
      </c>
      <c r="B3766" t="inlineStr">
        <is>
          <t>TSLA US 11/20/26 P475</t>
        </is>
      </c>
      <c r="C3766" t="inlineStr">
        <is>
          <t>2026-11-20</t>
        </is>
      </c>
      <c r="D3766" t="n">
        <v>475</v>
      </c>
      <c r="E3766" t="inlineStr">
        <is>
          <t>BBG01ZJR6Q34</t>
        </is>
      </c>
    </row>
    <row r="3767">
      <c r="A3767" t="inlineStr">
        <is>
          <t>BBG01ZJR4F76 Equity</t>
        </is>
      </c>
      <c r="B3767" t="inlineStr">
        <is>
          <t>TSLA US 11/20/26 P480</t>
        </is>
      </c>
      <c r="C3767" t="inlineStr">
        <is>
          <t>2026-11-20</t>
        </is>
      </c>
      <c r="D3767" t="n">
        <v>480</v>
      </c>
      <c r="E3767" t="inlineStr">
        <is>
          <t>BBG01ZJR4F76</t>
        </is>
      </c>
    </row>
    <row r="3768">
      <c r="A3768" t="inlineStr">
        <is>
          <t>BBG01ZJR5372 Equity</t>
        </is>
      </c>
      <c r="B3768" t="inlineStr">
        <is>
          <t>TSLA US 11/20/26 P485</t>
        </is>
      </c>
      <c r="C3768" t="inlineStr">
        <is>
          <t>2026-11-20</t>
        </is>
      </c>
      <c r="D3768" t="n">
        <v>485</v>
      </c>
      <c r="E3768" t="inlineStr">
        <is>
          <t>BBG01ZJR5372</t>
        </is>
      </c>
    </row>
    <row r="3769">
      <c r="A3769" t="inlineStr">
        <is>
          <t>BBG01ZJR8LP9 Equity</t>
        </is>
      </c>
      <c r="B3769" t="inlineStr">
        <is>
          <t>TSLA US 11/20/26 P490</t>
        </is>
      </c>
      <c r="C3769" t="inlineStr">
        <is>
          <t>2026-11-20</t>
        </is>
      </c>
      <c r="D3769" t="n">
        <v>490</v>
      </c>
      <c r="E3769" t="inlineStr">
        <is>
          <t>BBG01ZJR8LP9</t>
        </is>
      </c>
    </row>
    <row r="3770">
      <c r="A3770" t="inlineStr">
        <is>
          <t>BBG01ZJR29Z1 Equity</t>
        </is>
      </c>
      <c r="B3770" t="inlineStr">
        <is>
          <t>TSLA US 11/20/26 P495</t>
        </is>
      </c>
      <c r="C3770" t="inlineStr">
        <is>
          <t>2026-11-20</t>
        </is>
      </c>
      <c r="D3770" t="n">
        <v>495</v>
      </c>
      <c r="E3770" t="inlineStr">
        <is>
          <t>BBG01ZJR29Z1</t>
        </is>
      </c>
    </row>
    <row r="3771">
      <c r="A3771" t="inlineStr">
        <is>
          <t>BBG01ZJR3JY9 Equity</t>
        </is>
      </c>
      <c r="B3771" t="inlineStr">
        <is>
          <t>TSLA US 11/20/26 P500</t>
        </is>
      </c>
      <c r="C3771" t="inlineStr">
        <is>
          <t>2026-11-20</t>
        </is>
      </c>
      <c r="D3771" t="n">
        <v>500</v>
      </c>
      <c r="E3771" t="inlineStr">
        <is>
          <t>BBG01ZJR3JY9</t>
        </is>
      </c>
    </row>
    <row r="3772">
      <c r="A3772" t="inlineStr">
        <is>
          <t>BBG01ZJR2669 Equity</t>
        </is>
      </c>
      <c r="B3772" t="inlineStr">
        <is>
          <t>TSLA US 11/20/26 P505</t>
        </is>
      </c>
      <c r="C3772" t="inlineStr">
        <is>
          <t>2026-11-20</t>
        </is>
      </c>
      <c r="D3772" t="n">
        <v>505</v>
      </c>
      <c r="E3772" t="inlineStr">
        <is>
          <t>BBG01ZJR2669</t>
        </is>
      </c>
    </row>
    <row r="3773">
      <c r="A3773" t="inlineStr">
        <is>
          <t>BBG01ZJR3KK1 Equity</t>
        </is>
      </c>
      <c r="B3773" t="inlineStr">
        <is>
          <t>TSLA US 11/20/26 P510</t>
        </is>
      </c>
      <c r="C3773" t="inlineStr">
        <is>
          <t>2026-11-20</t>
        </is>
      </c>
      <c r="D3773" t="n">
        <v>510</v>
      </c>
      <c r="E3773" t="inlineStr">
        <is>
          <t>BBG01ZJR3KK1</t>
        </is>
      </c>
    </row>
    <row r="3774">
      <c r="A3774" t="inlineStr">
        <is>
          <t>BBG01ZJR26T4 Equity</t>
        </is>
      </c>
      <c r="B3774" t="inlineStr">
        <is>
          <t>TSLA US 11/20/26 P515</t>
        </is>
      </c>
      <c r="C3774" t="inlineStr">
        <is>
          <t>2026-11-20</t>
        </is>
      </c>
      <c r="D3774" t="n">
        <v>515</v>
      </c>
      <c r="E3774" t="inlineStr">
        <is>
          <t>BBG01ZJR26T4</t>
        </is>
      </c>
    </row>
    <row r="3775">
      <c r="A3775" t="inlineStr">
        <is>
          <t>BBG01ZJR53V5 Equity</t>
        </is>
      </c>
      <c r="B3775" t="inlineStr">
        <is>
          <t>TSLA US 11/20/26 P520</t>
        </is>
      </c>
      <c r="C3775" t="inlineStr">
        <is>
          <t>2026-11-20</t>
        </is>
      </c>
      <c r="D3775" t="n">
        <v>520</v>
      </c>
      <c r="E3775" t="inlineStr">
        <is>
          <t>BBG01ZJR53V5</t>
        </is>
      </c>
    </row>
    <row r="3776">
      <c r="A3776" t="inlineStr">
        <is>
          <t>BBG01ZJR25L4 Equity</t>
        </is>
      </c>
      <c r="B3776" t="inlineStr">
        <is>
          <t>TSLA US 11/20/26 P525</t>
        </is>
      </c>
      <c r="C3776" t="inlineStr">
        <is>
          <t>2026-11-20</t>
        </is>
      </c>
      <c r="D3776" t="n">
        <v>525</v>
      </c>
      <c r="E3776" t="inlineStr">
        <is>
          <t>BBG01ZJR25L4</t>
        </is>
      </c>
    </row>
    <row r="3777">
      <c r="A3777" t="inlineStr">
        <is>
          <t>BBG01ZJR29C6 Equity</t>
        </is>
      </c>
      <c r="B3777" t="inlineStr">
        <is>
          <t>TSLA US 11/20/26 P530</t>
        </is>
      </c>
      <c r="C3777" t="inlineStr">
        <is>
          <t>2026-11-20</t>
        </is>
      </c>
      <c r="D3777" t="n">
        <v>530</v>
      </c>
      <c r="E3777" t="inlineStr">
        <is>
          <t>BBG01ZJR29C6</t>
        </is>
      </c>
    </row>
    <row r="3778">
      <c r="A3778" t="inlineStr">
        <is>
          <t>BBG01M58NSP3 Equity</t>
        </is>
      </c>
      <c r="B3778" t="inlineStr">
        <is>
          <t>TSLA US 12/18/26 P330</t>
        </is>
      </c>
      <c r="C3778" t="inlineStr">
        <is>
          <t>2026-12-18</t>
        </is>
      </c>
      <c r="D3778" t="n">
        <v>330</v>
      </c>
      <c r="E3778" t="inlineStr">
        <is>
          <t>BBG01M58NSP3</t>
        </is>
      </c>
    </row>
    <row r="3779">
      <c r="A3779" t="inlineStr">
        <is>
          <t>BBG01MN5K1J8 Equity</t>
        </is>
      </c>
      <c r="B3779" t="inlineStr">
        <is>
          <t>TSLA US 12/18/26 P340</t>
        </is>
      </c>
      <c r="C3779" t="inlineStr">
        <is>
          <t>2026-12-18</t>
        </is>
      </c>
      <c r="D3779" t="n">
        <v>340</v>
      </c>
      <c r="E3779" t="inlineStr">
        <is>
          <t>BBG01MN5K1J8</t>
        </is>
      </c>
    </row>
    <row r="3780">
      <c r="A3780" t="inlineStr">
        <is>
          <t>BBG01MNSTQX8 Equity</t>
        </is>
      </c>
      <c r="B3780" t="inlineStr">
        <is>
          <t>TSLA US 12/18/26 P350</t>
        </is>
      </c>
      <c r="C3780" t="inlineStr">
        <is>
          <t>2026-12-18</t>
        </is>
      </c>
      <c r="D3780" t="n">
        <v>350</v>
      </c>
      <c r="E3780" t="inlineStr">
        <is>
          <t>BBG01MNSTQX8</t>
        </is>
      </c>
    </row>
    <row r="3781">
      <c r="A3781" t="inlineStr">
        <is>
          <t>BBG01MNSTSJ0 Equity</t>
        </is>
      </c>
      <c r="B3781" t="inlineStr">
        <is>
          <t>TSLA US 12/18/26 P360</t>
        </is>
      </c>
      <c r="C3781" t="inlineStr">
        <is>
          <t>2026-12-18</t>
        </is>
      </c>
      <c r="D3781" t="n">
        <v>360</v>
      </c>
      <c r="E3781" t="inlineStr">
        <is>
          <t>BBG01MNSTSJ0</t>
        </is>
      </c>
    </row>
    <row r="3782">
      <c r="A3782" t="inlineStr">
        <is>
          <t>BBG01MNSTTP1 Equity</t>
        </is>
      </c>
      <c r="B3782" t="inlineStr">
        <is>
          <t>TSLA US 12/18/26 P370</t>
        </is>
      </c>
      <c r="C3782" t="inlineStr">
        <is>
          <t>2026-12-18</t>
        </is>
      </c>
      <c r="D3782" t="n">
        <v>370</v>
      </c>
      <c r="E3782" t="inlineStr">
        <is>
          <t>BBG01MNSTTP1</t>
        </is>
      </c>
    </row>
    <row r="3783">
      <c r="A3783" t="inlineStr">
        <is>
          <t>BBG01MNSTVV9 Equity</t>
        </is>
      </c>
      <c r="B3783" t="inlineStr">
        <is>
          <t>TSLA US 12/18/26 P380</t>
        </is>
      </c>
      <c r="C3783" t="inlineStr">
        <is>
          <t>2026-12-18</t>
        </is>
      </c>
      <c r="D3783" t="n">
        <v>380</v>
      </c>
      <c r="E3783" t="inlineStr">
        <is>
          <t>BBG01MNSTVV9</t>
        </is>
      </c>
    </row>
    <row r="3784">
      <c r="A3784" t="inlineStr">
        <is>
          <t>BBG01NMLC6H2 Equity</t>
        </is>
      </c>
      <c r="B3784" t="inlineStr">
        <is>
          <t>TSLA US 12/18/26 P390</t>
        </is>
      </c>
      <c r="C3784" t="inlineStr">
        <is>
          <t>2026-12-18</t>
        </is>
      </c>
      <c r="D3784" t="n">
        <v>390</v>
      </c>
      <c r="E3784" t="inlineStr">
        <is>
          <t>BBG01NMLC6H2</t>
        </is>
      </c>
    </row>
    <row r="3785">
      <c r="A3785" t="inlineStr">
        <is>
          <t>BBG01NMLBWR5 Equity</t>
        </is>
      </c>
      <c r="B3785" t="inlineStr">
        <is>
          <t>TSLA US 12/18/26 P400</t>
        </is>
      </c>
      <c r="C3785" t="inlineStr">
        <is>
          <t>2026-12-18</t>
        </is>
      </c>
      <c r="D3785" t="n">
        <v>400</v>
      </c>
      <c r="E3785" t="inlineStr">
        <is>
          <t>BBG01NMLBWR5</t>
        </is>
      </c>
    </row>
    <row r="3786">
      <c r="A3786" t="inlineStr">
        <is>
          <t>BBG01NMLC5X6 Equity</t>
        </is>
      </c>
      <c r="B3786" t="inlineStr">
        <is>
          <t>TSLA US 12/18/26 P410</t>
        </is>
      </c>
      <c r="C3786" t="inlineStr">
        <is>
          <t>2026-12-18</t>
        </is>
      </c>
      <c r="D3786" t="n">
        <v>410</v>
      </c>
      <c r="E3786" t="inlineStr">
        <is>
          <t>BBG01NMLC5X6</t>
        </is>
      </c>
    </row>
    <row r="3787">
      <c r="A3787" t="inlineStr">
        <is>
          <t>BBG01NMLB6Q3 Equity</t>
        </is>
      </c>
      <c r="B3787" t="inlineStr">
        <is>
          <t>TSLA US 12/18/26 P420</t>
        </is>
      </c>
      <c r="C3787" t="inlineStr">
        <is>
          <t>2026-12-18</t>
        </is>
      </c>
      <c r="D3787" t="n">
        <v>420</v>
      </c>
      <c r="E3787" t="inlineStr">
        <is>
          <t>BBG01NMLB6Q3</t>
        </is>
      </c>
    </row>
    <row r="3788">
      <c r="A3788" t="inlineStr">
        <is>
          <t>BBG01NML91R6 Equity</t>
        </is>
      </c>
      <c r="B3788" t="inlineStr">
        <is>
          <t>TSLA US 12/18/26 P430</t>
        </is>
      </c>
      <c r="C3788" t="inlineStr">
        <is>
          <t>2026-12-18</t>
        </is>
      </c>
      <c r="D3788" t="n">
        <v>430</v>
      </c>
      <c r="E3788" t="inlineStr">
        <is>
          <t>BBG01NML91R6</t>
        </is>
      </c>
    </row>
    <row r="3789">
      <c r="A3789" t="inlineStr">
        <is>
          <t>BBG01NML9150 Equity</t>
        </is>
      </c>
      <c r="B3789" t="inlineStr">
        <is>
          <t>TSLA US 12/18/26 P440</t>
        </is>
      </c>
      <c r="C3789" t="inlineStr">
        <is>
          <t>2026-12-18</t>
        </is>
      </c>
      <c r="D3789" t="n">
        <v>440</v>
      </c>
      <c r="E3789" t="inlineStr">
        <is>
          <t>BBG01NML9150</t>
        </is>
      </c>
    </row>
    <row r="3790">
      <c r="A3790" t="inlineStr">
        <is>
          <t>BBG01NML92B1 Equity</t>
        </is>
      </c>
      <c r="B3790" t="inlineStr">
        <is>
          <t>TSLA US 12/18/26 P450</t>
        </is>
      </c>
      <c r="C3790" t="inlineStr">
        <is>
          <t>2026-12-18</t>
        </is>
      </c>
      <c r="D3790" t="n">
        <v>450</v>
      </c>
      <c r="E3790" t="inlineStr">
        <is>
          <t>BBG01NML92B1</t>
        </is>
      </c>
    </row>
    <row r="3791">
      <c r="A3791" t="inlineStr">
        <is>
          <t>BBG01NMLBW59 Equity</t>
        </is>
      </c>
      <c r="B3791" t="inlineStr">
        <is>
          <t>TSLA US 12/18/26 P460</t>
        </is>
      </c>
      <c r="C3791" t="inlineStr">
        <is>
          <t>2026-12-18</t>
        </is>
      </c>
      <c r="D3791" t="n">
        <v>460</v>
      </c>
      <c r="E3791" t="inlineStr">
        <is>
          <t>BBG01NMLBW59</t>
        </is>
      </c>
    </row>
    <row r="3792">
      <c r="A3792" t="inlineStr">
        <is>
          <t>BBG01NP3B9G5 Equity</t>
        </is>
      </c>
      <c r="B3792" t="inlineStr">
        <is>
          <t>TSLA US 12/18/26 P470</t>
        </is>
      </c>
      <c r="C3792" t="inlineStr">
        <is>
          <t>2026-12-18</t>
        </is>
      </c>
      <c r="D3792" t="n">
        <v>470</v>
      </c>
      <c r="E3792" t="inlineStr">
        <is>
          <t>BBG01NP3B9G5</t>
        </is>
      </c>
    </row>
    <row r="3793">
      <c r="A3793" t="inlineStr">
        <is>
          <t>BBG01NP39VC3 Equity</t>
        </is>
      </c>
      <c r="B3793" t="inlineStr">
        <is>
          <t>TSLA US 12/18/26 P480</t>
        </is>
      </c>
      <c r="C3793" t="inlineStr">
        <is>
          <t>2026-12-18</t>
        </is>
      </c>
      <c r="D3793" t="n">
        <v>480</v>
      </c>
      <c r="E3793" t="inlineStr">
        <is>
          <t>BBG01NP39VC3</t>
        </is>
      </c>
    </row>
    <row r="3794">
      <c r="A3794" t="inlineStr">
        <is>
          <t>BBG01NP39VY9 Equity</t>
        </is>
      </c>
      <c r="B3794" t="inlineStr">
        <is>
          <t>TSLA US 12/18/26 P490</t>
        </is>
      </c>
      <c r="C3794" t="inlineStr">
        <is>
          <t>2026-12-18</t>
        </is>
      </c>
      <c r="D3794" t="n">
        <v>490</v>
      </c>
      <c r="E3794" t="inlineStr">
        <is>
          <t>BBG01NP39VY9</t>
        </is>
      </c>
    </row>
    <row r="3795">
      <c r="A3795" t="inlineStr">
        <is>
          <t>BBG01NP39TS1 Equity</t>
        </is>
      </c>
      <c r="B3795" t="inlineStr">
        <is>
          <t>TSLA US 12/18/26 P500</t>
        </is>
      </c>
      <c r="C3795" t="inlineStr">
        <is>
          <t>2026-12-18</t>
        </is>
      </c>
      <c r="D3795" t="n">
        <v>500</v>
      </c>
      <c r="E3795" t="inlineStr">
        <is>
          <t>BBG01NP39TS1</t>
        </is>
      </c>
    </row>
    <row r="3796">
      <c r="A3796" t="inlineStr">
        <is>
          <t>BBG01NQ1JKL9 Equity</t>
        </is>
      </c>
      <c r="B3796" t="inlineStr">
        <is>
          <t>TSLA US 12/18/26 P510</t>
        </is>
      </c>
      <c r="C3796" t="inlineStr">
        <is>
          <t>2026-12-18</t>
        </is>
      </c>
      <c r="D3796" t="n">
        <v>510</v>
      </c>
      <c r="E3796" t="inlineStr">
        <is>
          <t>BBG01NQ1JKL9</t>
        </is>
      </c>
    </row>
    <row r="3797">
      <c r="A3797" t="inlineStr">
        <is>
          <t>BBG01NQ1JL55 Equity</t>
        </is>
      </c>
      <c r="B3797" t="inlineStr">
        <is>
          <t>TSLA US 12/18/26 P520</t>
        </is>
      </c>
      <c r="C3797" t="inlineStr">
        <is>
          <t>2026-12-18</t>
        </is>
      </c>
      <c r="D3797" t="n">
        <v>520</v>
      </c>
      <c r="E3797" t="inlineStr">
        <is>
          <t>BBG01NQ1JL55</t>
        </is>
      </c>
    </row>
    <row r="3798">
      <c r="A3798" t="inlineStr">
        <is>
          <t>BBG01NQ1JK02 Equity</t>
        </is>
      </c>
      <c r="B3798" t="inlineStr">
        <is>
          <t>TSLA US 12/18/26 P530</t>
        </is>
      </c>
      <c r="C3798" t="inlineStr">
        <is>
          <t>2026-12-18</t>
        </is>
      </c>
      <c r="D3798" t="n">
        <v>530</v>
      </c>
      <c r="E3798" t="inlineStr">
        <is>
          <t>BBG01NQ1JK02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TSLA puts closing prices -- FULL Bloomberg BDH workbook</t>
        </is>
      </c>
    </row>
    <row r="2"/>
    <row r="3">
      <c r="A3" t="inlineStr">
        <is>
          <t>Batched into sheets of 200 securities (800 columns each).</t>
        </is>
      </c>
    </row>
    <row r="4">
      <c r="A4" t="inlineStr">
        <is>
          <t>Each security gets a [Date | PX_LAST | PX_VOLUME | blank] block with one</t>
        </is>
      </c>
    </row>
    <row r="5">
      <c r="A5">
        <f>BDH() formula in row 3 that spills downward.</f>
        <v/>
      </c>
    </row>
    <row r="6"/>
    <row r="7">
      <c r="A7" t="inlineStr">
        <is>
          <t>Per-batch workflow (do ONE sheet at a time):</t>
        </is>
      </c>
    </row>
    <row r="8">
      <c r="A8" t="inlineStr">
        <is>
          <t xml:space="preserve">  1. Open the 'Batch_NN' sheet. Formulas evaluate automatically if</t>
        </is>
      </c>
    </row>
    <row r="9">
      <c r="A9" t="inlineStr">
        <is>
          <t xml:space="preserve">     connected to a live Bloomberg Terminal (replace #NAME? with data).</t>
        </is>
      </c>
    </row>
    <row r="10">
      <c r="A10" t="inlineStr">
        <is>
          <t xml:space="preserve">  2. Wait for all blocks to finish spilling (no more #N/A Requesting...).</t>
        </is>
      </c>
    </row>
    <row r="11">
      <c r="A11" t="inlineStr">
        <is>
          <t xml:space="preserve">  3. Select the whole sheet -&gt; Copy -&gt; Paste Special -&gt; Values, to</t>
        </is>
      </c>
    </row>
    <row r="12">
      <c r="A12" t="inlineStr">
        <is>
          <t xml:space="preserve">     freeze the results (so they don't re-query / break on next open).</t>
        </is>
      </c>
    </row>
    <row r="13">
      <c r="A13" t="inlineStr">
        <is>
          <t xml:space="preserve">  4. Save. Move to the next Batch_NN sheet.</t>
        </is>
      </c>
    </row>
    <row r="14"/>
    <row r="15">
      <c r="A15" t="inlineStr">
        <is>
          <t>If a batch is slow/unreliable, reduce BATCH_SIZE in</t>
        </is>
      </c>
    </row>
    <row r="16">
      <c r="A16" t="inlineStr">
        <is>
          <t>excel_formula/scripts/05_prep_ticker_bdh_full.py and regenerate -- this is</t>
        </is>
      </c>
    </row>
    <row r="17">
      <c r="A17" t="inlineStr">
        <is>
          <t>free and instant (no API cost, pure local formula generation).</t>
        </is>
      </c>
    </row>
    <row r="18"/>
    <row r="19">
      <c r="A19" t="inlineStr">
        <is>
          <t>The 'Securities' sheet lists every (RAW_ID, expiry, strike) in the same</t>
        </is>
      </c>
    </row>
    <row r="20">
      <c r="A20" t="inlineStr">
        <is>
          <t>order the batches were built, for reference when merging results back</t>
        </is>
      </c>
    </row>
    <row r="21">
      <c r="A21" t="inlineStr">
        <is>
          <t>with the Databento-resolved contract mapping (kept outside this repo).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BBG00J7GWR91 Equity (TSLA US 01/17/20 P50)</t>
        </is>
      </c>
      <c r="E1" t="inlineStr">
        <is>
          <t>BBG00J7GWSB6 Equity (TSLA US 01/17/20 P55)</t>
        </is>
      </c>
      <c r="I1" t="inlineStr">
        <is>
          <t>BBG00J7GWTC3 Equity (TSLA US 01/17/20 P60)</t>
        </is>
      </c>
      <c r="M1" t="inlineStr">
        <is>
          <t>BBG00J7GWVF5 Equity (TSLA US 01/17/20 P65)</t>
        </is>
      </c>
      <c r="Q1" t="inlineStr">
        <is>
          <t>BBG00J7GWWG2 Equity (TSLA US 01/17/20 P70)</t>
        </is>
      </c>
      <c r="U1" t="inlineStr">
        <is>
          <t>BBG00J7GWXH9 Equity (TSLA US 01/17/20 P75)</t>
        </is>
      </c>
      <c r="Y1" t="inlineStr">
        <is>
          <t>BBG00R26NL20 Equity (TSLA US 02/21/20 P50)</t>
        </is>
      </c>
      <c r="AC1" t="inlineStr">
        <is>
          <t>BBG00R26NM64 Equity (TSLA US 02/21/20 P55)</t>
        </is>
      </c>
      <c r="AG1" t="inlineStr">
        <is>
          <t>BBG00R26NN99 Equity (TSLA US 02/21/20 P60)</t>
        </is>
      </c>
      <c r="AK1" t="inlineStr">
        <is>
          <t>BBG00R26NPD9 Equity (TSLA US 02/21/20 P65)</t>
        </is>
      </c>
      <c r="AO1" t="inlineStr">
        <is>
          <t>BBG00R26NQJ1 Equity (TSLA US 02/21/20 P70)</t>
        </is>
      </c>
      <c r="AS1" t="inlineStr">
        <is>
          <t>BBG00R26NRM5 Equity (TSLA US 02/21/20 P75)</t>
        </is>
      </c>
      <c r="AW1" t="inlineStr">
        <is>
          <t>BBG00P7TNV27 Equity (TSLA US 03/20/20 P50)</t>
        </is>
      </c>
      <c r="BA1" t="inlineStr">
        <is>
          <t>BBG00P7TNW70 Equity (TSLA US 03/20/20 P55)</t>
        </is>
      </c>
      <c r="BE1" t="inlineStr">
        <is>
          <t>BBG00P7TNXB3 Equity (TSLA US 03/20/20 P60)</t>
        </is>
      </c>
      <c r="BI1" t="inlineStr">
        <is>
          <t>BBG00P7TNYF7 Equity (TSLA US 03/20/20 P65)</t>
        </is>
      </c>
      <c r="BM1" t="inlineStr">
        <is>
          <t>BBG00P7TNZK8 Equity (TSLA US 03/20/20 P70)</t>
        </is>
      </c>
      <c r="BQ1" t="inlineStr">
        <is>
          <t>BBG00P7TP0N0 Equity (TSLA US 03/20/20 P75)</t>
        </is>
      </c>
      <c r="BU1" t="inlineStr">
        <is>
          <t>BBG00LY3GP24 Equity (TSLA US 06/19/20 P50)</t>
        </is>
      </c>
      <c r="BY1" t="inlineStr">
        <is>
          <t>BBG00LY3GQ40 Equity (TSLA US 06/19/20 P55)</t>
        </is>
      </c>
      <c r="CC1" t="inlineStr">
        <is>
          <t>BBG00LY3GR57 Equity (TSLA US 06/19/20 P60)</t>
        </is>
      </c>
      <c r="CG1" t="inlineStr">
        <is>
          <t>BBG00LY3GS64 Equity (TSLA US 06/19/20 P65)</t>
        </is>
      </c>
      <c r="CK1" t="inlineStr">
        <is>
          <t>BBG00LY3GT80 Equity (TSLA US 06/19/20 P70)</t>
        </is>
      </c>
      <c r="CO1" t="inlineStr">
        <is>
          <t>BBG00LY3GV94 Equity (TSLA US 06/19/20 P75)</t>
        </is>
      </c>
      <c r="CS1" t="inlineStr">
        <is>
          <t>BBG00R9JRRF4 Equity (TSLA US 07/17/20 P50)</t>
        </is>
      </c>
      <c r="CW1" t="inlineStr">
        <is>
          <t>BBG00R9JRSJ8 Equity (TSLA US 07/17/20 P60)</t>
        </is>
      </c>
      <c r="DA1" t="inlineStr">
        <is>
          <t>BBG00R9JRTN1 Equity (TSLA US 07/17/20 P70)</t>
        </is>
      </c>
      <c r="DE1" t="inlineStr">
        <is>
          <t>BBG00R9JRVR2 Equity (TSLA US 07/17/20 P80)</t>
        </is>
      </c>
      <c r="DI1" t="inlineStr">
        <is>
          <t>BBG00R9JRWV5 Equity (TSLA US 07/17/20 P90)</t>
        </is>
      </c>
      <c r="DM1" t="inlineStr">
        <is>
          <t>BBG00QLBKJ19 Equity (TSLA US 09/18/20 P48)</t>
        </is>
      </c>
      <c r="DQ1" t="inlineStr">
        <is>
          <t>BBG00QLBKK43 Equity (TSLA US 09/18/20 P49)</t>
        </is>
      </c>
      <c r="DU1" t="inlineStr">
        <is>
          <t>BBG00QLBKL87 Equity (TSLA US 09/18/20 P50)</t>
        </is>
      </c>
      <c r="DY1" t="inlineStr">
        <is>
          <t>BBG00QLBKMC0 Equity (TSLA US 09/18/20 P51)</t>
        </is>
      </c>
      <c r="EC1" t="inlineStr">
        <is>
          <t>BBG00QLBKNH3 Equity (TSLA US 09/18/20 P52)</t>
        </is>
      </c>
      <c r="EG1" t="inlineStr">
        <is>
          <t>BBG00QLBKPL3 Equity (TSLA US 09/18/20 P53)</t>
        </is>
      </c>
      <c r="EK1" t="inlineStr">
        <is>
          <t>BBG00QLBKQP7 Equity (TSLA US 09/18/20 P54)</t>
        </is>
      </c>
      <c r="EO1" t="inlineStr">
        <is>
          <t>BBG00QLBKRT1 Equity (TSLA US 09/18/20 P55)</t>
        </is>
      </c>
      <c r="ES1" t="inlineStr">
        <is>
          <t>BBG00QLBKSX4 Equity (TSLA US 09/18/20 P56)</t>
        </is>
      </c>
      <c r="EW1" t="inlineStr">
        <is>
          <t>BBG00QLBKV03 Equity (TSLA US 09/18/20 P57)</t>
        </is>
      </c>
      <c r="FA1" t="inlineStr">
        <is>
          <t>BBG00QLBKW47 Equity (TSLA US 09/18/20 P58)</t>
        </is>
      </c>
      <c r="FE1" t="inlineStr">
        <is>
          <t>BBG00QLBKX72 Equity (TSLA US 09/18/20 P59)</t>
        </is>
      </c>
      <c r="FI1" t="inlineStr">
        <is>
          <t>BBG00QLBKYB5 Equity (TSLA US 09/18/20 P60)</t>
        </is>
      </c>
      <c r="FM1" t="inlineStr">
        <is>
          <t>BBG00QNG54W2 Equity (TSLA US 09/18/20 P62)</t>
        </is>
      </c>
      <c r="FQ1" t="inlineStr">
        <is>
          <t>BBG00QNG55Z6 Equity (TSLA US 09/18/20 P64)</t>
        </is>
      </c>
      <c r="FU1" t="inlineStr">
        <is>
          <t>BBG00QNG5728 Equity (TSLA US 09/18/20 P66)</t>
        </is>
      </c>
      <c r="FY1" t="inlineStr">
        <is>
          <t>BBG00QNG5862 Equity (TSLA US 09/18/20 P68)</t>
        </is>
      </c>
      <c r="GC1" t="inlineStr">
        <is>
          <t>BBG00QNG5997 Equity (TSLA US 09/18/20 P70)</t>
        </is>
      </c>
      <c r="GG1" t="inlineStr">
        <is>
          <t>BBG00QNG5BD7 Equity (TSLA US 09/18/20 P72)</t>
        </is>
      </c>
      <c r="GK1" t="inlineStr">
        <is>
          <t>BBG00QNG5CJ9 Equity (TSLA US 09/18/20 P74)</t>
        </is>
      </c>
      <c r="GO1" t="inlineStr">
        <is>
          <t>BBG00QNG5DM3 Equity (TSLA US 09/18/20 P76)</t>
        </is>
      </c>
      <c r="GS1" t="inlineStr">
        <is>
          <t>BBG00QPQQQX5 Equity (TSLA US 09/18/20 P78)</t>
        </is>
      </c>
      <c r="GW1" t="inlineStr">
        <is>
          <t>BBG00QPQQS07 Equity (TSLA US 09/18/20 P79)</t>
        </is>
      </c>
      <c r="HA1" t="inlineStr">
        <is>
          <t>BBG00QPQQT32 Equity (TSLA US 09/18/20 P80)</t>
        </is>
      </c>
      <c r="HE1" t="inlineStr">
        <is>
          <t>BBG00QPQQV73 Equity (TSLA US 09/18/20 P81)</t>
        </is>
      </c>
      <c r="HI1" t="inlineStr">
        <is>
          <t>BBG00QPQQWB6 Equity (TSLA US 09/18/20 P82)</t>
        </is>
      </c>
      <c r="HM1" t="inlineStr">
        <is>
          <t>BBG00QPQQXF0 Equity (TSLA US 09/18/20 P83)</t>
        </is>
      </c>
      <c r="HQ1" t="inlineStr">
        <is>
          <t>BBG00QPQQYK2 Equity (TSLA US 09/18/20 P84)</t>
        </is>
      </c>
      <c r="HU1" t="inlineStr">
        <is>
          <t>BBG00QPQQZN6 Equity (TSLA US 09/18/20 P85)</t>
        </is>
      </c>
      <c r="HY1" t="inlineStr">
        <is>
          <t>BBG00QPQR0R8 Equity (TSLA US 09/18/20 P86)</t>
        </is>
      </c>
      <c r="IC1" t="inlineStr">
        <is>
          <t>BBG00QPQR1X9 Equity (TSLA US 09/18/20 P87)</t>
        </is>
      </c>
      <c r="IG1" t="inlineStr">
        <is>
          <t>BBG00QPQR301 Equity (TSLA US 09/18/20 P88)</t>
        </is>
      </c>
      <c r="IK1" t="inlineStr">
        <is>
          <t>BBG00QPQR436 Equity (TSLA US 09/18/20 P89)</t>
        </is>
      </c>
      <c r="IO1" t="inlineStr">
        <is>
          <t>BBG00QPQR579 Equity (TSLA US 09/18/20 P90)</t>
        </is>
      </c>
      <c r="IS1" t="inlineStr">
        <is>
          <t>BBG00RGZ5J71 Equity (TSLA US 09/18/20 P91)</t>
        </is>
      </c>
      <c r="IW1" t="inlineStr">
        <is>
          <t>BBG00QQ44705 Equity (TSLA US 09/18/20 P92)</t>
        </is>
      </c>
      <c r="JA1" t="inlineStr">
        <is>
          <t>BBG00RGZ5KC2 Equity (TSLA US 09/18/20 P93)</t>
        </is>
      </c>
      <c r="JE1" t="inlineStr">
        <is>
          <t>BBG00QQ44849 Equity (TSLA US 09/18/20 P94)</t>
        </is>
      </c>
      <c r="JI1" t="inlineStr">
        <is>
          <t>BBG00RGZ5LG6 Equity (TSLA US 09/18/20 P95)</t>
        </is>
      </c>
      <c r="JM1" t="inlineStr">
        <is>
          <t>BBG00QQ44974 Equity (TSLA US 09/18/20 P96)</t>
        </is>
      </c>
      <c r="JQ1" t="inlineStr">
        <is>
          <t>BBG00RGZ5MK9 Equity (TSLA US 09/18/20 P97)</t>
        </is>
      </c>
      <c r="JU1" t="inlineStr">
        <is>
          <t>BBG00RC1W3K0 Equity (TSLA US 10/16/20 P60)</t>
        </is>
      </c>
      <c r="JY1" t="inlineStr">
        <is>
          <t>BBG00RC1W4N5 Equity (TSLA US 10/16/20 P61)</t>
        </is>
      </c>
      <c r="KC1" t="inlineStr">
        <is>
          <t>BBG00RC1W5S7 Equity (TSLA US 10/16/20 P62)</t>
        </is>
      </c>
      <c r="KG1" t="inlineStr">
        <is>
          <t>BBG00RC1W6W0 Equity (TSLA US 10/16/20 P63)</t>
        </is>
      </c>
      <c r="KK1" t="inlineStr">
        <is>
          <t>BBG00RC1W7Z5 Equity (TSLA US 10/16/20 P64)</t>
        </is>
      </c>
      <c r="KO1" t="inlineStr">
        <is>
          <t>BBG00RC1W936 Equity (TSLA US 10/16/20 P65)</t>
        </is>
      </c>
      <c r="KS1" t="inlineStr">
        <is>
          <t>BBG00RC1WB68 Equity (TSLA US 10/16/20 P66)</t>
        </is>
      </c>
      <c r="KW1" t="inlineStr">
        <is>
          <t>BBG00RC1WC93 Equity (TSLA US 10/16/20 P67)</t>
        </is>
      </c>
      <c r="LA1" t="inlineStr">
        <is>
          <t>BBG00RC1WDF4 Equity (TSLA US 10/16/20 P68)</t>
        </is>
      </c>
      <c r="LE1" t="inlineStr">
        <is>
          <t>BBG00RC1WFJ5 Equity (TSLA US 10/16/20 P69)</t>
        </is>
      </c>
      <c r="LI1" t="inlineStr">
        <is>
          <t>BBG00RC1WGM9 Equity (TSLA US 10/16/20 P70)</t>
        </is>
      </c>
      <c r="LM1" t="inlineStr">
        <is>
          <t>BBG00RC1WHR2 Equity (TSLA US 10/16/20 P71)</t>
        </is>
      </c>
      <c r="LQ1" t="inlineStr">
        <is>
          <t>BBG00RC1WJV3 Equity (TSLA US 10/16/20 P72)</t>
        </is>
      </c>
      <c r="LU1" t="inlineStr">
        <is>
          <t>BBG00RC1WKY7 Equity (TSLA US 10/16/20 P73)</t>
        </is>
      </c>
      <c r="LY1" t="inlineStr">
        <is>
          <t>BBG00RC1WM28 Equity (TSLA US 10/16/20 P74)</t>
        </is>
      </c>
      <c r="MC1" t="inlineStr">
        <is>
          <t>BBG00RC1WN53 Equity (TSLA US 10/16/20 P75)</t>
        </is>
      </c>
      <c r="MG1" t="inlineStr">
        <is>
          <t>BBG00RC1WP85 Equity (TSLA US 10/16/20 P76)</t>
        </is>
      </c>
      <c r="MK1" t="inlineStr">
        <is>
          <t>BBG00RC1WQD7 Equity (TSLA US 10/16/20 P77)</t>
        </is>
      </c>
      <c r="MO1" t="inlineStr">
        <is>
          <t>BBG00RC1WRH1 Equity (TSLA US 10/16/20 P78)</t>
        </is>
      </c>
      <c r="MS1" t="inlineStr">
        <is>
          <t>BBG00RC1WSL4 Equity (TSLA US 10/16/20 P79)</t>
        </is>
      </c>
      <c r="MW1" t="inlineStr">
        <is>
          <t>BBG00RC1WTQ7 Equity (TSLA US 10/16/20 P80)</t>
        </is>
      </c>
      <c r="NA1" t="inlineStr">
        <is>
          <t>BBG00RC1WVT9 Equity (TSLA US 10/16/20 P81)</t>
        </is>
      </c>
      <c r="NE1" t="inlineStr">
        <is>
          <t>BBG00RC1WWX2 Equity (TSLA US 10/16/20 P82)</t>
        </is>
      </c>
      <c r="NI1" t="inlineStr">
        <is>
          <t>BBG00RC1WY13 Equity (TSLA US 10/16/20 P83)</t>
        </is>
      </c>
      <c r="NM1" t="inlineStr">
        <is>
          <t>BBG00RC1WZ47 Equity (TSLA US 10/16/20 P84)</t>
        </is>
      </c>
      <c r="NQ1" t="inlineStr">
        <is>
          <t>BBG00RC1X070 Equity (TSLA US 10/16/20 P85)</t>
        </is>
      </c>
      <c r="NU1" t="inlineStr">
        <is>
          <t>BBG00RC1X1C2 Equity (TSLA US 10/16/20 P86)</t>
        </is>
      </c>
      <c r="NY1" t="inlineStr">
        <is>
          <t>BBG00RC1X2G6 Equity (TSLA US 10/16/20 P87)</t>
        </is>
      </c>
      <c r="OC1" t="inlineStr">
        <is>
          <t>BBG00RC1X3L8 Equity (TSLA US 10/16/20 P88)</t>
        </is>
      </c>
      <c r="OG1" t="inlineStr">
        <is>
          <t>BBG00RC1X4P2 Equity (TSLA US 10/16/20 P89)</t>
        </is>
      </c>
      <c r="OK1" t="inlineStr">
        <is>
          <t>BBG00RC1X5S6 Equity (TSLA US 10/16/20 P90)</t>
        </is>
      </c>
      <c r="OO1" t="inlineStr">
        <is>
          <t>BBG00RC1X6Y7 Equity (TSLA US 10/16/20 P91)</t>
        </is>
      </c>
      <c r="OS1" t="inlineStr">
        <is>
          <t>BBG00RC1X819 Equity (TSLA US 10/16/20 P92)</t>
        </is>
      </c>
      <c r="OW1" t="inlineStr">
        <is>
          <t>BBG00RC1X944 Equity (TSLA US 10/16/20 P93)</t>
        </is>
      </c>
      <c r="PA1" t="inlineStr">
        <is>
          <t>BBG00RC1XB85 Equity (TSLA US 10/16/20 P94)</t>
        </is>
      </c>
      <c r="PE1" t="inlineStr">
        <is>
          <t>BBG00RC1XCC8 Equity (TSLA US 10/16/20 P95)</t>
        </is>
      </c>
      <c r="PI1" t="inlineStr">
        <is>
          <t>BBG00RC1XDG2 Equity (TSLA US 10/16/20 P96)</t>
        </is>
      </c>
      <c r="PM1" t="inlineStr">
        <is>
          <t>BBG00RC1XFL1 Equity (TSLA US 10/16/20 P97)</t>
        </is>
      </c>
      <c r="PQ1" t="inlineStr">
        <is>
          <t>BBG00RC1Y836 Equity (TSLA US 10/16/20 P120)</t>
        </is>
      </c>
      <c r="PU1" t="inlineStr">
        <is>
          <t>BBG00RC1Y961 Equity (TSLA US 10/16/20 P121)</t>
        </is>
      </c>
      <c r="PY1" t="inlineStr">
        <is>
          <t>BBG00RC1YB93 Equity (TSLA US 10/16/20 P122)</t>
        </is>
      </c>
      <c r="QC1" t="inlineStr">
        <is>
          <t>BBG00RC1YCF4 Equity (TSLA US 10/16/20 P123)</t>
        </is>
      </c>
      <c r="QG1" t="inlineStr">
        <is>
          <t>BBG00RC1YDJ8 Equity (TSLA US 10/16/20 P124)</t>
        </is>
      </c>
      <c r="QK1" t="inlineStr">
        <is>
          <t>BBG00RC1YFM9 Equity (TSLA US 10/16/20 P125)</t>
        </is>
      </c>
      <c r="QO1" t="inlineStr">
        <is>
          <t>BBG00RC1YGR2 Equity (TSLA US 10/16/20 P126)</t>
        </is>
      </c>
      <c r="QS1" t="inlineStr">
        <is>
          <t>BBG00RC1YHV5 Equity (TSLA US 10/16/20 P127)</t>
        </is>
      </c>
      <c r="QW1" t="inlineStr">
        <is>
          <t>BBG00RC1YJY8 Equity (TSLA US 10/16/20 P128)</t>
        </is>
      </c>
      <c r="RA1" t="inlineStr">
        <is>
          <t>BBG00RC1YL28 Equity (TSLA US 10/16/20 P129)</t>
        </is>
      </c>
      <c r="RE1" t="inlineStr">
        <is>
          <t>BBG00RC1YM53 Equity (TSLA US 10/16/20 P130)</t>
        </is>
      </c>
      <c r="RI1" t="inlineStr">
        <is>
          <t>BBG00RC1YN88 Equity (TSLA US 10/16/20 P131)</t>
        </is>
      </c>
      <c r="RM1" t="inlineStr">
        <is>
          <t>BBG00RC1YPD7 Equity (TSLA US 10/16/20 P132)</t>
        </is>
      </c>
      <c r="RQ1" t="inlineStr">
        <is>
          <t>BBG00RC1YQH1 Equity (TSLA US 10/16/20 P133)</t>
        </is>
      </c>
      <c r="RU1" t="inlineStr">
        <is>
          <t>BBG00RC1YRL4 Equity (TSLA US 10/16/20 P134)</t>
        </is>
      </c>
      <c r="RY1" t="inlineStr">
        <is>
          <t>BBG00RC1YSQ7 Equity (TSLA US 10/16/20 P135)</t>
        </is>
      </c>
      <c r="SC1" t="inlineStr">
        <is>
          <t>BBG00RC1YTT2 Equity (TSLA US 10/16/20 P136)</t>
        </is>
      </c>
      <c r="SG1" t="inlineStr">
        <is>
          <t>BBG00RC1YVX2 Equity (TSLA US 10/16/20 P137)</t>
        </is>
      </c>
      <c r="SK1" t="inlineStr">
        <is>
          <t>BBG00RC1YX13 Equity (TSLA US 10/16/20 P138)</t>
        </is>
      </c>
      <c r="SO1" t="inlineStr">
        <is>
          <t>BBG00RC1YY48 Equity (TSLA US 10/16/20 P139)</t>
        </is>
      </c>
      <c r="SS1" t="inlineStr">
        <is>
          <t>BBG00RC1YZ72 Equity (TSLA US 10/16/20 P140)</t>
        </is>
      </c>
      <c r="SW1" t="inlineStr">
        <is>
          <t>BBG00RC1Z0C2 Equity (TSLA US 10/16/20 P141)</t>
        </is>
      </c>
      <c r="TA1" t="inlineStr">
        <is>
          <t>BBG00RC1Z1G6 Equity (TSLA US 10/16/20 P142)</t>
        </is>
      </c>
      <c r="TE1" t="inlineStr">
        <is>
          <t>BBG00RC1Z2K9 Equity (TSLA US 10/16/20 P143)</t>
        </is>
      </c>
      <c r="TI1" t="inlineStr">
        <is>
          <t>BBG00RC1Z3P2 Equity (TSLA US 10/16/20 P144)</t>
        </is>
      </c>
      <c r="TM1" t="inlineStr">
        <is>
          <t>BBG00RC1Z4S7 Equity (TSLA US 10/16/20 P145)</t>
        </is>
      </c>
      <c r="TQ1" t="inlineStr">
        <is>
          <t>BBG00RC1Z5W9 Equity (TSLA US 10/16/20 P146)</t>
        </is>
      </c>
      <c r="TU1" t="inlineStr">
        <is>
          <t>BBG00RC1Z700 Equity (TSLA US 10/16/20 P147)</t>
        </is>
      </c>
      <c r="TY1" t="inlineStr">
        <is>
          <t>BBG00RC1Z835 Equity (TSLA US 10/16/20 P148)</t>
        </is>
      </c>
      <c r="UC1" t="inlineStr">
        <is>
          <t>BBG00RC1Z960 Equity (TSLA US 10/16/20 P149)</t>
        </is>
      </c>
      <c r="UG1" t="inlineStr">
        <is>
          <t>BBG00RDFMSL3 Equity (TSLA US 10/16/20 P150)</t>
        </is>
      </c>
      <c r="UK1" t="inlineStr">
        <is>
          <t>BBG00RMPFZ24 Equity (TSLA US 10/16/20 P151)</t>
        </is>
      </c>
      <c r="UO1" t="inlineStr">
        <is>
          <t>BBG00RDFMTP7 Equity (TSLA US 10/16/20 P152)</t>
        </is>
      </c>
      <c r="US1" t="inlineStr">
        <is>
          <t>BBG00RMPG057 Equity (TSLA US 10/16/20 P153)</t>
        </is>
      </c>
      <c r="UW1" t="inlineStr">
        <is>
          <t>BBG00RDFMVS9 Equity (TSLA US 10/16/20 P154)</t>
        </is>
      </c>
      <c r="VA1" t="inlineStr">
        <is>
          <t>BBG00RMPG191 Equity (TSLA US 10/16/20 P155)</t>
        </is>
      </c>
      <c r="VE1" t="inlineStr">
        <is>
          <t>BBG00RDFMWX1 Equity (TSLA US 10/16/20 P156)</t>
        </is>
      </c>
      <c r="VI1" t="inlineStr">
        <is>
          <t>BBG00RMPG2D4 Equity (TSLA US 10/16/20 P157)</t>
        </is>
      </c>
      <c r="VM1" t="inlineStr">
        <is>
          <t>BBG00RDFMY03 Equity (TSLA US 10/16/20 P158)</t>
        </is>
      </c>
      <c r="VQ1" t="inlineStr">
        <is>
          <t>BBG00RMPG3H8 Equity (TSLA US 10/16/20 P159)</t>
        </is>
      </c>
      <c r="VU1" t="inlineStr">
        <is>
          <t>BBG00RDFMZ37 Equity (TSLA US 10/16/20 P160)</t>
        </is>
      </c>
      <c r="VY1" t="inlineStr">
        <is>
          <t>BBG00TLY3PQ1 Equity (TSLA US 10/16/20 P161)</t>
        </is>
      </c>
      <c r="WC1" t="inlineStr">
        <is>
          <t>BBG00RDFN079 Equity (TSLA US 10/16/20 P162)</t>
        </is>
      </c>
      <c r="WG1" t="inlineStr">
        <is>
          <t>BBG00TLY3QT6 Equity (TSLA US 10/16/20 P163)</t>
        </is>
      </c>
      <c r="WK1" t="inlineStr">
        <is>
          <t>BBG00RDFN1B2 Equity (TSLA US 10/16/20 P164)</t>
        </is>
      </c>
      <c r="WO1" t="inlineStr">
        <is>
          <t>BBG00TLY3RX9 Equity (TSLA US 10/16/20 P165)</t>
        </is>
      </c>
      <c r="WS1" t="inlineStr">
        <is>
          <t>BBG00RDFN2G5 Equity (TSLA US 10/16/20 P166)</t>
        </is>
      </c>
      <c r="WW1" t="inlineStr">
        <is>
          <t>BBG00TLY3T10 Equity (TSLA US 10/16/20 P167)</t>
        </is>
      </c>
      <c r="XA1" t="inlineStr">
        <is>
          <t>BBG00RDFN3K8 Equity (TSLA US 10/16/20 P168)</t>
        </is>
      </c>
      <c r="XE1" t="inlineStr">
        <is>
          <t>BBG00TLY3V42 Equity (TSLA US 10/16/20 P169)</t>
        </is>
      </c>
      <c r="XI1" t="inlineStr">
        <is>
          <t>BBG00RDFN4N3 Equity (TSLA US 10/16/20 P170)</t>
        </is>
      </c>
      <c r="XM1" t="inlineStr">
        <is>
          <t>BBG00TLY3W77 Equity (TSLA US 10/16/20 P171)</t>
        </is>
      </c>
      <c r="XQ1" t="inlineStr">
        <is>
          <t>BBG00RDFN5S5 Equity (TSLA US 10/16/20 P172)</t>
        </is>
      </c>
      <c r="XU1" t="inlineStr">
        <is>
          <t>BBG00TLY3XC9 Equity (TSLA US 10/16/20 P173)</t>
        </is>
      </c>
      <c r="XY1" t="inlineStr">
        <is>
          <t>BBG00RDFN6W8 Equity (TSLA US 10/16/20 P174)</t>
        </is>
      </c>
      <c r="YC1" t="inlineStr">
        <is>
          <t>BBG00TLY3YG3 Equity (TSLA US 10/16/20 P175)</t>
        </is>
      </c>
      <c r="YG1" t="inlineStr">
        <is>
          <t>BBG00RDFN7Z3 Equity (TSLA US 10/16/20 P176)</t>
        </is>
      </c>
      <c r="YK1" t="inlineStr">
        <is>
          <t>BBG00TLY3ZK5 Equity (TSLA US 10/16/20 P177)</t>
        </is>
      </c>
      <c r="YO1" t="inlineStr">
        <is>
          <t>BBG00RDFN934 Equity (TSLA US 10/16/20 P178)</t>
        </is>
      </c>
      <c r="YS1" t="inlineStr">
        <is>
          <t>BBG00TLY40P6 Equity (TSLA US 10/16/20 P179)</t>
        </is>
      </c>
      <c r="YW1" t="inlineStr">
        <is>
          <t>BBG00RDFNB66 Equity (TSLA US 10/16/20 P180)</t>
        </is>
      </c>
      <c r="ZA1" t="inlineStr">
        <is>
          <t>BBG00TLY41S1 Equity (TSLA US 10/16/20 P181)</t>
        </is>
      </c>
      <c r="ZE1" t="inlineStr">
        <is>
          <t>BBG00RDFNC91 Equity (TSLA US 10/16/20 P182)</t>
        </is>
      </c>
      <c r="ZI1" t="inlineStr">
        <is>
          <t>BBG00TLY42W4 Equity (TSLA US 10/16/20 P183)</t>
        </is>
      </c>
      <c r="ZM1" t="inlineStr">
        <is>
          <t>BBG00RDFNDF2 Equity (TSLA US 10/16/20 P184)</t>
        </is>
      </c>
      <c r="ZQ1" t="inlineStr">
        <is>
          <t>BBG00TLY4405 Equity (TSLA US 10/16/20 P185)</t>
        </is>
      </c>
      <c r="ZU1" t="inlineStr">
        <is>
          <t>BBG00RDFNFJ3 Equity (TSLA US 10/16/20 P186)</t>
        </is>
      </c>
      <c r="ZY1" t="inlineStr">
        <is>
          <t>BBG00TLY4539 Equity (TSLA US 10/16/20 P187)</t>
        </is>
      </c>
      <c r="AAC1" t="inlineStr">
        <is>
          <t>BBG00RDFNGM7 Equity (TSLA US 10/16/20 P188)</t>
        </is>
      </c>
      <c r="AAG1" t="inlineStr">
        <is>
          <t>BBG00TLY4664 Equity (TSLA US 10/16/20 P189)</t>
        </is>
      </c>
      <c r="AAK1" t="inlineStr">
        <is>
          <t>BBG00RDFNHR0 Equity (TSLA US 10/16/20 P190)</t>
        </is>
      </c>
      <c r="AAO1" t="inlineStr">
        <is>
          <t>BBG00TLY47B6 Equity (TSLA US 10/16/20 P191)</t>
        </is>
      </c>
      <c r="AAS1" t="inlineStr">
        <is>
          <t>BBG00RDFNJV1 Equity (TSLA US 10/16/20 P192)</t>
        </is>
      </c>
      <c r="AAW1" t="inlineStr">
        <is>
          <t>BBG00TLY48F0 Equity (TSLA US 10/16/20 P193)</t>
        </is>
      </c>
      <c r="ABA1" t="inlineStr">
        <is>
          <t>BBG00RDFNKY5 Equity (TSLA US 10/16/20 P194)</t>
        </is>
      </c>
      <c r="ABE1" t="inlineStr">
        <is>
          <t>BBG00SMCQSN2 Equity (TSLA US 11/20/20 P60)</t>
        </is>
      </c>
      <c r="ABI1" t="inlineStr">
        <is>
          <t>BBG00SMCQTR6 Equity (TSLA US 11/20/20 P61)</t>
        </is>
      </c>
      <c r="ABM1" t="inlineStr">
        <is>
          <t>BBG00SMCQVV6 Equity (TSLA US 11/20/20 P62)</t>
        </is>
      </c>
      <c r="ABQ1" t="inlineStr">
        <is>
          <t>BBG00SMCQWZ0 Equity (TSLA US 11/20/20 P63)</t>
        </is>
      </c>
      <c r="ABU1" t="inlineStr">
        <is>
          <t>BBG00SMCQY22 Equity (TSLA US 11/20/20 P64)</t>
        </is>
      </c>
      <c r="ABY1" t="inlineStr">
        <is>
          <t>BBG00SMCQZ65 Equity (TSLA US 11/20/20 P65)</t>
        </is>
      </c>
      <c r="ACC1" t="inlineStr">
        <is>
          <t>BBG00SMCR098 Equity (TSLA US 11/20/20 P66)</t>
        </is>
      </c>
      <c r="ACG1" t="inlineStr">
        <is>
          <t>BBG00SMCR1D1 Equity (TSLA US 11/20/20 P67)</t>
        </is>
      </c>
      <c r="ACK1" t="inlineStr">
        <is>
          <t>BBG00SMCR2J3 Equity (TSLA US 11/20/20 P68)</t>
        </is>
      </c>
      <c r="ACO1" t="inlineStr">
        <is>
          <t>BBG00SMCR3M7 Equity (TSLA US 11/20/20 P69)</t>
        </is>
      </c>
      <c r="ACS1" t="inlineStr">
        <is>
          <t>BBG00SMCR4Q1 Equity (TSLA US 11/20/20 P70)</t>
        </is>
      </c>
      <c r="ACW1" t="inlineStr">
        <is>
          <t>BBG00SMCR5V2 Equity (TSLA US 11/20/20 P71)</t>
        </is>
      </c>
      <c r="ADA1" t="inlineStr">
        <is>
          <t>BBG00SMCR6Y7 Equity (TSLA US 11/20/20 P72)</t>
        </is>
      </c>
      <c r="ADE1" t="inlineStr">
        <is>
          <t>BBG00SMCR819 Equity (TSLA US 11/20/20 P73)</t>
        </is>
      </c>
      <c r="ADI1" t="inlineStr">
        <is>
          <t>BBG00SMCR953 Equity (TSLA US 11/20/20 P74)</t>
        </is>
      </c>
      <c r="ADM1" t="inlineStr">
        <is>
          <t>BBG00SMCRB85 Equity (TSLA US 11/20/20 P75)</t>
        </is>
      </c>
      <c r="ADQ1" t="inlineStr">
        <is>
          <t>BBG00SK0GFW9 Equity (TSLA US 11/20/20 P76)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BDH("BBG00J7GWR91 Equity","PX_LAST,PX_VOLUME","1/1/2020","6/10/2026")</f>
        <v/>
      </c>
      <c r="E3">
        <f>BDH("BBG00J7GWSB6 Equity","PX_LAST,PX_VOLUME","1/1/2020","6/10/2026")</f>
        <v/>
      </c>
      <c r="I3">
        <f>BDH("BBG00J7GWTC3 Equity","PX_LAST,PX_VOLUME","1/1/2020","6/10/2026")</f>
        <v/>
      </c>
      <c r="M3">
        <f>BDH("BBG00J7GWVF5 Equity","PX_LAST,PX_VOLUME","1/1/2020","6/10/2026")</f>
        <v/>
      </c>
      <c r="Q3">
        <f>BDH("BBG00J7GWWG2 Equity","PX_LAST,PX_VOLUME","1/1/2020","6/10/2026")</f>
        <v/>
      </c>
      <c r="U3">
        <f>BDH("BBG00J7GWXH9 Equity","PX_LAST,PX_VOLUME","1/1/2020","6/10/2026")</f>
        <v/>
      </c>
      <c r="Y3">
        <f>BDH("BBG00R26NL20 Equity","PX_LAST,PX_VOLUME","1/1/2020","6/10/2026")</f>
        <v/>
      </c>
      <c r="AC3">
        <f>BDH("BBG00R26NM64 Equity","PX_LAST,PX_VOLUME","1/1/2020","6/10/2026")</f>
        <v/>
      </c>
      <c r="AG3">
        <f>BDH("BBG00R26NN99 Equity","PX_LAST,PX_VOLUME","1/1/2020","6/10/2026")</f>
        <v/>
      </c>
      <c r="AK3">
        <f>BDH("BBG00R26NPD9 Equity","PX_LAST,PX_VOLUME","1/1/2020","6/10/2026")</f>
        <v/>
      </c>
      <c r="AO3">
        <f>BDH("BBG00R26NQJ1 Equity","PX_LAST,PX_VOLUME","1/1/2020","6/10/2026")</f>
        <v/>
      </c>
      <c r="AS3">
        <f>BDH("BBG00R26NRM5 Equity","PX_LAST,PX_VOLUME","1/1/2020","6/10/2026")</f>
        <v/>
      </c>
      <c r="AW3">
        <f>BDH("BBG00P7TNV27 Equity","PX_LAST,PX_VOLUME","1/1/2020","6/10/2026")</f>
        <v/>
      </c>
      <c r="BA3">
        <f>BDH("BBG00P7TNW70 Equity","PX_LAST,PX_VOLUME","1/1/2020","6/10/2026")</f>
        <v/>
      </c>
      <c r="BE3">
        <f>BDH("BBG00P7TNXB3 Equity","PX_LAST,PX_VOLUME","1/1/2020","6/10/2026")</f>
        <v/>
      </c>
      <c r="BI3">
        <f>BDH("BBG00P7TNYF7 Equity","PX_LAST,PX_VOLUME","1/1/2020","6/10/2026")</f>
        <v/>
      </c>
      <c r="BM3">
        <f>BDH("BBG00P7TNZK8 Equity","PX_LAST,PX_VOLUME","1/1/2020","6/10/2026")</f>
        <v/>
      </c>
      <c r="BQ3">
        <f>BDH("BBG00P7TP0N0 Equity","PX_LAST,PX_VOLUME","1/1/2020","6/10/2026")</f>
        <v/>
      </c>
      <c r="BU3">
        <f>BDH("BBG00LY3GP24 Equity","PX_LAST,PX_VOLUME","1/1/2020","6/10/2026")</f>
        <v/>
      </c>
      <c r="BY3">
        <f>BDH("BBG00LY3GQ40 Equity","PX_LAST,PX_VOLUME","1/1/2020","6/10/2026")</f>
        <v/>
      </c>
      <c r="CC3">
        <f>BDH("BBG00LY3GR57 Equity","PX_LAST,PX_VOLUME","1/1/2020","6/10/2026")</f>
        <v/>
      </c>
      <c r="CG3">
        <f>BDH("BBG00LY3GS64 Equity","PX_LAST,PX_VOLUME","1/1/2020","6/10/2026")</f>
        <v/>
      </c>
      <c r="CK3">
        <f>BDH("BBG00LY3GT80 Equity","PX_LAST,PX_VOLUME","1/1/2020","6/10/2026")</f>
        <v/>
      </c>
      <c r="CO3">
        <f>BDH("BBG00LY3GV94 Equity","PX_LAST,PX_VOLUME","1/1/2020","6/10/2026")</f>
        <v/>
      </c>
      <c r="CS3">
        <f>BDH("BBG00R9JRRF4 Equity","PX_LAST,PX_VOLUME","1/1/2020","6/10/2026")</f>
        <v/>
      </c>
      <c r="CW3">
        <f>BDH("BBG00R9JRSJ8 Equity","PX_LAST,PX_VOLUME","1/1/2020","6/10/2026")</f>
        <v/>
      </c>
      <c r="DA3">
        <f>BDH("BBG00R9JRTN1 Equity","PX_LAST,PX_VOLUME","1/1/2020","6/10/2026")</f>
        <v/>
      </c>
      <c r="DE3">
        <f>BDH("BBG00R9JRVR2 Equity","PX_LAST,PX_VOLUME","1/1/2020","6/10/2026")</f>
        <v/>
      </c>
      <c r="DI3">
        <f>BDH("BBG00R9JRWV5 Equity","PX_LAST,PX_VOLUME","1/1/2020","6/10/2026")</f>
        <v/>
      </c>
      <c r="DM3">
        <f>BDH("BBG00QLBKJ19 Equity","PX_LAST,PX_VOLUME","1/1/2020","6/10/2026")</f>
        <v/>
      </c>
      <c r="DQ3">
        <f>BDH("BBG00QLBKK43 Equity","PX_LAST,PX_VOLUME","1/1/2020","6/10/2026")</f>
        <v/>
      </c>
      <c r="DU3">
        <f>BDH("BBG00QLBKL87 Equity","PX_LAST,PX_VOLUME","1/1/2020","6/10/2026")</f>
        <v/>
      </c>
      <c r="DY3">
        <f>BDH("BBG00QLBKMC0 Equity","PX_LAST,PX_VOLUME","1/1/2020","6/10/2026")</f>
        <v/>
      </c>
      <c r="EC3">
        <f>BDH("BBG00QLBKNH3 Equity","PX_LAST,PX_VOLUME","1/1/2020","6/10/2026")</f>
        <v/>
      </c>
      <c r="EG3">
        <f>BDH("BBG00QLBKPL3 Equity","PX_LAST,PX_VOLUME","1/1/2020","6/10/2026")</f>
        <v/>
      </c>
      <c r="EK3">
        <f>BDH("BBG00QLBKQP7 Equity","PX_LAST,PX_VOLUME","1/1/2020","6/10/2026")</f>
        <v/>
      </c>
      <c r="EO3">
        <f>BDH("BBG00QLBKRT1 Equity","PX_LAST,PX_VOLUME","1/1/2020","6/10/2026")</f>
        <v/>
      </c>
      <c r="ES3">
        <f>BDH("BBG00QLBKSX4 Equity","PX_LAST,PX_VOLUME","1/1/2020","6/10/2026")</f>
        <v/>
      </c>
      <c r="EW3">
        <f>BDH("BBG00QLBKV03 Equity","PX_LAST,PX_VOLUME","1/1/2020","6/10/2026")</f>
        <v/>
      </c>
      <c r="FA3">
        <f>BDH("BBG00QLBKW47 Equity","PX_LAST,PX_VOLUME","1/1/2020","6/10/2026")</f>
        <v/>
      </c>
      <c r="FE3">
        <f>BDH("BBG00QLBKX72 Equity","PX_LAST,PX_VOLUME","1/1/2020","6/10/2026")</f>
        <v/>
      </c>
      <c r="FI3">
        <f>BDH("BBG00QLBKYB5 Equity","PX_LAST,PX_VOLUME","1/1/2020","6/10/2026")</f>
        <v/>
      </c>
      <c r="FM3">
        <f>BDH("BBG00QNG54W2 Equity","PX_LAST,PX_VOLUME","1/1/2020","6/10/2026")</f>
        <v/>
      </c>
      <c r="FQ3">
        <f>BDH("BBG00QNG55Z6 Equity","PX_LAST,PX_VOLUME","1/1/2020","6/10/2026")</f>
        <v/>
      </c>
      <c r="FU3">
        <f>BDH("BBG00QNG5728 Equity","PX_LAST,PX_VOLUME","1/1/2020","6/10/2026")</f>
        <v/>
      </c>
      <c r="FY3">
        <f>BDH("BBG00QNG5862 Equity","PX_LAST,PX_VOLUME","1/1/2020","6/10/2026")</f>
        <v/>
      </c>
      <c r="GC3">
        <f>BDH("BBG00QNG5997 Equity","PX_LAST,PX_VOLUME","1/1/2020","6/10/2026")</f>
        <v/>
      </c>
      <c r="GG3">
        <f>BDH("BBG00QNG5BD7 Equity","PX_LAST,PX_VOLUME","1/1/2020","6/10/2026")</f>
        <v/>
      </c>
      <c r="GK3">
        <f>BDH("BBG00QNG5CJ9 Equity","PX_LAST,PX_VOLUME","1/1/2020","6/10/2026")</f>
        <v/>
      </c>
      <c r="GO3">
        <f>BDH("BBG00QNG5DM3 Equity","PX_LAST,PX_VOLUME","1/1/2020","6/10/2026")</f>
        <v/>
      </c>
      <c r="GS3">
        <f>BDH("BBG00QPQQQX5 Equity","PX_LAST,PX_VOLUME","1/1/2020","6/10/2026")</f>
        <v/>
      </c>
      <c r="GW3">
        <f>BDH("BBG00QPQQS07 Equity","PX_LAST,PX_VOLUME","1/1/2020","6/10/2026")</f>
        <v/>
      </c>
      <c r="HA3">
        <f>BDH("BBG00QPQQT32 Equity","PX_LAST,PX_VOLUME","1/1/2020","6/10/2026")</f>
        <v/>
      </c>
      <c r="HE3">
        <f>BDH("BBG00QPQQV73 Equity","PX_LAST,PX_VOLUME","1/1/2020","6/10/2026")</f>
        <v/>
      </c>
      <c r="HI3">
        <f>BDH("BBG00QPQQWB6 Equity","PX_LAST,PX_VOLUME","1/1/2020","6/10/2026")</f>
        <v/>
      </c>
      <c r="HM3">
        <f>BDH("BBG00QPQQXF0 Equity","PX_LAST,PX_VOLUME","1/1/2020","6/10/2026")</f>
        <v/>
      </c>
      <c r="HQ3">
        <f>BDH("BBG00QPQQYK2 Equity","PX_LAST,PX_VOLUME","1/1/2020","6/10/2026")</f>
        <v/>
      </c>
      <c r="HU3">
        <f>BDH("BBG00QPQQZN6 Equity","PX_LAST,PX_VOLUME","1/1/2020","6/10/2026")</f>
        <v/>
      </c>
      <c r="HY3">
        <f>BDH("BBG00QPQR0R8 Equity","PX_LAST,PX_VOLUME","1/1/2020","6/10/2026")</f>
        <v/>
      </c>
      <c r="IC3">
        <f>BDH("BBG00QPQR1X9 Equity","PX_LAST,PX_VOLUME","1/1/2020","6/10/2026")</f>
        <v/>
      </c>
      <c r="IG3">
        <f>BDH("BBG00QPQR301 Equity","PX_LAST,PX_VOLUME","1/1/2020","6/10/2026")</f>
        <v/>
      </c>
      <c r="IK3">
        <f>BDH("BBG00QPQR436 Equity","PX_LAST,PX_VOLUME","1/1/2020","6/10/2026")</f>
        <v/>
      </c>
      <c r="IO3">
        <f>BDH("BBG00QPQR579 Equity","PX_LAST,PX_VOLUME","1/1/2020","6/10/2026")</f>
        <v/>
      </c>
      <c r="IS3">
        <f>BDH("BBG00RGZ5J71 Equity","PX_LAST,PX_VOLUME","1/1/2020","6/10/2026")</f>
        <v/>
      </c>
      <c r="IW3">
        <f>BDH("BBG00QQ44705 Equity","PX_LAST,PX_VOLUME","1/1/2020","6/10/2026")</f>
        <v/>
      </c>
      <c r="JA3">
        <f>BDH("BBG00RGZ5KC2 Equity","PX_LAST,PX_VOLUME","1/1/2020","6/10/2026")</f>
        <v/>
      </c>
      <c r="JE3">
        <f>BDH("BBG00QQ44849 Equity","PX_LAST,PX_VOLUME","1/1/2020","6/10/2026")</f>
        <v/>
      </c>
      <c r="JI3">
        <f>BDH("BBG00RGZ5LG6 Equity","PX_LAST,PX_VOLUME","1/1/2020","6/10/2026")</f>
        <v/>
      </c>
      <c r="JM3">
        <f>BDH("BBG00QQ44974 Equity","PX_LAST,PX_VOLUME","1/1/2020","6/10/2026")</f>
        <v/>
      </c>
      <c r="JQ3">
        <f>BDH("BBG00RGZ5MK9 Equity","PX_LAST,PX_VOLUME","1/1/2020","6/10/2026")</f>
        <v/>
      </c>
      <c r="JU3">
        <f>BDH("BBG00RC1W3K0 Equity","PX_LAST,PX_VOLUME","1/1/2020","6/10/2026")</f>
        <v/>
      </c>
      <c r="JY3">
        <f>BDH("BBG00RC1W4N5 Equity","PX_LAST,PX_VOLUME","1/1/2020","6/10/2026")</f>
        <v/>
      </c>
      <c r="KC3">
        <f>BDH("BBG00RC1W5S7 Equity","PX_LAST,PX_VOLUME","1/1/2020","6/10/2026")</f>
        <v/>
      </c>
      <c r="KG3">
        <f>BDH("BBG00RC1W6W0 Equity","PX_LAST,PX_VOLUME","1/1/2020","6/10/2026")</f>
        <v/>
      </c>
      <c r="KK3">
        <f>BDH("BBG00RC1W7Z5 Equity","PX_LAST,PX_VOLUME","1/1/2020","6/10/2026")</f>
        <v/>
      </c>
      <c r="KO3">
        <f>BDH("BBG00RC1W936 Equity","PX_LAST,PX_VOLUME","1/1/2020","6/10/2026")</f>
        <v/>
      </c>
      <c r="KS3">
        <f>BDH("BBG00RC1WB68 Equity","PX_LAST,PX_VOLUME","1/1/2020","6/10/2026")</f>
        <v/>
      </c>
      <c r="KW3">
        <f>BDH("BBG00RC1WC93 Equity","PX_LAST,PX_VOLUME","1/1/2020","6/10/2026")</f>
        <v/>
      </c>
      <c r="LA3">
        <f>BDH("BBG00RC1WDF4 Equity","PX_LAST,PX_VOLUME","1/1/2020","6/10/2026")</f>
        <v/>
      </c>
      <c r="LE3">
        <f>BDH("BBG00RC1WFJ5 Equity","PX_LAST,PX_VOLUME","1/1/2020","6/10/2026")</f>
        <v/>
      </c>
      <c r="LI3">
        <f>BDH("BBG00RC1WGM9 Equity","PX_LAST,PX_VOLUME","1/1/2020","6/10/2026")</f>
        <v/>
      </c>
      <c r="LM3">
        <f>BDH("BBG00RC1WHR2 Equity","PX_LAST,PX_VOLUME","1/1/2020","6/10/2026")</f>
        <v/>
      </c>
      <c r="LQ3">
        <f>BDH("BBG00RC1WJV3 Equity","PX_LAST,PX_VOLUME","1/1/2020","6/10/2026")</f>
        <v/>
      </c>
      <c r="LU3">
        <f>BDH("BBG00RC1WKY7 Equity","PX_LAST,PX_VOLUME","1/1/2020","6/10/2026")</f>
        <v/>
      </c>
      <c r="LY3">
        <f>BDH("BBG00RC1WM28 Equity","PX_LAST,PX_VOLUME","1/1/2020","6/10/2026")</f>
        <v/>
      </c>
      <c r="MC3">
        <f>BDH("BBG00RC1WN53 Equity","PX_LAST,PX_VOLUME","1/1/2020","6/10/2026")</f>
        <v/>
      </c>
      <c r="MG3">
        <f>BDH("BBG00RC1WP85 Equity","PX_LAST,PX_VOLUME","1/1/2020","6/10/2026")</f>
        <v/>
      </c>
      <c r="MK3">
        <f>BDH("BBG00RC1WQD7 Equity","PX_LAST,PX_VOLUME","1/1/2020","6/10/2026")</f>
        <v/>
      </c>
      <c r="MO3">
        <f>BDH("BBG00RC1WRH1 Equity","PX_LAST,PX_VOLUME","1/1/2020","6/10/2026")</f>
        <v/>
      </c>
      <c r="MS3">
        <f>BDH("BBG00RC1WSL4 Equity","PX_LAST,PX_VOLUME","1/1/2020","6/10/2026")</f>
        <v/>
      </c>
      <c r="MW3">
        <f>BDH("BBG00RC1WTQ7 Equity","PX_LAST,PX_VOLUME","1/1/2020","6/10/2026")</f>
        <v/>
      </c>
      <c r="NA3">
        <f>BDH("BBG00RC1WVT9 Equity","PX_LAST,PX_VOLUME","1/1/2020","6/10/2026")</f>
        <v/>
      </c>
      <c r="NE3">
        <f>BDH("BBG00RC1WWX2 Equity","PX_LAST,PX_VOLUME","1/1/2020","6/10/2026")</f>
        <v/>
      </c>
      <c r="NI3">
        <f>BDH("BBG00RC1WY13 Equity","PX_LAST,PX_VOLUME","1/1/2020","6/10/2026")</f>
        <v/>
      </c>
      <c r="NM3">
        <f>BDH("BBG00RC1WZ47 Equity","PX_LAST,PX_VOLUME","1/1/2020","6/10/2026")</f>
        <v/>
      </c>
      <c r="NQ3">
        <f>BDH("BBG00RC1X070 Equity","PX_LAST,PX_VOLUME","1/1/2020","6/10/2026")</f>
        <v/>
      </c>
      <c r="NU3">
        <f>BDH("BBG00RC1X1C2 Equity","PX_LAST,PX_VOLUME","1/1/2020","6/10/2026")</f>
        <v/>
      </c>
      <c r="NY3">
        <f>BDH("BBG00RC1X2G6 Equity","PX_LAST,PX_VOLUME","1/1/2020","6/10/2026")</f>
        <v/>
      </c>
      <c r="OC3">
        <f>BDH("BBG00RC1X3L8 Equity","PX_LAST,PX_VOLUME","1/1/2020","6/10/2026")</f>
        <v/>
      </c>
      <c r="OG3">
        <f>BDH("BBG00RC1X4P2 Equity","PX_LAST,PX_VOLUME","1/1/2020","6/10/2026")</f>
        <v/>
      </c>
      <c r="OK3">
        <f>BDH("BBG00RC1X5S6 Equity","PX_LAST,PX_VOLUME","1/1/2020","6/10/2026")</f>
        <v/>
      </c>
      <c r="OO3">
        <f>BDH("BBG00RC1X6Y7 Equity","PX_LAST,PX_VOLUME","1/1/2020","6/10/2026")</f>
        <v/>
      </c>
      <c r="OS3">
        <f>BDH("BBG00RC1X819 Equity","PX_LAST,PX_VOLUME","1/1/2020","6/10/2026")</f>
        <v/>
      </c>
      <c r="OW3">
        <f>BDH("BBG00RC1X944 Equity","PX_LAST,PX_VOLUME","1/1/2020","6/10/2026")</f>
        <v/>
      </c>
      <c r="PA3">
        <f>BDH("BBG00RC1XB85 Equity","PX_LAST,PX_VOLUME","1/1/2020","6/10/2026")</f>
        <v/>
      </c>
      <c r="PE3">
        <f>BDH("BBG00RC1XCC8 Equity","PX_LAST,PX_VOLUME","1/1/2020","6/10/2026")</f>
        <v/>
      </c>
      <c r="PI3">
        <f>BDH("BBG00RC1XDG2 Equity","PX_LAST,PX_VOLUME","1/1/2020","6/10/2026")</f>
        <v/>
      </c>
      <c r="PM3">
        <f>BDH("BBG00RC1XFL1 Equity","PX_LAST,PX_VOLUME","1/1/2020","6/10/2026")</f>
        <v/>
      </c>
      <c r="PQ3">
        <f>BDH("BBG00RC1Y836 Equity","PX_LAST,PX_VOLUME","1/1/2020","6/10/2026")</f>
        <v/>
      </c>
      <c r="PU3">
        <f>BDH("BBG00RC1Y961 Equity","PX_LAST,PX_VOLUME","1/1/2020","6/10/2026")</f>
        <v/>
      </c>
      <c r="PY3">
        <f>BDH("BBG00RC1YB93 Equity","PX_LAST,PX_VOLUME","1/1/2020","6/10/2026")</f>
        <v/>
      </c>
      <c r="QC3">
        <f>BDH("BBG00RC1YCF4 Equity","PX_LAST,PX_VOLUME","1/1/2020","6/10/2026")</f>
        <v/>
      </c>
      <c r="QG3">
        <f>BDH("BBG00RC1YDJ8 Equity","PX_LAST,PX_VOLUME","1/1/2020","6/10/2026")</f>
        <v/>
      </c>
      <c r="QK3">
        <f>BDH("BBG00RC1YFM9 Equity","PX_LAST,PX_VOLUME","1/1/2020","6/10/2026")</f>
        <v/>
      </c>
      <c r="QO3">
        <f>BDH("BBG00RC1YGR2 Equity","PX_LAST,PX_VOLUME","1/1/2020","6/10/2026")</f>
        <v/>
      </c>
      <c r="QS3">
        <f>BDH("BBG00RC1YHV5 Equity","PX_LAST,PX_VOLUME","1/1/2020","6/10/2026")</f>
        <v/>
      </c>
      <c r="QW3">
        <f>BDH("BBG00RC1YJY8 Equity","PX_LAST,PX_VOLUME","1/1/2020","6/10/2026")</f>
        <v/>
      </c>
      <c r="RA3">
        <f>BDH("BBG00RC1YL28 Equity","PX_LAST,PX_VOLUME","1/1/2020","6/10/2026")</f>
        <v/>
      </c>
      <c r="RE3">
        <f>BDH("BBG00RC1YM53 Equity","PX_LAST,PX_VOLUME","1/1/2020","6/10/2026")</f>
        <v/>
      </c>
      <c r="RI3">
        <f>BDH("BBG00RC1YN88 Equity","PX_LAST,PX_VOLUME","1/1/2020","6/10/2026")</f>
        <v/>
      </c>
      <c r="RM3">
        <f>BDH("BBG00RC1YPD7 Equity","PX_LAST,PX_VOLUME","1/1/2020","6/10/2026")</f>
        <v/>
      </c>
      <c r="RQ3">
        <f>BDH("BBG00RC1YQH1 Equity","PX_LAST,PX_VOLUME","1/1/2020","6/10/2026")</f>
        <v/>
      </c>
      <c r="RU3">
        <f>BDH("BBG00RC1YRL4 Equity","PX_LAST,PX_VOLUME","1/1/2020","6/10/2026")</f>
        <v/>
      </c>
      <c r="RY3">
        <f>BDH("BBG00RC1YSQ7 Equity","PX_LAST,PX_VOLUME","1/1/2020","6/10/2026")</f>
        <v/>
      </c>
      <c r="SC3">
        <f>BDH("BBG00RC1YTT2 Equity","PX_LAST,PX_VOLUME","1/1/2020","6/10/2026")</f>
        <v/>
      </c>
      <c r="SG3">
        <f>BDH("BBG00RC1YVX2 Equity","PX_LAST,PX_VOLUME","1/1/2020","6/10/2026")</f>
        <v/>
      </c>
      <c r="SK3">
        <f>BDH("BBG00RC1YX13 Equity","PX_LAST,PX_VOLUME","1/1/2020","6/10/2026")</f>
        <v/>
      </c>
      <c r="SO3">
        <f>BDH("BBG00RC1YY48 Equity","PX_LAST,PX_VOLUME","1/1/2020","6/10/2026")</f>
        <v/>
      </c>
      <c r="SS3">
        <f>BDH("BBG00RC1YZ72 Equity","PX_LAST,PX_VOLUME","1/1/2020","6/10/2026")</f>
        <v/>
      </c>
      <c r="SW3">
        <f>BDH("BBG00RC1Z0C2 Equity","PX_LAST,PX_VOLUME","1/1/2020","6/10/2026")</f>
        <v/>
      </c>
      <c r="TA3">
        <f>BDH("BBG00RC1Z1G6 Equity","PX_LAST,PX_VOLUME","1/1/2020","6/10/2026")</f>
        <v/>
      </c>
      <c r="TE3">
        <f>BDH("BBG00RC1Z2K9 Equity","PX_LAST,PX_VOLUME","1/1/2020","6/10/2026")</f>
        <v/>
      </c>
      <c r="TI3">
        <f>BDH("BBG00RC1Z3P2 Equity","PX_LAST,PX_VOLUME","1/1/2020","6/10/2026")</f>
        <v/>
      </c>
      <c r="TM3">
        <f>BDH("BBG00RC1Z4S7 Equity","PX_LAST,PX_VOLUME","1/1/2020","6/10/2026")</f>
        <v/>
      </c>
      <c r="TQ3">
        <f>BDH("BBG00RC1Z5W9 Equity","PX_LAST,PX_VOLUME","1/1/2020","6/10/2026")</f>
        <v/>
      </c>
      <c r="TU3">
        <f>BDH("BBG00RC1Z700 Equity","PX_LAST,PX_VOLUME","1/1/2020","6/10/2026")</f>
        <v/>
      </c>
      <c r="TY3">
        <f>BDH("BBG00RC1Z835 Equity","PX_LAST,PX_VOLUME","1/1/2020","6/10/2026")</f>
        <v/>
      </c>
      <c r="UC3">
        <f>BDH("BBG00RC1Z960 Equity","PX_LAST,PX_VOLUME","1/1/2020","6/10/2026")</f>
        <v/>
      </c>
      <c r="UG3">
        <f>BDH("BBG00RDFMSL3 Equity","PX_LAST,PX_VOLUME","1/1/2020","6/10/2026")</f>
        <v/>
      </c>
      <c r="UK3">
        <f>BDH("BBG00RMPFZ24 Equity","PX_LAST,PX_VOLUME","1/1/2020","6/10/2026")</f>
        <v/>
      </c>
      <c r="UO3">
        <f>BDH("BBG00RDFMTP7 Equity","PX_LAST,PX_VOLUME","1/1/2020","6/10/2026")</f>
        <v/>
      </c>
      <c r="US3">
        <f>BDH("BBG00RMPG057 Equity","PX_LAST,PX_VOLUME","1/1/2020","6/10/2026")</f>
        <v/>
      </c>
      <c r="UW3">
        <f>BDH("BBG00RDFMVS9 Equity","PX_LAST,PX_VOLUME","1/1/2020","6/10/2026")</f>
        <v/>
      </c>
      <c r="VA3">
        <f>BDH("BBG00RMPG191 Equity","PX_LAST,PX_VOLUME","1/1/2020","6/10/2026")</f>
        <v/>
      </c>
      <c r="VE3">
        <f>BDH("BBG00RDFMWX1 Equity","PX_LAST,PX_VOLUME","1/1/2020","6/10/2026")</f>
        <v/>
      </c>
      <c r="VI3">
        <f>BDH("BBG00RMPG2D4 Equity","PX_LAST,PX_VOLUME","1/1/2020","6/10/2026")</f>
        <v/>
      </c>
      <c r="VM3">
        <f>BDH("BBG00RDFMY03 Equity","PX_LAST,PX_VOLUME","1/1/2020","6/10/2026")</f>
        <v/>
      </c>
      <c r="VQ3">
        <f>BDH("BBG00RMPG3H8 Equity","PX_LAST,PX_VOLUME","1/1/2020","6/10/2026")</f>
        <v/>
      </c>
      <c r="VU3">
        <f>BDH("BBG00RDFMZ37 Equity","PX_LAST,PX_VOLUME","1/1/2020","6/10/2026")</f>
        <v/>
      </c>
      <c r="VY3">
        <f>BDH("BBG00TLY3PQ1 Equity","PX_LAST,PX_VOLUME","1/1/2020","6/10/2026")</f>
        <v/>
      </c>
      <c r="WC3">
        <f>BDH("BBG00RDFN079 Equity","PX_LAST,PX_VOLUME","1/1/2020","6/10/2026")</f>
        <v/>
      </c>
      <c r="WG3">
        <f>BDH("BBG00TLY3QT6 Equity","PX_LAST,PX_VOLUME","1/1/2020","6/10/2026")</f>
        <v/>
      </c>
      <c r="WK3">
        <f>BDH("BBG00RDFN1B2 Equity","PX_LAST,PX_VOLUME","1/1/2020","6/10/2026")</f>
        <v/>
      </c>
      <c r="WO3">
        <f>BDH("BBG00TLY3RX9 Equity","PX_LAST,PX_VOLUME","1/1/2020","6/10/2026")</f>
        <v/>
      </c>
      <c r="WS3">
        <f>BDH("BBG00RDFN2G5 Equity","PX_LAST,PX_VOLUME","1/1/2020","6/10/2026")</f>
        <v/>
      </c>
      <c r="WW3">
        <f>BDH("BBG00TLY3T10 Equity","PX_LAST,PX_VOLUME","1/1/2020","6/10/2026")</f>
        <v/>
      </c>
      <c r="XA3">
        <f>BDH("BBG00RDFN3K8 Equity","PX_LAST,PX_VOLUME","1/1/2020","6/10/2026")</f>
        <v/>
      </c>
      <c r="XE3">
        <f>BDH("BBG00TLY3V42 Equity","PX_LAST,PX_VOLUME","1/1/2020","6/10/2026")</f>
        <v/>
      </c>
      <c r="XI3">
        <f>BDH("BBG00RDFN4N3 Equity","PX_LAST,PX_VOLUME","1/1/2020","6/10/2026")</f>
        <v/>
      </c>
      <c r="XM3">
        <f>BDH("BBG00TLY3W77 Equity","PX_LAST,PX_VOLUME","1/1/2020","6/10/2026")</f>
        <v/>
      </c>
      <c r="XQ3">
        <f>BDH("BBG00RDFN5S5 Equity","PX_LAST,PX_VOLUME","1/1/2020","6/10/2026")</f>
        <v/>
      </c>
      <c r="XU3">
        <f>BDH("BBG00TLY3XC9 Equity","PX_LAST,PX_VOLUME","1/1/2020","6/10/2026")</f>
        <v/>
      </c>
      <c r="XY3">
        <f>BDH("BBG00RDFN6W8 Equity","PX_LAST,PX_VOLUME","1/1/2020","6/10/2026")</f>
        <v/>
      </c>
      <c r="YC3">
        <f>BDH("BBG00TLY3YG3 Equity","PX_LAST,PX_VOLUME","1/1/2020","6/10/2026")</f>
        <v/>
      </c>
      <c r="YG3">
        <f>BDH("BBG00RDFN7Z3 Equity","PX_LAST,PX_VOLUME","1/1/2020","6/10/2026")</f>
        <v/>
      </c>
      <c r="YK3">
        <f>BDH("BBG00TLY3ZK5 Equity","PX_LAST,PX_VOLUME","1/1/2020","6/10/2026")</f>
        <v/>
      </c>
      <c r="YO3">
        <f>BDH("BBG00RDFN934 Equity","PX_LAST,PX_VOLUME","1/1/2020","6/10/2026")</f>
        <v/>
      </c>
      <c r="YS3">
        <f>BDH("BBG00TLY40P6 Equity","PX_LAST,PX_VOLUME","1/1/2020","6/10/2026")</f>
        <v/>
      </c>
      <c r="YW3">
        <f>BDH("BBG00RDFNB66 Equity","PX_LAST,PX_VOLUME","1/1/2020","6/10/2026")</f>
        <v/>
      </c>
      <c r="ZA3">
        <f>BDH("BBG00TLY41S1 Equity","PX_LAST,PX_VOLUME","1/1/2020","6/10/2026")</f>
        <v/>
      </c>
      <c r="ZE3">
        <f>BDH("BBG00RDFNC91 Equity","PX_LAST,PX_VOLUME","1/1/2020","6/10/2026")</f>
        <v/>
      </c>
      <c r="ZI3">
        <f>BDH("BBG00TLY42W4 Equity","PX_LAST,PX_VOLUME","1/1/2020","6/10/2026")</f>
        <v/>
      </c>
      <c r="ZM3">
        <f>BDH("BBG00RDFNDF2 Equity","PX_LAST,PX_VOLUME","1/1/2020","6/10/2026")</f>
        <v/>
      </c>
      <c r="ZQ3">
        <f>BDH("BBG00TLY4405 Equity","PX_LAST,PX_VOLUME","1/1/2020","6/10/2026")</f>
        <v/>
      </c>
      <c r="ZU3">
        <f>BDH("BBG00RDFNFJ3 Equity","PX_LAST,PX_VOLUME","1/1/2020","6/10/2026")</f>
        <v/>
      </c>
      <c r="ZY3">
        <f>BDH("BBG00TLY4539 Equity","PX_LAST,PX_VOLUME","1/1/2020","6/10/2026")</f>
        <v/>
      </c>
      <c r="AAC3">
        <f>BDH("BBG00RDFNGM7 Equity","PX_LAST,PX_VOLUME","1/1/2020","6/10/2026")</f>
        <v/>
      </c>
      <c r="AAG3">
        <f>BDH("BBG00TLY4664 Equity","PX_LAST,PX_VOLUME","1/1/2020","6/10/2026")</f>
        <v/>
      </c>
      <c r="AAK3">
        <f>BDH("BBG00RDFNHR0 Equity","PX_LAST,PX_VOLUME","1/1/2020","6/10/2026")</f>
        <v/>
      </c>
      <c r="AAO3">
        <f>BDH("BBG00TLY47B6 Equity","PX_LAST,PX_VOLUME","1/1/2020","6/10/2026")</f>
        <v/>
      </c>
      <c r="AAS3">
        <f>BDH("BBG00RDFNJV1 Equity","PX_LAST,PX_VOLUME","1/1/2020","6/10/2026")</f>
        <v/>
      </c>
      <c r="AAW3">
        <f>BDH("BBG00TLY48F0 Equity","PX_LAST,PX_VOLUME","1/1/2020","6/10/2026")</f>
        <v/>
      </c>
      <c r="ABA3">
        <f>BDH("BBG00RDFNKY5 Equity","PX_LAST,PX_VOLUME","1/1/2020","6/10/2026")</f>
        <v/>
      </c>
      <c r="ABE3">
        <f>BDH("BBG00SMCQSN2 Equity","PX_LAST,PX_VOLUME","1/1/2020","6/10/2026")</f>
        <v/>
      </c>
      <c r="ABI3">
        <f>BDH("BBG00SMCQTR6 Equity","PX_LAST,PX_VOLUME","1/1/2020","6/10/2026")</f>
        <v/>
      </c>
      <c r="ABM3">
        <f>BDH("BBG00SMCQVV6 Equity","PX_LAST,PX_VOLUME","1/1/2020","6/10/2026")</f>
        <v/>
      </c>
      <c r="ABQ3">
        <f>BDH("BBG00SMCQWZ0 Equity","PX_LAST,PX_VOLUME","1/1/2020","6/10/2026")</f>
        <v/>
      </c>
      <c r="ABU3">
        <f>BDH("BBG00SMCQY22 Equity","PX_LAST,PX_VOLUME","1/1/2020","6/10/2026")</f>
        <v/>
      </c>
      <c r="ABY3">
        <f>BDH("BBG00SMCQZ65 Equity","PX_LAST,PX_VOLUME","1/1/2020","6/10/2026")</f>
        <v/>
      </c>
      <c r="ACC3">
        <f>BDH("BBG00SMCR098 Equity","PX_LAST,PX_VOLUME","1/1/2020","6/10/2026")</f>
        <v/>
      </c>
      <c r="ACG3">
        <f>BDH("BBG00SMCR1D1 Equity","PX_LAST,PX_VOLUME","1/1/2020","6/10/2026")</f>
        <v/>
      </c>
      <c r="ACK3">
        <f>BDH("BBG00SMCR2J3 Equity","PX_LAST,PX_VOLUME","1/1/2020","6/10/2026")</f>
        <v/>
      </c>
      <c r="ACO3">
        <f>BDH("BBG00SMCR3M7 Equity","PX_LAST,PX_VOLUME","1/1/2020","6/10/2026")</f>
        <v/>
      </c>
      <c r="ACS3">
        <f>BDH("BBG00SMCR4Q1 Equity","PX_LAST,PX_VOLUME","1/1/2020","6/10/2026")</f>
        <v/>
      </c>
      <c r="ACW3">
        <f>BDH("BBG00SMCR5V2 Equity","PX_LAST,PX_VOLUME","1/1/2020","6/10/2026")</f>
        <v/>
      </c>
      <c r="ADA3">
        <f>BDH("BBG00SMCR6Y7 Equity","PX_LAST,PX_VOLUME","1/1/2020","6/10/2026")</f>
        <v/>
      </c>
      <c r="ADE3">
        <f>BDH("BBG00SMCR819 Equity","PX_LAST,PX_VOLUME","1/1/2020","6/10/2026")</f>
        <v/>
      </c>
      <c r="ADI3">
        <f>BDH("BBG00SMCR953 Equity","PX_LAST,PX_VOLUME","1/1/2020","6/10/2026")</f>
        <v/>
      </c>
      <c r="ADM3">
        <f>BDH("BBG00SMCRB85 Equity","PX_LAST,PX_VOLUME","1/1/2020","6/10/2026")</f>
        <v/>
      </c>
      <c r="ADQ3">
        <f>BDH("BBG00SK0GFW9 Equity","PX_LAST,PX_VOLUME","1/1/2020","6/10/2026")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BBG00SK0GH00 Equity (TSLA US 11/20/20 P77)</t>
        </is>
      </c>
      <c r="E1" t="inlineStr">
        <is>
          <t>BBG00SK0GJ33 Equity (TSLA US 11/20/20 P78)</t>
        </is>
      </c>
      <c r="I1" t="inlineStr">
        <is>
          <t>BBG00SK0GK67 Equity (TSLA US 11/20/20 P79)</t>
        </is>
      </c>
      <c r="M1" t="inlineStr">
        <is>
          <t>BBG00SK0GLB9 Equity (TSLA US 11/20/20 P80)</t>
        </is>
      </c>
      <c r="Q1" t="inlineStr">
        <is>
          <t>BBG00SK0GMF3 Equity (TSLA US 11/20/20 P81)</t>
        </is>
      </c>
      <c r="U1" t="inlineStr">
        <is>
          <t>BBG00SK0GNJ7 Equity (TSLA US 11/20/20 P82)</t>
        </is>
      </c>
      <c r="Y1" t="inlineStr">
        <is>
          <t>BBG00SK0GPN7 Equity (TSLA US 11/20/20 P83)</t>
        </is>
      </c>
      <c r="AC1" t="inlineStr">
        <is>
          <t>BBG00SK0GQR1 Equity (TSLA US 11/20/20 P84)</t>
        </is>
      </c>
      <c r="AG1" t="inlineStr">
        <is>
          <t>BBG00SK0GRV4 Equity (TSLA US 11/20/20 P85)</t>
        </is>
      </c>
      <c r="AK1" t="inlineStr">
        <is>
          <t>BBG00SK0GSZ8 Equity (TSLA US 11/20/20 P86)</t>
        </is>
      </c>
      <c r="AO1" t="inlineStr">
        <is>
          <t>BBG00SK0GV27 Equity (TSLA US 11/20/20 P87)</t>
        </is>
      </c>
      <c r="AS1" t="inlineStr">
        <is>
          <t>BBG00SK0GW52 Equity (TSLA US 11/20/20 P88)</t>
        </is>
      </c>
      <c r="AW1" t="inlineStr">
        <is>
          <t>BBG00SK0GX96 Equity (TSLA US 11/20/20 P89)</t>
        </is>
      </c>
      <c r="BA1" t="inlineStr">
        <is>
          <t>BBG00SK0GYD9 Equity (TSLA US 11/20/20 P90)</t>
        </is>
      </c>
      <c r="BE1" t="inlineStr">
        <is>
          <t>BBG00SK0GZH2 Equity (TSLA US 11/20/20 P91)</t>
        </is>
      </c>
      <c r="BI1" t="inlineStr">
        <is>
          <t>BBG00SK0H0M2 Equity (TSLA US 11/20/20 P92)</t>
        </is>
      </c>
      <c r="BM1" t="inlineStr">
        <is>
          <t>BBG00SK0H1Q6 Equity (TSLA US 11/20/20 P93)</t>
        </is>
      </c>
      <c r="BQ1" t="inlineStr">
        <is>
          <t>BBG00SK0H2T1 Equity (TSLA US 11/20/20 P94)</t>
        </is>
      </c>
      <c r="BU1" t="inlineStr">
        <is>
          <t>BBG00SK0H3Y3 Equity (TSLA US 11/20/20 P95)</t>
        </is>
      </c>
      <c r="BY1" t="inlineStr">
        <is>
          <t>BBG00SK0H514 Equity (TSLA US 11/20/20 P96)</t>
        </is>
      </c>
      <c r="CC1" t="inlineStr">
        <is>
          <t>BBG00SK0H649 Equity (TSLA US 11/20/20 P97)</t>
        </is>
      </c>
      <c r="CG1" t="inlineStr">
        <is>
          <t>BBG00S5CK4M1 Equity (TSLA US 11/20/20 P120)</t>
        </is>
      </c>
      <c r="CK1" t="inlineStr">
        <is>
          <t>BBG00T3V2KS7 Equity (TSLA US 11/20/20 P121)</t>
        </is>
      </c>
      <c r="CO1" t="inlineStr">
        <is>
          <t>BBG00T3V2LW0 Equity (TSLA US 11/20/20 P122)</t>
        </is>
      </c>
      <c r="CS1" t="inlineStr">
        <is>
          <t>BBG00T3V2N01 Equity (TSLA US 11/20/20 P123)</t>
        </is>
      </c>
      <c r="CW1" t="inlineStr">
        <is>
          <t>BBG00T3V2P33 Equity (TSLA US 11/20/20 P124)</t>
        </is>
      </c>
      <c r="DA1" t="inlineStr">
        <is>
          <t>BBG00T3V2Q68 Equity (TSLA US 11/20/20 P125)</t>
        </is>
      </c>
      <c r="DE1" t="inlineStr">
        <is>
          <t>BBG00T3V2RB0 Equity (TSLA US 11/20/20 P126)</t>
        </is>
      </c>
      <c r="DI1" t="inlineStr">
        <is>
          <t>BBG00T3V2SF4 Equity (TSLA US 11/20/20 P127)</t>
        </is>
      </c>
      <c r="DM1" t="inlineStr">
        <is>
          <t>BBG00T3V2TJ8 Equity (TSLA US 11/20/20 P128)</t>
        </is>
      </c>
      <c r="DQ1" t="inlineStr">
        <is>
          <t>BBG00T3V2VN8 Equity (TSLA US 11/20/20 P129)</t>
        </is>
      </c>
      <c r="DU1" t="inlineStr">
        <is>
          <t>BBG00S5CK5R3 Equity (TSLA US 11/20/20 P130)</t>
        </is>
      </c>
      <c r="DY1" t="inlineStr">
        <is>
          <t>BBG00T3V2WR2 Equity (TSLA US 11/20/20 P131)</t>
        </is>
      </c>
      <c r="EC1" t="inlineStr">
        <is>
          <t>BBG00T3V2XV5 Equity (TSLA US 11/20/20 P132)</t>
        </is>
      </c>
      <c r="EG1" t="inlineStr">
        <is>
          <t>BBG00T3V2YZ9 Equity (TSLA US 11/20/20 P133)</t>
        </is>
      </c>
      <c r="EK1" t="inlineStr">
        <is>
          <t>BBG00T3V3028 Equity (TSLA US 11/20/20 P134)</t>
        </is>
      </c>
      <c r="EO1" t="inlineStr">
        <is>
          <t>BBG00T3V3153 Equity (TSLA US 11/20/20 P135)</t>
        </is>
      </c>
      <c r="ES1" t="inlineStr">
        <is>
          <t>BBG00T3V3297 Equity (TSLA US 11/20/20 P136)</t>
        </is>
      </c>
      <c r="EW1" t="inlineStr">
        <is>
          <t>BBG00T3V33D0 Equity (TSLA US 11/20/20 P137)</t>
        </is>
      </c>
      <c r="FA1" t="inlineStr">
        <is>
          <t>BBG00T3V34H4 Equity (TSLA US 11/20/20 P138)</t>
        </is>
      </c>
      <c r="FE1" t="inlineStr">
        <is>
          <t>BBG00T3V35M5 Equity (TSLA US 11/20/20 P139)</t>
        </is>
      </c>
      <c r="FI1" t="inlineStr">
        <is>
          <t>BBG00S5CK6V6 Equity (TSLA US 11/20/20 P140)</t>
        </is>
      </c>
      <c r="FM1" t="inlineStr">
        <is>
          <t>BBG00TJD2P54 Equity (TSLA US 11/20/20 P141)</t>
        </is>
      </c>
      <c r="FQ1" t="inlineStr">
        <is>
          <t>BBG00TJD2Q89 Equity (TSLA US 11/20/20 P142)</t>
        </is>
      </c>
      <c r="FU1" t="inlineStr">
        <is>
          <t>BBG00TJD2RD1 Equity (TSLA US 11/20/20 P143)</t>
        </is>
      </c>
      <c r="FY1" t="inlineStr">
        <is>
          <t>BBG00TJD2SH5 Equity (TSLA US 11/20/20 P144)</t>
        </is>
      </c>
      <c r="GC1" t="inlineStr">
        <is>
          <t>BBG00TJD2TL8 Equity (TSLA US 11/20/20 P145)</t>
        </is>
      </c>
      <c r="GG1" t="inlineStr">
        <is>
          <t>BBG00TJD2VQ8 Equity (TSLA US 11/20/20 P146)</t>
        </is>
      </c>
      <c r="GK1" t="inlineStr">
        <is>
          <t>BBG00TJD2WT3 Equity (TSLA US 11/20/20 P147)</t>
        </is>
      </c>
      <c r="GO1" t="inlineStr">
        <is>
          <t>BBG00TJD2XX6 Equity (TSLA US 11/20/20 P148)</t>
        </is>
      </c>
      <c r="GS1" t="inlineStr">
        <is>
          <t>BBG00TJD2Z16 Equity (TSLA US 11/20/20 P149)</t>
        </is>
      </c>
      <c r="GW1" t="inlineStr">
        <is>
          <t>BBG00S5CK7Y1 Equity (TSLA US 11/20/20 P150)</t>
        </is>
      </c>
      <c r="HA1" t="inlineStr">
        <is>
          <t>BBG00TJD3049 Equity (TSLA US 11/20/20 P151)</t>
        </is>
      </c>
      <c r="HE1" t="inlineStr">
        <is>
          <t>BBG00TJD3174 Equity (TSLA US 11/20/20 P152)</t>
        </is>
      </c>
      <c r="HI1" t="inlineStr">
        <is>
          <t>BBG00TJD32C6 Equity (TSLA US 11/20/20 P153)</t>
        </is>
      </c>
      <c r="HM1" t="inlineStr">
        <is>
          <t>BBG00TJD33G0 Equity (TSLA US 11/20/20 P154)</t>
        </is>
      </c>
      <c r="HQ1" t="inlineStr">
        <is>
          <t>BBG00TJD34K3 Equity (TSLA US 11/20/20 P155)</t>
        </is>
      </c>
      <c r="HU1" t="inlineStr">
        <is>
          <t>BBG00TJD35P5 Equity (TSLA US 11/20/20 P156)</t>
        </is>
      </c>
      <c r="HY1" t="inlineStr">
        <is>
          <t>BBG00TJD36S0 Equity (TSLA US 11/20/20 P157)</t>
        </is>
      </c>
      <c r="IC1" t="inlineStr">
        <is>
          <t>BBG00TJD37W3 Equity (TSLA US 11/20/20 P158)</t>
        </is>
      </c>
      <c r="IG1" t="inlineStr">
        <is>
          <t>BBG00TJD3904 Equity (TSLA US 11/20/20 P159)</t>
        </is>
      </c>
      <c r="IK1" t="inlineStr">
        <is>
          <t>BBG00S5CK922 Equity (TSLA US 11/20/20 P160)</t>
        </is>
      </c>
      <c r="IO1" t="inlineStr">
        <is>
          <t>BBG00TJD3B36 Equity (TSLA US 11/20/20 P161)</t>
        </is>
      </c>
      <c r="IS1" t="inlineStr">
        <is>
          <t>BBG00TJD3C61 Equity (TSLA US 11/20/20 P162)</t>
        </is>
      </c>
      <c r="IW1" t="inlineStr">
        <is>
          <t>BBG00TJD3DB3 Equity (TSLA US 11/20/20 P163)</t>
        </is>
      </c>
      <c r="JA1" t="inlineStr">
        <is>
          <t>BBG00TJD3FF4 Equity (TSLA US 11/20/20 P164)</t>
        </is>
      </c>
      <c r="JE1" t="inlineStr">
        <is>
          <t>BBG00TJD3GJ8 Equity (TSLA US 11/20/20 P165)</t>
        </is>
      </c>
      <c r="JI1" t="inlineStr">
        <is>
          <t>BBG00TJD3HN1 Equity (TSLA US 11/20/20 P166)</t>
        </is>
      </c>
      <c r="JM1" t="inlineStr">
        <is>
          <t>BBG00TJD3JR3 Equity (TSLA US 11/20/20 P167)</t>
        </is>
      </c>
      <c r="JQ1" t="inlineStr">
        <is>
          <t>BBG00TJD3KV5 Equity (TSLA US 11/20/20 P168)</t>
        </is>
      </c>
      <c r="JU1" t="inlineStr">
        <is>
          <t>BBG00TJD3LZ9 Equity (TSLA US 11/20/20 P169)</t>
        </is>
      </c>
      <c r="JY1" t="inlineStr">
        <is>
          <t>BBG00S5CKB54 Equity (TSLA US 11/20/20 P170)</t>
        </is>
      </c>
      <c r="KC1" t="inlineStr">
        <is>
          <t>BBG00TLY4DV1 Equity (TSLA US 11/20/20 P171)</t>
        </is>
      </c>
      <c r="KG1" t="inlineStr">
        <is>
          <t>BBG00TJD3N21 Equity (TSLA US 11/20/20 P172)</t>
        </is>
      </c>
      <c r="KK1" t="inlineStr">
        <is>
          <t>BBG00TLY4FZ2 Equity (TSLA US 11/20/20 P173)</t>
        </is>
      </c>
      <c r="KO1" t="inlineStr">
        <is>
          <t>BBG00TJD3P53 Equity (TSLA US 11/20/20 P174)</t>
        </is>
      </c>
      <c r="KS1" t="inlineStr">
        <is>
          <t>BBG00TLY4H24 Equity (TSLA US 11/20/20 P175)</t>
        </is>
      </c>
      <c r="KW1" t="inlineStr">
        <is>
          <t>BBG00TJD3Q97 Equity (TSLA US 11/20/20 P176)</t>
        </is>
      </c>
      <c r="LA1" t="inlineStr">
        <is>
          <t>BBG00TLY4J57 Equity (TSLA US 11/20/20 P177)</t>
        </is>
      </c>
      <c r="LE1" t="inlineStr">
        <is>
          <t>BBG00TJD3RD0 Equity (TSLA US 11/20/20 P178)</t>
        </is>
      </c>
      <c r="LI1" t="inlineStr">
        <is>
          <t>BBG00TLY4K90 Equity (TSLA US 11/20/20 P179)</t>
        </is>
      </c>
      <c r="LM1" t="inlineStr">
        <is>
          <t>BBG00S5CKC89 Equity (TSLA US 11/20/20 P180)</t>
        </is>
      </c>
      <c r="LQ1" t="inlineStr">
        <is>
          <t>BBG00TLY4LD3 Equity (TSLA US 11/20/20 P181)</t>
        </is>
      </c>
      <c r="LU1" t="inlineStr">
        <is>
          <t>BBG00TJD3SJ2 Equity (TSLA US 11/20/20 P182)</t>
        </is>
      </c>
      <c r="LY1" t="inlineStr">
        <is>
          <t>BBG00TLY4MJ5 Equity (TSLA US 11/20/20 P183)</t>
        </is>
      </c>
      <c r="MC1" t="inlineStr">
        <is>
          <t>BBG00TJD3TM6 Equity (TSLA US 11/20/20 P184)</t>
        </is>
      </c>
      <c r="MG1" t="inlineStr">
        <is>
          <t>BBG00TLY4NM9 Equity (TSLA US 11/20/20 P185)</t>
        </is>
      </c>
      <c r="MK1" t="inlineStr">
        <is>
          <t>BBG00TJD3VQ7 Equity (TSLA US 11/20/20 P186)</t>
        </is>
      </c>
      <c r="MO1" t="inlineStr">
        <is>
          <t>BBG00TLY4PQ0 Equity (TSLA US 11/20/20 P187)</t>
        </is>
      </c>
      <c r="MS1" t="inlineStr">
        <is>
          <t>BBG00TJD3WV9 Equity (TSLA US 11/20/20 P188)</t>
        </is>
      </c>
      <c r="MW1" t="inlineStr">
        <is>
          <t>BBG00TLY4QV2 Equity (TSLA US 11/20/20 P189)</t>
        </is>
      </c>
      <c r="NA1" t="inlineStr">
        <is>
          <t>BBG00S5CKDD1 Equity (TSLA US 11/20/20 P190)</t>
        </is>
      </c>
      <c r="NE1" t="inlineStr">
        <is>
          <t>BBG00TLY4RY7 Equity (TSLA US 11/20/20 P191)</t>
        </is>
      </c>
      <c r="NI1" t="inlineStr">
        <is>
          <t>BBG00TJD3XY4 Equity (TSLA US 11/20/20 P192)</t>
        </is>
      </c>
      <c r="NM1" t="inlineStr">
        <is>
          <t>BBG00TLY4T19 Equity (TSLA US 11/20/20 P193)</t>
        </is>
      </c>
      <c r="NQ1" t="inlineStr">
        <is>
          <t>BBG00TJD3Z15 Equity (TSLA US 11/20/20 P194)</t>
        </is>
      </c>
      <c r="NU1" t="inlineStr">
        <is>
          <t>BBG00SMCRHT9 Equity (TSLA US 12/18/20 P60)</t>
        </is>
      </c>
      <c r="NY1" t="inlineStr">
        <is>
          <t>BBG00SMCRJX0 Equity (TSLA US 12/18/20 P61)</t>
        </is>
      </c>
      <c r="OC1" t="inlineStr">
        <is>
          <t>BBG00SMCRL01 Equity (TSLA US 12/18/20 P62)</t>
        </is>
      </c>
      <c r="OG1" t="inlineStr">
        <is>
          <t>BBG00SMCRM45 Equity (TSLA US 12/18/20 P63)</t>
        </is>
      </c>
      <c r="OK1" t="inlineStr">
        <is>
          <t>BBG00SMCRN70 Equity (TSLA US 12/18/20 P64)</t>
        </is>
      </c>
      <c r="OO1" t="inlineStr">
        <is>
          <t>BBG00SMCRPB0 Equity (TSLA US 12/18/20 P65)</t>
        </is>
      </c>
      <c r="OS1" t="inlineStr">
        <is>
          <t>BBG00SMCRQG3 Equity (TSLA US 12/18/20 P66)</t>
        </is>
      </c>
      <c r="OW1" t="inlineStr">
        <is>
          <t>BBG00SMCRRK6 Equity (TSLA US 12/18/20 P67)</t>
        </is>
      </c>
      <c r="PA1" t="inlineStr">
        <is>
          <t>BBG00SMCRSN1 Equity (TSLA US 12/18/20 P68)</t>
        </is>
      </c>
      <c r="PE1" t="inlineStr">
        <is>
          <t>BBG00SMCRTS4 Equity (TSLA US 12/18/20 P69)</t>
        </is>
      </c>
      <c r="PI1" t="inlineStr">
        <is>
          <t>BBG00SMCRVW4 Equity (TSLA US 12/18/20 P70)</t>
        </is>
      </c>
      <c r="PM1" t="inlineStr">
        <is>
          <t>BBG00SMCRWZ9 Equity (TSLA US 12/18/20 P71)</t>
        </is>
      </c>
      <c r="PQ1" t="inlineStr">
        <is>
          <t>BBG00SMCRY30 Equity (TSLA US 12/18/20 P72)</t>
        </is>
      </c>
      <c r="PU1" t="inlineStr">
        <is>
          <t>BBG00SMCRZ64 Equity (TSLA US 12/18/20 P73)</t>
        </is>
      </c>
      <c r="PY1" t="inlineStr">
        <is>
          <t>BBG00SMCS097 Equity (TSLA US 12/18/20 P74)</t>
        </is>
      </c>
      <c r="QC1" t="inlineStr">
        <is>
          <t>BBG00SMCS1F8 Equity (TSLA US 12/18/20 P75)</t>
        </is>
      </c>
      <c r="QG1" t="inlineStr">
        <is>
          <t>BBG00SMCS2J2 Equity (TSLA US 12/18/20 P76)</t>
        </is>
      </c>
      <c r="QK1" t="inlineStr">
        <is>
          <t>BBG00SMCS3M6 Equity (TSLA US 12/18/20 P77)</t>
        </is>
      </c>
      <c r="QO1" t="inlineStr">
        <is>
          <t>BBG00SMCS4R9 Equity (TSLA US 12/18/20 P78)</t>
        </is>
      </c>
      <c r="QS1" t="inlineStr">
        <is>
          <t>BBG00SMCS5V1 Equity (TSLA US 12/18/20 P79)</t>
        </is>
      </c>
      <c r="QW1" t="inlineStr">
        <is>
          <t>BBG00SMCS6Z5 Equity (TSLA US 12/18/20 P80)</t>
        </is>
      </c>
      <c r="RA1" t="inlineStr">
        <is>
          <t>BBG00SMCS827 Equity (TSLA US 12/18/20 P81)</t>
        </is>
      </c>
      <c r="RE1" t="inlineStr">
        <is>
          <t>BBG00SMCS952 Equity (TSLA US 12/18/20 P82)</t>
        </is>
      </c>
      <c r="RI1" t="inlineStr">
        <is>
          <t>BBG00SMCSB93 Equity (TSLA US 12/18/20 P83)</t>
        </is>
      </c>
      <c r="RM1" t="inlineStr">
        <is>
          <t>BBG00SMCSCD6 Equity (TSLA US 12/18/20 P84)</t>
        </is>
      </c>
      <c r="RQ1" t="inlineStr">
        <is>
          <t>BBG00SMCSDH0 Equity (TSLA US 12/18/20 P85)</t>
        </is>
      </c>
      <c r="RU1" t="inlineStr">
        <is>
          <t>BBG00SMCSFM9 Equity (TSLA US 12/18/20 P86)</t>
        </is>
      </c>
      <c r="RY1" t="inlineStr">
        <is>
          <t>BBG00SMCSGQ3 Equity (TSLA US 12/18/20 P87)</t>
        </is>
      </c>
      <c r="SC1" t="inlineStr">
        <is>
          <t>BBG00SMCSHT8 Equity (TSLA US 12/18/20 P88)</t>
        </is>
      </c>
      <c r="SG1" t="inlineStr">
        <is>
          <t>BBG00SMCSJY8 Equity (TSLA US 12/18/20 P89)</t>
        </is>
      </c>
      <c r="SK1" t="inlineStr">
        <is>
          <t>BBG00SMCSL19 Equity (TSLA US 12/18/20 P90)</t>
        </is>
      </c>
      <c r="SO1" t="inlineStr">
        <is>
          <t>BBG00SMCSM44 Equity (TSLA US 12/18/20 P91)</t>
        </is>
      </c>
      <c r="SS1" t="inlineStr">
        <is>
          <t>BBG00SMCSN88 Equity (TSLA US 12/18/20 P92)</t>
        </is>
      </c>
      <c r="SW1" t="inlineStr">
        <is>
          <t>BBG00SMCSPC8 Equity (TSLA US 12/18/20 P93)</t>
        </is>
      </c>
      <c r="TA1" t="inlineStr">
        <is>
          <t>BBG00SMCSQG2 Equity (TSLA US 12/18/20 P94)</t>
        </is>
      </c>
      <c r="TE1" t="inlineStr">
        <is>
          <t>BBG00SMCSRL4 Equity (TSLA US 12/18/20 P95)</t>
        </is>
      </c>
      <c r="TI1" t="inlineStr">
        <is>
          <t>BBG00SMCSSP8 Equity (TSLA US 12/18/20 P96)</t>
        </is>
      </c>
      <c r="TM1" t="inlineStr">
        <is>
          <t>BBG00SMCSTS3 Equity (TSLA US 12/18/20 P97)</t>
        </is>
      </c>
      <c r="TQ1" t="inlineStr">
        <is>
          <t>BBG00S5CKJW7 Equity (TSLA US 12/18/20 P120)</t>
        </is>
      </c>
      <c r="TU1" t="inlineStr">
        <is>
          <t>BBG00T3V36Q9 Equity (TSLA US 12/18/20 P121)</t>
        </is>
      </c>
      <c r="TY1" t="inlineStr">
        <is>
          <t>BBG00T3V37T4 Equity (TSLA US 12/18/20 P122)</t>
        </is>
      </c>
      <c r="UC1" t="inlineStr">
        <is>
          <t>BBG00T3V38Y6 Equity (TSLA US 12/18/20 P123)</t>
        </is>
      </c>
      <c r="UG1" t="inlineStr">
        <is>
          <t>BBG00T3V3B15 Equity (TSLA US 12/18/20 P124)</t>
        </is>
      </c>
      <c r="UK1" t="inlineStr">
        <is>
          <t>BBG00T3V3C40 Equity (TSLA US 12/18/20 P125)</t>
        </is>
      </c>
      <c r="UO1" t="inlineStr">
        <is>
          <t>BBG00T3V3D84 Equity (TSLA US 12/18/20 P126)</t>
        </is>
      </c>
      <c r="US1" t="inlineStr">
        <is>
          <t>BBG00T3V3FC4 Equity (TSLA US 12/18/20 P127)</t>
        </is>
      </c>
      <c r="UW1" t="inlineStr">
        <is>
          <t>BBG00T3V3GG8 Equity (TSLA US 12/18/20 P128)</t>
        </is>
      </c>
      <c r="VA1" t="inlineStr">
        <is>
          <t>BBG00T3V3HL0 Equity (TSLA US 12/18/20 P129)</t>
        </is>
      </c>
      <c r="VE1" t="inlineStr">
        <is>
          <t>BBG00S5CKKZ1 Equity (TSLA US 12/18/20 P130)</t>
        </is>
      </c>
      <c r="VI1" t="inlineStr">
        <is>
          <t>BBG00T3V3JP2 Equity (TSLA US 12/18/20 P131)</t>
        </is>
      </c>
      <c r="VM1" t="inlineStr">
        <is>
          <t>BBG00T3V3KT5 Equity (TSLA US 12/18/20 P132)</t>
        </is>
      </c>
      <c r="VQ1" t="inlineStr">
        <is>
          <t>BBG00T3V3LX8 Equity (TSLA US 12/18/20 P133)</t>
        </is>
      </c>
      <c r="VU1" t="inlineStr">
        <is>
          <t>BBG00T3V3N00 Equity (TSLA US 12/18/20 P134)</t>
        </is>
      </c>
      <c r="VY1" t="inlineStr">
        <is>
          <t>BBG00T3V3P41 Equity (TSLA US 12/18/20 P135)</t>
        </is>
      </c>
      <c r="WC1" t="inlineStr">
        <is>
          <t>BBG00T3V3Q76 Equity (TSLA US 12/18/20 P136)</t>
        </is>
      </c>
      <c r="WG1" t="inlineStr">
        <is>
          <t>BBG00T3V3RB9 Equity (TSLA US 12/18/20 P137)</t>
        </is>
      </c>
      <c r="WK1" t="inlineStr">
        <is>
          <t>BBG00T3V3SG2 Equity (TSLA US 12/18/20 P138)</t>
        </is>
      </c>
      <c r="WO1" t="inlineStr">
        <is>
          <t>BBG00T3V3TK5 Equity (TSLA US 12/18/20 P139)</t>
        </is>
      </c>
      <c r="WS1" t="inlineStr">
        <is>
          <t>BBG00S5CKM32 Equity (TSLA US 12/18/20 P140)</t>
        </is>
      </c>
      <c r="WW1" t="inlineStr">
        <is>
          <t>BBG00T9YG308 Equity (TSLA US 12/18/20 P141)</t>
        </is>
      </c>
      <c r="XA1" t="inlineStr">
        <is>
          <t>BBG00T9YG442 Equity (TSLA US 12/18/20 P142)</t>
        </is>
      </c>
      <c r="XE1" t="inlineStr">
        <is>
          <t>BBG00T9YG576 Equity (TSLA US 12/18/20 P143)</t>
        </is>
      </c>
      <c r="XI1" t="inlineStr">
        <is>
          <t>BBG00T9YG6B9 Equity (TSLA US 12/18/20 P144)</t>
        </is>
      </c>
      <c r="XM1" t="inlineStr">
        <is>
          <t>BBG00T9YG7G2 Equity (TSLA US 12/18/20 P145)</t>
        </is>
      </c>
      <c r="XQ1" t="inlineStr">
        <is>
          <t>BBG00T9YG8K5 Equity (TSLA US 12/18/20 P146)</t>
        </is>
      </c>
      <c r="XU1" t="inlineStr">
        <is>
          <t>BBG00T9YG9N0 Equity (TSLA US 12/18/20 P147)</t>
        </is>
      </c>
      <c r="XY1" t="inlineStr">
        <is>
          <t>BBG00T9YGBS0 Equity (TSLA US 12/18/20 P148)</t>
        </is>
      </c>
      <c r="YC1" t="inlineStr">
        <is>
          <t>BBG00T9YGCW3 Equity (TSLA US 12/18/20 P149)</t>
        </is>
      </c>
      <c r="YG1" t="inlineStr">
        <is>
          <t>BBG00S5CKN67 Equity (TSLA US 12/18/20 P150)</t>
        </is>
      </c>
      <c r="YK1" t="inlineStr">
        <is>
          <t>BBG00T9YGDZ8 Equity (TSLA US 12/18/20 P151)</t>
        </is>
      </c>
      <c r="YO1" t="inlineStr">
        <is>
          <t>BBG00T9YGG36 Equity (TSLA US 12/18/20 P152)</t>
        </is>
      </c>
      <c r="YS1" t="inlineStr">
        <is>
          <t>BBG00T9YGH61 Equity (TSLA US 12/18/20 P153)</t>
        </is>
      </c>
      <c r="YW1" t="inlineStr">
        <is>
          <t>BBG00T9YGJ94 Equity (TSLA US 12/18/20 P154)</t>
        </is>
      </c>
      <c r="ZA1" t="inlineStr">
        <is>
          <t>BBG00T9YGKF4 Equity (TSLA US 12/18/20 P155)</t>
        </is>
      </c>
      <c r="ZE1" t="inlineStr">
        <is>
          <t>BBG00T9YGLJ8 Equity (TSLA US 12/18/20 P156)</t>
        </is>
      </c>
      <c r="ZI1" t="inlineStr">
        <is>
          <t>BBG00T9YGMM2 Equity (TSLA US 12/18/20 P157)</t>
        </is>
      </c>
      <c r="ZM1" t="inlineStr">
        <is>
          <t>BBG00T9YGNR5 Equity (TSLA US 12/18/20 P158)</t>
        </is>
      </c>
      <c r="ZQ1" t="inlineStr">
        <is>
          <t>BBG00T9YGPV5 Equity (TSLA US 12/18/20 P159)</t>
        </is>
      </c>
      <c r="ZU1" t="inlineStr">
        <is>
          <t>BBG00S5CKP99 Equity (TSLA US 12/18/20 P160)</t>
        </is>
      </c>
      <c r="ZY1" t="inlineStr">
        <is>
          <t>BBG00T9YGQY0 Equity (TSLA US 12/18/20 P161)</t>
        </is>
      </c>
      <c r="AAC1" t="inlineStr">
        <is>
          <t>BBG00T9YGS21 Equity (TSLA US 12/18/20 P162)</t>
        </is>
      </c>
      <c r="AAG1" t="inlineStr">
        <is>
          <t>BBG00T9YGT56 Equity (TSLA US 12/18/20 P163)</t>
        </is>
      </c>
      <c r="AAK1" t="inlineStr">
        <is>
          <t>BBG00T9YGV97 Equity (TSLA US 12/18/20 P164)</t>
        </is>
      </c>
      <c r="AAO1" t="inlineStr">
        <is>
          <t>BBG00T9YGWD0 Equity (TSLA US 12/18/20 P165)</t>
        </is>
      </c>
      <c r="AAS1" t="inlineStr">
        <is>
          <t>BBG00T9YGXH4 Equity (TSLA US 12/18/20 P166)</t>
        </is>
      </c>
      <c r="AAW1" t="inlineStr">
        <is>
          <t>BBG00TLY4YH1 Equity (TSLA US 12/18/20 P167)</t>
        </is>
      </c>
      <c r="ABA1" t="inlineStr">
        <is>
          <t>BBG00TLY4ZL3 Equity (TSLA US 12/18/20 P168)</t>
        </is>
      </c>
      <c r="ABE1" t="inlineStr">
        <is>
          <t>BBG00TLY50P5 Equity (TSLA US 12/18/20 P169)</t>
        </is>
      </c>
      <c r="ABI1" t="inlineStr">
        <is>
          <t>BBG00S5CKQF0 Equity (TSLA US 12/18/20 P170)</t>
        </is>
      </c>
      <c r="ABM1" t="inlineStr">
        <is>
          <t>BBG00TLY51T9 Equity (TSLA US 12/18/20 P171)</t>
        </is>
      </c>
      <c r="ABQ1" t="inlineStr">
        <is>
          <t>BBG00TLY52X2 Equity (TSLA US 12/18/20 P172)</t>
        </is>
      </c>
      <c r="ABU1" t="inlineStr">
        <is>
          <t>BBG00TLY5404 Equity (TSLA US 12/18/20 P173)</t>
        </is>
      </c>
      <c r="ABY1" t="inlineStr">
        <is>
          <t>BBG00TLY5547 Equity (TSLA US 12/18/20 P174)</t>
        </is>
      </c>
      <c r="ACC1" t="inlineStr">
        <is>
          <t>BBG00TLY5672 Equity (TSLA US 12/18/20 P175)</t>
        </is>
      </c>
      <c r="ACG1" t="inlineStr">
        <is>
          <t>BBG00TLY57B5 Equity (TSLA US 12/18/20 P176)</t>
        </is>
      </c>
      <c r="ACK1" t="inlineStr">
        <is>
          <t>BBG00TLY58G8 Equity (TSLA US 12/18/20 P177)</t>
        </is>
      </c>
      <c r="ACO1" t="inlineStr">
        <is>
          <t>BBG00TLY59K1 Equity (TSLA US 12/18/20 P178)</t>
        </is>
      </c>
      <c r="ACS1" t="inlineStr">
        <is>
          <t>BBG00TLY5BN3 Equity (TSLA US 12/18/20 P179)</t>
        </is>
      </c>
      <c r="ACW1" t="inlineStr">
        <is>
          <t>BBG00S5CKRJ4 Equity (TSLA US 12/18/20 P180)</t>
        </is>
      </c>
      <c r="ADA1" t="inlineStr">
        <is>
          <t>BBG00TLY5CS6 Equity (TSLA US 12/18/20 P181)</t>
        </is>
      </c>
      <c r="ADE1" t="inlineStr">
        <is>
          <t>BBG00TLY5DW9 Equity (TSLA US 12/18/20 P182)</t>
        </is>
      </c>
      <c r="ADI1" t="inlineStr">
        <is>
          <t>BBG00TLY5FZ1 Equity (TSLA US 12/18/20 P183)</t>
        </is>
      </c>
      <c r="ADM1" t="inlineStr">
        <is>
          <t>BBG00TLY5H32 Equity (TSLA US 12/18/20 P184)</t>
        </is>
      </c>
      <c r="ADQ1" t="inlineStr">
        <is>
          <t>BBG00TLY5J65 Equity (TSLA US 12/18/20 P185)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BDH("BBG00SK0GH00 Equity","PX_LAST,PX_VOLUME","1/1/2020","6/10/2026")</f>
        <v/>
      </c>
      <c r="E3">
        <f>BDH("BBG00SK0GJ33 Equity","PX_LAST,PX_VOLUME","1/1/2020","6/10/2026")</f>
        <v/>
      </c>
      <c r="I3">
        <f>BDH("BBG00SK0GK67 Equity","PX_LAST,PX_VOLUME","1/1/2020","6/10/2026")</f>
        <v/>
      </c>
      <c r="M3">
        <f>BDH("BBG00SK0GLB9 Equity","PX_LAST,PX_VOLUME","1/1/2020","6/10/2026")</f>
        <v/>
      </c>
      <c r="Q3">
        <f>BDH("BBG00SK0GMF3 Equity","PX_LAST,PX_VOLUME","1/1/2020","6/10/2026")</f>
        <v/>
      </c>
      <c r="U3">
        <f>BDH("BBG00SK0GNJ7 Equity","PX_LAST,PX_VOLUME","1/1/2020","6/10/2026")</f>
        <v/>
      </c>
      <c r="Y3">
        <f>BDH("BBG00SK0GPN7 Equity","PX_LAST,PX_VOLUME","1/1/2020","6/10/2026")</f>
        <v/>
      </c>
      <c r="AC3">
        <f>BDH("BBG00SK0GQR1 Equity","PX_LAST,PX_VOLUME","1/1/2020","6/10/2026")</f>
        <v/>
      </c>
      <c r="AG3">
        <f>BDH("BBG00SK0GRV4 Equity","PX_LAST,PX_VOLUME","1/1/2020","6/10/2026")</f>
        <v/>
      </c>
      <c r="AK3">
        <f>BDH("BBG00SK0GSZ8 Equity","PX_LAST,PX_VOLUME","1/1/2020","6/10/2026")</f>
        <v/>
      </c>
      <c r="AO3">
        <f>BDH("BBG00SK0GV27 Equity","PX_LAST,PX_VOLUME","1/1/2020","6/10/2026")</f>
        <v/>
      </c>
      <c r="AS3">
        <f>BDH("BBG00SK0GW52 Equity","PX_LAST,PX_VOLUME","1/1/2020","6/10/2026")</f>
        <v/>
      </c>
      <c r="AW3">
        <f>BDH("BBG00SK0GX96 Equity","PX_LAST,PX_VOLUME","1/1/2020","6/10/2026")</f>
        <v/>
      </c>
      <c r="BA3">
        <f>BDH("BBG00SK0GYD9 Equity","PX_LAST,PX_VOLUME","1/1/2020","6/10/2026")</f>
        <v/>
      </c>
      <c r="BE3">
        <f>BDH("BBG00SK0GZH2 Equity","PX_LAST,PX_VOLUME","1/1/2020","6/10/2026")</f>
        <v/>
      </c>
      <c r="BI3">
        <f>BDH("BBG00SK0H0M2 Equity","PX_LAST,PX_VOLUME","1/1/2020","6/10/2026")</f>
        <v/>
      </c>
      <c r="BM3">
        <f>BDH("BBG00SK0H1Q6 Equity","PX_LAST,PX_VOLUME","1/1/2020","6/10/2026")</f>
        <v/>
      </c>
      <c r="BQ3">
        <f>BDH("BBG00SK0H2T1 Equity","PX_LAST,PX_VOLUME","1/1/2020","6/10/2026")</f>
        <v/>
      </c>
      <c r="BU3">
        <f>BDH("BBG00SK0H3Y3 Equity","PX_LAST,PX_VOLUME","1/1/2020","6/10/2026")</f>
        <v/>
      </c>
      <c r="BY3">
        <f>BDH("BBG00SK0H514 Equity","PX_LAST,PX_VOLUME","1/1/2020","6/10/2026")</f>
        <v/>
      </c>
      <c r="CC3">
        <f>BDH("BBG00SK0H649 Equity","PX_LAST,PX_VOLUME","1/1/2020","6/10/2026")</f>
        <v/>
      </c>
      <c r="CG3">
        <f>BDH("BBG00S5CK4M1 Equity","PX_LAST,PX_VOLUME","1/1/2020","6/10/2026")</f>
        <v/>
      </c>
      <c r="CK3">
        <f>BDH("BBG00T3V2KS7 Equity","PX_LAST,PX_VOLUME","1/1/2020","6/10/2026")</f>
        <v/>
      </c>
      <c r="CO3">
        <f>BDH("BBG00T3V2LW0 Equity","PX_LAST,PX_VOLUME","1/1/2020","6/10/2026")</f>
        <v/>
      </c>
      <c r="CS3">
        <f>BDH("BBG00T3V2N01 Equity","PX_LAST,PX_VOLUME","1/1/2020","6/10/2026")</f>
        <v/>
      </c>
      <c r="CW3">
        <f>BDH("BBG00T3V2P33 Equity","PX_LAST,PX_VOLUME","1/1/2020","6/10/2026")</f>
        <v/>
      </c>
      <c r="DA3">
        <f>BDH("BBG00T3V2Q68 Equity","PX_LAST,PX_VOLUME","1/1/2020","6/10/2026")</f>
        <v/>
      </c>
      <c r="DE3">
        <f>BDH("BBG00T3V2RB0 Equity","PX_LAST,PX_VOLUME","1/1/2020","6/10/2026")</f>
        <v/>
      </c>
      <c r="DI3">
        <f>BDH("BBG00T3V2SF4 Equity","PX_LAST,PX_VOLUME","1/1/2020","6/10/2026")</f>
        <v/>
      </c>
      <c r="DM3">
        <f>BDH("BBG00T3V2TJ8 Equity","PX_LAST,PX_VOLUME","1/1/2020","6/10/2026")</f>
        <v/>
      </c>
      <c r="DQ3">
        <f>BDH("BBG00T3V2VN8 Equity","PX_LAST,PX_VOLUME","1/1/2020","6/10/2026")</f>
        <v/>
      </c>
      <c r="DU3">
        <f>BDH("BBG00S5CK5R3 Equity","PX_LAST,PX_VOLUME","1/1/2020","6/10/2026")</f>
        <v/>
      </c>
      <c r="DY3">
        <f>BDH("BBG00T3V2WR2 Equity","PX_LAST,PX_VOLUME","1/1/2020","6/10/2026")</f>
        <v/>
      </c>
      <c r="EC3">
        <f>BDH("BBG00T3V2XV5 Equity","PX_LAST,PX_VOLUME","1/1/2020","6/10/2026")</f>
        <v/>
      </c>
      <c r="EG3">
        <f>BDH("BBG00T3V2YZ9 Equity","PX_LAST,PX_VOLUME","1/1/2020","6/10/2026")</f>
        <v/>
      </c>
      <c r="EK3">
        <f>BDH("BBG00T3V3028 Equity","PX_LAST,PX_VOLUME","1/1/2020","6/10/2026")</f>
        <v/>
      </c>
      <c r="EO3">
        <f>BDH("BBG00T3V3153 Equity","PX_LAST,PX_VOLUME","1/1/2020","6/10/2026")</f>
        <v/>
      </c>
      <c r="ES3">
        <f>BDH("BBG00T3V3297 Equity","PX_LAST,PX_VOLUME","1/1/2020","6/10/2026")</f>
        <v/>
      </c>
      <c r="EW3">
        <f>BDH("BBG00T3V33D0 Equity","PX_LAST,PX_VOLUME","1/1/2020","6/10/2026")</f>
        <v/>
      </c>
      <c r="FA3">
        <f>BDH("BBG00T3V34H4 Equity","PX_LAST,PX_VOLUME","1/1/2020","6/10/2026")</f>
        <v/>
      </c>
      <c r="FE3">
        <f>BDH("BBG00T3V35M5 Equity","PX_LAST,PX_VOLUME","1/1/2020","6/10/2026")</f>
        <v/>
      </c>
      <c r="FI3">
        <f>BDH("BBG00S5CK6V6 Equity","PX_LAST,PX_VOLUME","1/1/2020","6/10/2026")</f>
        <v/>
      </c>
      <c r="FM3">
        <f>BDH("BBG00TJD2P54 Equity","PX_LAST,PX_VOLUME","1/1/2020","6/10/2026")</f>
        <v/>
      </c>
      <c r="FQ3">
        <f>BDH("BBG00TJD2Q89 Equity","PX_LAST,PX_VOLUME","1/1/2020","6/10/2026")</f>
        <v/>
      </c>
      <c r="FU3">
        <f>BDH("BBG00TJD2RD1 Equity","PX_LAST,PX_VOLUME","1/1/2020","6/10/2026")</f>
        <v/>
      </c>
      <c r="FY3">
        <f>BDH("BBG00TJD2SH5 Equity","PX_LAST,PX_VOLUME","1/1/2020","6/10/2026")</f>
        <v/>
      </c>
      <c r="GC3">
        <f>BDH("BBG00TJD2TL8 Equity","PX_LAST,PX_VOLUME","1/1/2020","6/10/2026")</f>
        <v/>
      </c>
      <c r="GG3">
        <f>BDH("BBG00TJD2VQ8 Equity","PX_LAST,PX_VOLUME","1/1/2020","6/10/2026")</f>
        <v/>
      </c>
      <c r="GK3">
        <f>BDH("BBG00TJD2WT3 Equity","PX_LAST,PX_VOLUME","1/1/2020","6/10/2026")</f>
        <v/>
      </c>
      <c r="GO3">
        <f>BDH("BBG00TJD2XX6 Equity","PX_LAST,PX_VOLUME","1/1/2020","6/10/2026")</f>
        <v/>
      </c>
      <c r="GS3">
        <f>BDH("BBG00TJD2Z16 Equity","PX_LAST,PX_VOLUME","1/1/2020","6/10/2026")</f>
        <v/>
      </c>
      <c r="GW3">
        <f>BDH("BBG00S5CK7Y1 Equity","PX_LAST,PX_VOLUME","1/1/2020","6/10/2026")</f>
        <v/>
      </c>
      <c r="HA3">
        <f>BDH("BBG00TJD3049 Equity","PX_LAST,PX_VOLUME","1/1/2020","6/10/2026")</f>
        <v/>
      </c>
      <c r="HE3">
        <f>BDH("BBG00TJD3174 Equity","PX_LAST,PX_VOLUME","1/1/2020","6/10/2026")</f>
        <v/>
      </c>
      <c r="HI3">
        <f>BDH("BBG00TJD32C6 Equity","PX_LAST,PX_VOLUME","1/1/2020","6/10/2026")</f>
        <v/>
      </c>
      <c r="HM3">
        <f>BDH("BBG00TJD33G0 Equity","PX_LAST,PX_VOLUME","1/1/2020","6/10/2026")</f>
        <v/>
      </c>
      <c r="HQ3">
        <f>BDH("BBG00TJD34K3 Equity","PX_LAST,PX_VOLUME","1/1/2020","6/10/2026")</f>
        <v/>
      </c>
      <c r="HU3">
        <f>BDH("BBG00TJD35P5 Equity","PX_LAST,PX_VOLUME","1/1/2020","6/10/2026")</f>
        <v/>
      </c>
      <c r="HY3">
        <f>BDH("BBG00TJD36S0 Equity","PX_LAST,PX_VOLUME","1/1/2020","6/10/2026")</f>
        <v/>
      </c>
      <c r="IC3">
        <f>BDH("BBG00TJD37W3 Equity","PX_LAST,PX_VOLUME","1/1/2020","6/10/2026")</f>
        <v/>
      </c>
      <c r="IG3">
        <f>BDH("BBG00TJD3904 Equity","PX_LAST,PX_VOLUME","1/1/2020","6/10/2026")</f>
        <v/>
      </c>
      <c r="IK3">
        <f>BDH("BBG00S5CK922 Equity","PX_LAST,PX_VOLUME","1/1/2020","6/10/2026")</f>
        <v/>
      </c>
      <c r="IO3">
        <f>BDH("BBG00TJD3B36 Equity","PX_LAST,PX_VOLUME","1/1/2020","6/10/2026")</f>
        <v/>
      </c>
      <c r="IS3">
        <f>BDH("BBG00TJD3C61 Equity","PX_LAST,PX_VOLUME","1/1/2020","6/10/2026")</f>
        <v/>
      </c>
      <c r="IW3">
        <f>BDH("BBG00TJD3DB3 Equity","PX_LAST,PX_VOLUME","1/1/2020","6/10/2026")</f>
        <v/>
      </c>
      <c r="JA3">
        <f>BDH("BBG00TJD3FF4 Equity","PX_LAST,PX_VOLUME","1/1/2020","6/10/2026")</f>
        <v/>
      </c>
      <c r="JE3">
        <f>BDH("BBG00TJD3GJ8 Equity","PX_LAST,PX_VOLUME","1/1/2020","6/10/2026")</f>
        <v/>
      </c>
      <c r="JI3">
        <f>BDH("BBG00TJD3HN1 Equity","PX_LAST,PX_VOLUME","1/1/2020","6/10/2026")</f>
        <v/>
      </c>
      <c r="JM3">
        <f>BDH("BBG00TJD3JR3 Equity","PX_LAST,PX_VOLUME","1/1/2020","6/10/2026")</f>
        <v/>
      </c>
      <c r="JQ3">
        <f>BDH("BBG00TJD3KV5 Equity","PX_LAST,PX_VOLUME","1/1/2020","6/10/2026")</f>
        <v/>
      </c>
      <c r="JU3">
        <f>BDH("BBG00TJD3LZ9 Equity","PX_LAST,PX_VOLUME","1/1/2020","6/10/2026")</f>
        <v/>
      </c>
      <c r="JY3">
        <f>BDH("BBG00S5CKB54 Equity","PX_LAST,PX_VOLUME","1/1/2020","6/10/2026")</f>
        <v/>
      </c>
      <c r="KC3">
        <f>BDH("BBG00TLY4DV1 Equity","PX_LAST,PX_VOLUME","1/1/2020","6/10/2026")</f>
        <v/>
      </c>
      <c r="KG3">
        <f>BDH("BBG00TJD3N21 Equity","PX_LAST,PX_VOLUME","1/1/2020","6/10/2026")</f>
        <v/>
      </c>
      <c r="KK3">
        <f>BDH("BBG00TLY4FZ2 Equity","PX_LAST,PX_VOLUME","1/1/2020","6/10/2026")</f>
        <v/>
      </c>
      <c r="KO3">
        <f>BDH("BBG00TJD3P53 Equity","PX_LAST,PX_VOLUME","1/1/2020","6/10/2026")</f>
        <v/>
      </c>
      <c r="KS3">
        <f>BDH("BBG00TLY4H24 Equity","PX_LAST,PX_VOLUME","1/1/2020","6/10/2026")</f>
        <v/>
      </c>
      <c r="KW3">
        <f>BDH("BBG00TJD3Q97 Equity","PX_LAST,PX_VOLUME","1/1/2020","6/10/2026")</f>
        <v/>
      </c>
      <c r="LA3">
        <f>BDH("BBG00TLY4J57 Equity","PX_LAST,PX_VOLUME","1/1/2020","6/10/2026")</f>
        <v/>
      </c>
      <c r="LE3">
        <f>BDH("BBG00TJD3RD0 Equity","PX_LAST,PX_VOLUME","1/1/2020","6/10/2026")</f>
        <v/>
      </c>
      <c r="LI3">
        <f>BDH("BBG00TLY4K90 Equity","PX_LAST,PX_VOLUME","1/1/2020","6/10/2026")</f>
        <v/>
      </c>
      <c r="LM3">
        <f>BDH("BBG00S5CKC89 Equity","PX_LAST,PX_VOLUME","1/1/2020","6/10/2026")</f>
        <v/>
      </c>
      <c r="LQ3">
        <f>BDH("BBG00TLY4LD3 Equity","PX_LAST,PX_VOLUME","1/1/2020","6/10/2026")</f>
        <v/>
      </c>
      <c r="LU3">
        <f>BDH("BBG00TJD3SJ2 Equity","PX_LAST,PX_VOLUME","1/1/2020","6/10/2026")</f>
        <v/>
      </c>
      <c r="LY3">
        <f>BDH("BBG00TLY4MJ5 Equity","PX_LAST,PX_VOLUME","1/1/2020","6/10/2026")</f>
        <v/>
      </c>
      <c r="MC3">
        <f>BDH("BBG00TJD3TM6 Equity","PX_LAST,PX_VOLUME","1/1/2020","6/10/2026")</f>
        <v/>
      </c>
      <c r="MG3">
        <f>BDH("BBG00TLY4NM9 Equity","PX_LAST,PX_VOLUME","1/1/2020","6/10/2026")</f>
        <v/>
      </c>
      <c r="MK3">
        <f>BDH("BBG00TJD3VQ7 Equity","PX_LAST,PX_VOLUME","1/1/2020","6/10/2026")</f>
        <v/>
      </c>
      <c r="MO3">
        <f>BDH("BBG00TLY4PQ0 Equity","PX_LAST,PX_VOLUME","1/1/2020","6/10/2026")</f>
        <v/>
      </c>
      <c r="MS3">
        <f>BDH("BBG00TJD3WV9 Equity","PX_LAST,PX_VOLUME","1/1/2020","6/10/2026")</f>
        <v/>
      </c>
      <c r="MW3">
        <f>BDH("BBG00TLY4QV2 Equity","PX_LAST,PX_VOLUME","1/1/2020","6/10/2026")</f>
        <v/>
      </c>
      <c r="NA3">
        <f>BDH("BBG00S5CKDD1 Equity","PX_LAST,PX_VOLUME","1/1/2020","6/10/2026")</f>
        <v/>
      </c>
      <c r="NE3">
        <f>BDH("BBG00TLY4RY7 Equity","PX_LAST,PX_VOLUME","1/1/2020","6/10/2026")</f>
        <v/>
      </c>
      <c r="NI3">
        <f>BDH("BBG00TJD3XY4 Equity","PX_LAST,PX_VOLUME","1/1/2020","6/10/2026")</f>
        <v/>
      </c>
      <c r="NM3">
        <f>BDH("BBG00TLY4T19 Equity","PX_LAST,PX_VOLUME","1/1/2020","6/10/2026")</f>
        <v/>
      </c>
      <c r="NQ3">
        <f>BDH("BBG00TJD3Z15 Equity","PX_LAST,PX_VOLUME","1/1/2020","6/10/2026")</f>
        <v/>
      </c>
      <c r="NU3">
        <f>BDH("BBG00SMCRHT9 Equity","PX_LAST,PX_VOLUME","1/1/2020","6/10/2026")</f>
        <v/>
      </c>
      <c r="NY3">
        <f>BDH("BBG00SMCRJX0 Equity","PX_LAST,PX_VOLUME","1/1/2020","6/10/2026")</f>
        <v/>
      </c>
      <c r="OC3">
        <f>BDH("BBG00SMCRL01 Equity","PX_LAST,PX_VOLUME","1/1/2020","6/10/2026")</f>
        <v/>
      </c>
      <c r="OG3">
        <f>BDH("BBG00SMCRM45 Equity","PX_LAST,PX_VOLUME","1/1/2020","6/10/2026")</f>
        <v/>
      </c>
      <c r="OK3">
        <f>BDH("BBG00SMCRN70 Equity","PX_LAST,PX_VOLUME","1/1/2020","6/10/2026")</f>
        <v/>
      </c>
      <c r="OO3">
        <f>BDH("BBG00SMCRPB0 Equity","PX_LAST,PX_VOLUME","1/1/2020","6/10/2026")</f>
        <v/>
      </c>
      <c r="OS3">
        <f>BDH("BBG00SMCRQG3 Equity","PX_LAST,PX_VOLUME","1/1/2020","6/10/2026")</f>
        <v/>
      </c>
      <c r="OW3">
        <f>BDH("BBG00SMCRRK6 Equity","PX_LAST,PX_VOLUME","1/1/2020","6/10/2026")</f>
        <v/>
      </c>
      <c r="PA3">
        <f>BDH("BBG00SMCRSN1 Equity","PX_LAST,PX_VOLUME","1/1/2020","6/10/2026")</f>
        <v/>
      </c>
      <c r="PE3">
        <f>BDH("BBG00SMCRTS4 Equity","PX_LAST,PX_VOLUME","1/1/2020","6/10/2026")</f>
        <v/>
      </c>
      <c r="PI3">
        <f>BDH("BBG00SMCRVW4 Equity","PX_LAST,PX_VOLUME","1/1/2020","6/10/2026")</f>
        <v/>
      </c>
      <c r="PM3">
        <f>BDH("BBG00SMCRWZ9 Equity","PX_LAST,PX_VOLUME","1/1/2020","6/10/2026")</f>
        <v/>
      </c>
      <c r="PQ3">
        <f>BDH("BBG00SMCRY30 Equity","PX_LAST,PX_VOLUME","1/1/2020","6/10/2026")</f>
        <v/>
      </c>
      <c r="PU3">
        <f>BDH("BBG00SMCRZ64 Equity","PX_LAST,PX_VOLUME","1/1/2020","6/10/2026")</f>
        <v/>
      </c>
      <c r="PY3">
        <f>BDH("BBG00SMCS097 Equity","PX_LAST,PX_VOLUME","1/1/2020","6/10/2026")</f>
        <v/>
      </c>
      <c r="QC3">
        <f>BDH("BBG00SMCS1F8 Equity","PX_LAST,PX_VOLUME","1/1/2020","6/10/2026")</f>
        <v/>
      </c>
      <c r="QG3">
        <f>BDH("BBG00SMCS2J2 Equity","PX_LAST,PX_VOLUME","1/1/2020","6/10/2026")</f>
        <v/>
      </c>
      <c r="QK3">
        <f>BDH("BBG00SMCS3M6 Equity","PX_LAST,PX_VOLUME","1/1/2020","6/10/2026")</f>
        <v/>
      </c>
      <c r="QO3">
        <f>BDH("BBG00SMCS4R9 Equity","PX_LAST,PX_VOLUME","1/1/2020","6/10/2026")</f>
        <v/>
      </c>
      <c r="QS3">
        <f>BDH("BBG00SMCS5V1 Equity","PX_LAST,PX_VOLUME","1/1/2020","6/10/2026")</f>
        <v/>
      </c>
      <c r="QW3">
        <f>BDH("BBG00SMCS6Z5 Equity","PX_LAST,PX_VOLUME","1/1/2020","6/10/2026")</f>
        <v/>
      </c>
      <c r="RA3">
        <f>BDH("BBG00SMCS827 Equity","PX_LAST,PX_VOLUME","1/1/2020","6/10/2026")</f>
        <v/>
      </c>
      <c r="RE3">
        <f>BDH("BBG00SMCS952 Equity","PX_LAST,PX_VOLUME","1/1/2020","6/10/2026")</f>
        <v/>
      </c>
      <c r="RI3">
        <f>BDH("BBG00SMCSB93 Equity","PX_LAST,PX_VOLUME","1/1/2020","6/10/2026")</f>
        <v/>
      </c>
      <c r="RM3">
        <f>BDH("BBG00SMCSCD6 Equity","PX_LAST,PX_VOLUME","1/1/2020","6/10/2026")</f>
        <v/>
      </c>
      <c r="RQ3">
        <f>BDH("BBG00SMCSDH0 Equity","PX_LAST,PX_VOLUME","1/1/2020","6/10/2026")</f>
        <v/>
      </c>
      <c r="RU3">
        <f>BDH("BBG00SMCSFM9 Equity","PX_LAST,PX_VOLUME","1/1/2020","6/10/2026")</f>
        <v/>
      </c>
      <c r="RY3">
        <f>BDH("BBG00SMCSGQ3 Equity","PX_LAST,PX_VOLUME","1/1/2020","6/10/2026")</f>
        <v/>
      </c>
      <c r="SC3">
        <f>BDH("BBG00SMCSHT8 Equity","PX_LAST,PX_VOLUME","1/1/2020","6/10/2026")</f>
        <v/>
      </c>
      <c r="SG3">
        <f>BDH("BBG00SMCSJY8 Equity","PX_LAST,PX_VOLUME","1/1/2020","6/10/2026")</f>
        <v/>
      </c>
      <c r="SK3">
        <f>BDH("BBG00SMCSL19 Equity","PX_LAST,PX_VOLUME","1/1/2020","6/10/2026")</f>
        <v/>
      </c>
      <c r="SO3">
        <f>BDH("BBG00SMCSM44 Equity","PX_LAST,PX_VOLUME","1/1/2020","6/10/2026")</f>
        <v/>
      </c>
      <c r="SS3">
        <f>BDH("BBG00SMCSN88 Equity","PX_LAST,PX_VOLUME","1/1/2020","6/10/2026")</f>
        <v/>
      </c>
      <c r="SW3">
        <f>BDH("BBG00SMCSPC8 Equity","PX_LAST,PX_VOLUME","1/1/2020","6/10/2026")</f>
        <v/>
      </c>
      <c r="TA3">
        <f>BDH("BBG00SMCSQG2 Equity","PX_LAST,PX_VOLUME","1/1/2020","6/10/2026")</f>
        <v/>
      </c>
      <c r="TE3">
        <f>BDH("BBG00SMCSRL4 Equity","PX_LAST,PX_VOLUME","1/1/2020","6/10/2026")</f>
        <v/>
      </c>
      <c r="TI3">
        <f>BDH("BBG00SMCSSP8 Equity","PX_LAST,PX_VOLUME","1/1/2020","6/10/2026")</f>
        <v/>
      </c>
      <c r="TM3">
        <f>BDH("BBG00SMCSTS3 Equity","PX_LAST,PX_VOLUME","1/1/2020","6/10/2026")</f>
        <v/>
      </c>
      <c r="TQ3">
        <f>BDH("BBG00S5CKJW7 Equity","PX_LAST,PX_VOLUME","1/1/2020","6/10/2026")</f>
        <v/>
      </c>
      <c r="TU3">
        <f>BDH("BBG00T3V36Q9 Equity","PX_LAST,PX_VOLUME","1/1/2020","6/10/2026")</f>
        <v/>
      </c>
      <c r="TY3">
        <f>BDH("BBG00T3V37T4 Equity","PX_LAST,PX_VOLUME","1/1/2020","6/10/2026")</f>
        <v/>
      </c>
      <c r="UC3">
        <f>BDH("BBG00T3V38Y6 Equity","PX_LAST,PX_VOLUME","1/1/2020","6/10/2026")</f>
        <v/>
      </c>
      <c r="UG3">
        <f>BDH("BBG00T3V3B15 Equity","PX_LAST,PX_VOLUME","1/1/2020","6/10/2026")</f>
        <v/>
      </c>
      <c r="UK3">
        <f>BDH("BBG00T3V3C40 Equity","PX_LAST,PX_VOLUME","1/1/2020","6/10/2026")</f>
        <v/>
      </c>
      <c r="UO3">
        <f>BDH("BBG00T3V3D84 Equity","PX_LAST,PX_VOLUME","1/1/2020","6/10/2026")</f>
        <v/>
      </c>
      <c r="US3">
        <f>BDH("BBG00T3V3FC4 Equity","PX_LAST,PX_VOLUME","1/1/2020","6/10/2026")</f>
        <v/>
      </c>
      <c r="UW3">
        <f>BDH("BBG00T3V3GG8 Equity","PX_LAST,PX_VOLUME","1/1/2020","6/10/2026")</f>
        <v/>
      </c>
      <c r="VA3">
        <f>BDH("BBG00T3V3HL0 Equity","PX_LAST,PX_VOLUME","1/1/2020","6/10/2026")</f>
        <v/>
      </c>
      <c r="VE3">
        <f>BDH("BBG00S5CKKZ1 Equity","PX_LAST,PX_VOLUME","1/1/2020","6/10/2026")</f>
        <v/>
      </c>
      <c r="VI3">
        <f>BDH("BBG00T3V3JP2 Equity","PX_LAST,PX_VOLUME","1/1/2020","6/10/2026")</f>
        <v/>
      </c>
      <c r="VM3">
        <f>BDH("BBG00T3V3KT5 Equity","PX_LAST,PX_VOLUME","1/1/2020","6/10/2026")</f>
        <v/>
      </c>
      <c r="VQ3">
        <f>BDH("BBG00T3V3LX8 Equity","PX_LAST,PX_VOLUME","1/1/2020","6/10/2026")</f>
        <v/>
      </c>
      <c r="VU3">
        <f>BDH("BBG00T3V3N00 Equity","PX_LAST,PX_VOLUME","1/1/2020","6/10/2026")</f>
        <v/>
      </c>
      <c r="VY3">
        <f>BDH("BBG00T3V3P41 Equity","PX_LAST,PX_VOLUME","1/1/2020","6/10/2026")</f>
        <v/>
      </c>
      <c r="WC3">
        <f>BDH("BBG00T3V3Q76 Equity","PX_LAST,PX_VOLUME","1/1/2020","6/10/2026")</f>
        <v/>
      </c>
      <c r="WG3">
        <f>BDH("BBG00T3V3RB9 Equity","PX_LAST,PX_VOLUME","1/1/2020","6/10/2026")</f>
        <v/>
      </c>
      <c r="WK3">
        <f>BDH("BBG00T3V3SG2 Equity","PX_LAST,PX_VOLUME","1/1/2020","6/10/2026")</f>
        <v/>
      </c>
      <c r="WO3">
        <f>BDH("BBG00T3V3TK5 Equity","PX_LAST,PX_VOLUME","1/1/2020","6/10/2026")</f>
        <v/>
      </c>
      <c r="WS3">
        <f>BDH("BBG00S5CKM32 Equity","PX_LAST,PX_VOLUME","1/1/2020","6/10/2026")</f>
        <v/>
      </c>
      <c r="WW3">
        <f>BDH("BBG00T9YG308 Equity","PX_LAST,PX_VOLUME","1/1/2020","6/10/2026")</f>
        <v/>
      </c>
      <c r="XA3">
        <f>BDH("BBG00T9YG442 Equity","PX_LAST,PX_VOLUME","1/1/2020","6/10/2026")</f>
        <v/>
      </c>
      <c r="XE3">
        <f>BDH("BBG00T9YG576 Equity","PX_LAST,PX_VOLUME","1/1/2020","6/10/2026")</f>
        <v/>
      </c>
      <c r="XI3">
        <f>BDH("BBG00T9YG6B9 Equity","PX_LAST,PX_VOLUME","1/1/2020","6/10/2026")</f>
        <v/>
      </c>
      <c r="XM3">
        <f>BDH("BBG00T9YG7G2 Equity","PX_LAST,PX_VOLUME","1/1/2020","6/10/2026")</f>
        <v/>
      </c>
      <c r="XQ3">
        <f>BDH("BBG00T9YG8K5 Equity","PX_LAST,PX_VOLUME","1/1/2020","6/10/2026")</f>
        <v/>
      </c>
      <c r="XU3">
        <f>BDH("BBG00T9YG9N0 Equity","PX_LAST,PX_VOLUME","1/1/2020","6/10/2026")</f>
        <v/>
      </c>
      <c r="XY3">
        <f>BDH("BBG00T9YGBS0 Equity","PX_LAST,PX_VOLUME","1/1/2020","6/10/2026")</f>
        <v/>
      </c>
      <c r="YC3">
        <f>BDH("BBG00T9YGCW3 Equity","PX_LAST,PX_VOLUME","1/1/2020","6/10/2026")</f>
        <v/>
      </c>
      <c r="YG3">
        <f>BDH("BBG00S5CKN67 Equity","PX_LAST,PX_VOLUME","1/1/2020","6/10/2026")</f>
        <v/>
      </c>
      <c r="YK3">
        <f>BDH("BBG00T9YGDZ8 Equity","PX_LAST,PX_VOLUME","1/1/2020","6/10/2026")</f>
        <v/>
      </c>
      <c r="YO3">
        <f>BDH("BBG00T9YGG36 Equity","PX_LAST,PX_VOLUME","1/1/2020","6/10/2026")</f>
        <v/>
      </c>
      <c r="YS3">
        <f>BDH("BBG00T9YGH61 Equity","PX_LAST,PX_VOLUME","1/1/2020","6/10/2026")</f>
        <v/>
      </c>
      <c r="YW3">
        <f>BDH("BBG00T9YGJ94 Equity","PX_LAST,PX_VOLUME","1/1/2020","6/10/2026")</f>
        <v/>
      </c>
      <c r="ZA3">
        <f>BDH("BBG00T9YGKF4 Equity","PX_LAST,PX_VOLUME","1/1/2020","6/10/2026")</f>
        <v/>
      </c>
      <c r="ZE3">
        <f>BDH("BBG00T9YGLJ8 Equity","PX_LAST,PX_VOLUME","1/1/2020","6/10/2026")</f>
        <v/>
      </c>
      <c r="ZI3">
        <f>BDH("BBG00T9YGMM2 Equity","PX_LAST,PX_VOLUME","1/1/2020","6/10/2026")</f>
        <v/>
      </c>
      <c r="ZM3">
        <f>BDH("BBG00T9YGNR5 Equity","PX_LAST,PX_VOLUME","1/1/2020","6/10/2026")</f>
        <v/>
      </c>
      <c r="ZQ3">
        <f>BDH("BBG00T9YGPV5 Equity","PX_LAST,PX_VOLUME","1/1/2020","6/10/2026")</f>
        <v/>
      </c>
      <c r="ZU3">
        <f>BDH("BBG00S5CKP99 Equity","PX_LAST,PX_VOLUME","1/1/2020","6/10/2026")</f>
        <v/>
      </c>
      <c r="ZY3">
        <f>BDH("BBG00T9YGQY0 Equity","PX_LAST,PX_VOLUME","1/1/2020","6/10/2026")</f>
        <v/>
      </c>
      <c r="AAC3">
        <f>BDH("BBG00T9YGS21 Equity","PX_LAST,PX_VOLUME","1/1/2020","6/10/2026")</f>
        <v/>
      </c>
      <c r="AAG3">
        <f>BDH("BBG00T9YGT56 Equity","PX_LAST,PX_VOLUME","1/1/2020","6/10/2026")</f>
        <v/>
      </c>
      <c r="AAK3">
        <f>BDH("BBG00T9YGV97 Equity","PX_LAST,PX_VOLUME","1/1/2020","6/10/2026")</f>
        <v/>
      </c>
      <c r="AAO3">
        <f>BDH("BBG00T9YGWD0 Equity","PX_LAST,PX_VOLUME","1/1/2020","6/10/2026")</f>
        <v/>
      </c>
      <c r="AAS3">
        <f>BDH("BBG00T9YGXH4 Equity","PX_LAST,PX_VOLUME","1/1/2020","6/10/2026")</f>
        <v/>
      </c>
      <c r="AAW3">
        <f>BDH("BBG00TLY4YH1 Equity","PX_LAST,PX_VOLUME","1/1/2020","6/10/2026")</f>
        <v/>
      </c>
      <c r="ABA3">
        <f>BDH("BBG00TLY4ZL3 Equity","PX_LAST,PX_VOLUME","1/1/2020","6/10/2026")</f>
        <v/>
      </c>
      <c r="ABE3">
        <f>BDH("BBG00TLY50P5 Equity","PX_LAST,PX_VOLUME","1/1/2020","6/10/2026")</f>
        <v/>
      </c>
      <c r="ABI3">
        <f>BDH("BBG00S5CKQF0 Equity","PX_LAST,PX_VOLUME","1/1/2020","6/10/2026")</f>
        <v/>
      </c>
      <c r="ABM3">
        <f>BDH("BBG00TLY51T9 Equity","PX_LAST,PX_VOLUME","1/1/2020","6/10/2026")</f>
        <v/>
      </c>
      <c r="ABQ3">
        <f>BDH("BBG00TLY52X2 Equity","PX_LAST,PX_VOLUME","1/1/2020","6/10/2026")</f>
        <v/>
      </c>
      <c r="ABU3">
        <f>BDH("BBG00TLY5404 Equity","PX_LAST,PX_VOLUME","1/1/2020","6/10/2026")</f>
        <v/>
      </c>
      <c r="ABY3">
        <f>BDH("BBG00TLY5547 Equity","PX_LAST,PX_VOLUME","1/1/2020","6/10/2026")</f>
        <v/>
      </c>
      <c r="ACC3">
        <f>BDH("BBG00TLY5672 Equity","PX_LAST,PX_VOLUME","1/1/2020","6/10/2026")</f>
        <v/>
      </c>
      <c r="ACG3">
        <f>BDH("BBG00TLY57B5 Equity","PX_LAST,PX_VOLUME","1/1/2020","6/10/2026")</f>
        <v/>
      </c>
      <c r="ACK3">
        <f>BDH("BBG00TLY58G8 Equity","PX_LAST,PX_VOLUME","1/1/2020","6/10/2026")</f>
        <v/>
      </c>
      <c r="ACO3">
        <f>BDH("BBG00TLY59K1 Equity","PX_LAST,PX_VOLUME","1/1/2020","6/10/2026")</f>
        <v/>
      </c>
      <c r="ACS3">
        <f>BDH("BBG00TLY5BN3 Equity","PX_LAST,PX_VOLUME","1/1/2020","6/10/2026")</f>
        <v/>
      </c>
      <c r="ACW3">
        <f>BDH("BBG00S5CKRJ4 Equity","PX_LAST,PX_VOLUME","1/1/2020","6/10/2026")</f>
        <v/>
      </c>
      <c r="ADA3">
        <f>BDH("BBG00TLY5CS6 Equity","PX_LAST,PX_VOLUME","1/1/2020","6/10/2026")</f>
        <v/>
      </c>
      <c r="ADE3">
        <f>BDH("BBG00TLY5DW9 Equity","PX_LAST,PX_VOLUME","1/1/2020","6/10/2026")</f>
        <v/>
      </c>
      <c r="ADI3">
        <f>BDH("BBG00TLY5FZ1 Equity","PX_LAST,PX_VOLUME","1/1/2020","6/10/2026")</f>
        <v/>
      </c>
      <c r="ADM3">
        <f>BDH("BBG00TLY5H32 Equity","PX_LAST,PX_VOLUME","1/1/2020","6/10/2026")</f>
        <v/>
      </c>
      <c r="ADQ3">
        <f>BDH("BBG00TLY5J65 Equity","PX_LAST,PX_VOLUME","1/1/2020","6/10/2026")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BBG00TLY5K99 Equity (TSLA US 12/18/20 P186)</t>
        </is>
      </c>
      <c r="E1" t="inlineStr">
        <is>
          <t>BBG00TLY5LF0 Equity (TSLA US 12/18/20 P187)</t>
        </is>
      </c>
      <c r="I1" t="inlineStr">
        <is>
          <t>BBG00TLY5MJ4 Equity (TSLA US 12/18/20 P188)</t>
        </is>
      </c>
      <c r="M1" t="inlineStr">
        <is>
          <t>BBG00TLY5NM8 Equity (TSLA US 12/18/20 P189)</t>
        </is>
      </c>
      <c r="Q1" t="inlineStr">
        <is>
          <t>BBG00S5CKSM8 Equity (TSLA US 12/18/20 P190)</t>
        </is>
      </c>
      <c r="U1" t="inlineStr">
        <is>
          <t>BBG00TLY5PR8 Equity (TSLA US 12/18/20 P191)</t>
        </is>
      </c>
      <c r="Y1" t="inlineStr">
        <is>
          <t>BBG00TLY5QV1 Equity (TSLA US 12/18/20 P192)</t>
        </is>
      </c>
      <c r="AC1" t="inlineStr">
        <is>
          <t>BBG00TLY5RY6 Equity (TSLA US 12/18/20 P193)</t>
        </is>
      </c>
      <c r="AG1" t="inlineStr">
        <is>
          <t>BBG00TLY5T27 Equity (TSLA US 12/18/20 P194)</t>
        </is>
      </c>
      <c r="AK1" t="inlineStr">
        <is>
          <t>BBG00MF81611 Equity (TSLA US 01/15/21 P120)</t>
        </is>
      </c>
      <c r="AO1" t="inlineStr">
        <is>
          <t>BBG00T3V46R7 Equity (TSLA US 01/15/21 P121)</t>
        </is>
      </c>
      <c r="AS1" t="inlineStr">
        <is>
          <t>BBG00MF81728 Equity (TSLA US 01/15/21 P122)</t>
        </is>
      </c>
      <c r="AW1" t="inlineStr">
        <is>
          <t>BBG00T3V47V0 Equity (TSLA US 01/15/21 P123)</t>
        </is>
      </c>
      <c r="BA1" t="inlineStr">
        <is>
          <t>BBG00MF81844 Equity (TSLA US 01/15/21 P124)</t>
        </is>
      </c>
      <c r="BE1" t="inlineStr">
        <is>
          <t>BBG00T3V48Y5 Equity (TSLA US 01/15/21 P125)</t>
        </is>
      </c>
      <c r="BI1" t="inlineStr">
        <is>
          <t>BBG00MF81951 Equity (TSLA US 01/15/21 P126)</t>
        </is>
      </c>
      <c r="BM1" t="inlineStr">
        <is>
          <t>BBG00T3V4B23 Equity (TSLA US 01/15/21 P127)</t>
        </is>
      </c>
      <c r="BQ1" t="inlineStr">
        <is>
          <t>BBG00MF81B65 Equity (TSLA US 01/15/21 P128)</t>
        </is>
      </c>
      <c r="BU1" t="inlineStr">
        <is>
          <t>BBG00T3V4C58 Equity (TSLA US 01/15/21 P129)</t>
        </is>
      </c>
      <c r="BY1" t="inlineStr">
        <is>
          <t>BBG00MF81C81 Equity (TSLA US 01/15/21 P130)</t>
        </is>
      </c>
      <c r="CC1" t="inlineStr">
        <is>
          <t>BBG00T3V4D83 Equity (TSLA US 01/15/21 P131)</t>
        </is>
      </c>
      <c r="CG1" t="inlineStr">
        <is>
          <t>BBG00MF81D98 Equity (TSLA US 01/15/21 P132)</t>
        </is>
      </c>
      <c r="CK1" t="inlineStr">
        <is>
          <t>BBG00T3V4FD2 Equity (TSLA US 01/15/21 P133)</t>
        </is>
      </c>
      <c r="CO1" t="inlineStr">
        <is>
          <t>BBG00MF81FB0 Equity (TSLA US 01/15/21 P134)</t>
        </is>
      </c>
      <c r="CS1" t="inlineStr">
        <is>
          <t>BBG00T3V4GH6 Equity (TSLA US 01/15/21 P135)</t>
        </is>
      </c>
      <c r="CW1" t="inlineStr">
        <is>
          <t>BBG00MF81GD6 Equity (TSLA US 01/15/21 P136)</t>
        </is>
      </c>
      <c r="DA1" t="inlineStr">
        <is>
          <t>BBG00T3V4HL9 Equity (TSLA US 01/15/21 P137)</t>
        </is>
      </c>
      <c r="DE1" t="inlineStr">
        <is>
          <t>BBG00MF81HF2 Equity (TSLA US 01/15/21 P138)</t>
        </is>
      </c>
      <c r="DI1" t="inlineStr">
        <is>
          <t>BBG00T3V4JQ0 Equity (TSLA US 01/15/21 P139)</t>
        </is>
      </c>
      <c r="DM1" t="inlineStr">
        <is>
          <t>BBG00R81LNF9 Equity (TSLA US 01/15/21 P140)</t>
        </is>
      </c>
      <c r="DQ1" t="inlineStr">
        <is>
          <t>BBG00RT64W73 Equity (TSLA US 01/15/21 P141)</t>
        </is>
      </c>
      <c r="DU1" t="inlineStr">
        <is>
          <t>BBG00R81LPJ0 Equity (TSLA US 01/15/21 P142)</t>
        </is>
      </c>
      <c r="DY1" t="inlineStr">
        <is>
          <t>BBG00RT64XB6 Equity (TSLA US 01/15/21 P143)</t>
        </is>
      </c>
      <c r="EC1" t="inlineStr">
        <is>
          <t>BBG00R81LQM4 Equity (TSLA US 01/15/21 P144)</t>
        </is>
      </c>
      <c r="EG1" t="inlineStr">
        <is>
          <t>BBG00RT64YG9 Equity (TSLA US 01/15/21 P145)</t>
        </is>
      </c>
      <c r="EK1" t="inlineStr">
        <is>
          <t>BBG00R81LRR7 Equity (TSLA US 01/15/21 P146)</t>
        </is>
      </c>
      <c r="EO1" t="inlineStr">
        <is>
          <t>BBG00RT64ZK1 Equity (TSLA US 01/15/21 P147)</t>
        </is>
      </c>
      <c r="ES1" t="inlineStr">
        <is>
          <t>BBG00R81LSV0 Equity (TSLA US 01/15/21 P148)</t>
        </is>
      </c>
      <c r="EW1" t="inlineStr">
        <is>
          <t>BBG00RT650N4 Equity (TSLA US 01/15/21 P149)</t>
        </is>
      </c>
      <c r="FA1" t="inlineStr">
        <is>
          <t>BBG00R81LTY5 Equity (TSLA US 01/15/21 P150)</t>
        </is>
      </c>
      <c r="FE1" t="inlineStr">
        <is>
          <t>BBG00RT651S7 Equity (TSLA US 01/15/21 P151)</t>
        </is>
      </c>
      <c r="FI1" t="inlineStr">
        <is>
          <t>BBG00R81LW23 Equity (TSLA US 01/15/21 P152)</t>
        </is>
      </c>
      <c r="FM1" t="inlineStr">
        <is>
          <t>BBG00RT652W0 Equity (TSLA US 01/15/21 P153)</t>
        </is>
      </c>
      <c r="FQ1" t="inlineStr">
        <is>
          <t>BBG00R81LX58 Equity (TSLA US 01/15/21 P154)</t>
        </is>
      </c>
      <c r="FU1" t="inlineStr">
        <is>
          <t>BBG00RT653Z5 Equity (TSLA US 01/15/21 P155)</t>
        </is>
      </c>
      <c r="FY1" t="inlineStr">
        <is>
          <t>BBG00R81LY83 Equity (TSLA US 01/15/21 P156)</t>
        </is>
      </c>
      <c r="GC1" t="inlineStr">
        <is>
          <t>BBG00RT65535 Equity (TSLA US 01/15/21 P157)</t>
        </is>
      </c>
      <c r="GG1" t="inlineStr">
        <is>
          <t>BBG00R81LZD4 Equity (TSLA US 01/15/21 P158)</t>
        </is>
      </c>
      <c r="GK1" t="inlineStr">
        <is>
          <t>BBG00RT65660 Equity (TSLA US 01/15/21 P159)</t>
        </is>
      </c>
      <c r="GO1" t="inlineStr">
        <is>
          <t>BBG00R81M0H6 Equity (TSLA US 01/15/21 P160)</t>
        </is>
      </c>
      <c r="GS1" t="inlineStr">
        <is>
          <t>BBG00RT65795 Equity (TSLA US 01/15/21 P161)</t>
        </is>
      </c>
      <c r="GW1" t="inlineStr">
        <is>
          <t>BBG00R81M1L9 Equity (TSLA US 01/15/21 P162)</t>
        </is>
      </c>
      <c r="HA1" t="inlineStr">
        <is>
          <t>BBG00RT658F6 Equity (TSLA US 01/15/21 P163)</t>
        </is>
      </c>
      <c r="HE1" t="inlineStr">
        <is>
          <t>BBG00R81M2Q2 Equity (TSLA US 01/15/21 P164)</t>
        </is>
      </c>
      <c r="HI1" t="inlineStr">
        <is>
          <t>BBG00RT659J0 Equity (TSLA US 01/15/21 P165)</t>
        </is>
      </c>
      <c r="HM1" t="inlineStr">
        <is>
          <t>BBG00R81M3T7 Equity (TSLA US 01/15/21 P166)</t>
        </is>
      </c>
      <c r="HQ1" t="inlineStr">
        <is>
          <t>BBG00RT65BN0 Equity (TSLA US 01/15/21 P167)</t>
        </is>
      </c>
      <c r="HU1" t="inlineStr">
        <is>
          <t>BBG00R81M4X0 Equity (TSLA US 01/15/21 P168)</t>
        </is>
      </c>
      <c r="HY1" t="inlineStr">
        <is>
          <t>BBG00RT65CR4 Equity (TSLA US 01/15/21 P169)</t>
        </is>
      </c>
      <c r="IC1" t="inlineStr">
        <is>
          <t>BBG00R81M610 Equity (TSLA US 01/15/21 P170)</t>
        </is>
      </c>
      <c r="IG1" t="inlineStr">
        <is>
          <t>BBG00R9BCWP5 Equity (TSLA US 01/15/21 P171)</t>
        </is>
      </c>
      <c r="IK1" t="inlineStr">
        <is>
          <t>BBG00RJNSNN3 Equity (TSLA US 01/15/21 P172)</t>
        </is>
      </c>
      <c r="IO1" t="inlineStr">
        <is>
          <t>BBG00RT65DV7 Equity (TSLA US 01/15/21 P173)</t>
        </is>
      </c>
      <c r="IS1" t="inlineStr">
        <is>
          <t>BBG00RT65FZ8 Equity (TSLA US 01/15/21 P174)</t>
        </is>
      </c>
      <c r="IW1" t="inlineStr">
        <is>
          <t>BBG00RT65H20 Equity (TSLA US 01/15/21 P175)</t>
        </is>
      </c>
      <c r="JA1" t="inlineStr">
        <is>
          <t>BBG00RM3JDR1 Equity (TSLA US 01/15/21 P176)</t>
        </is>
      </c>
      <c r="JE1" t="inlineStr">
        <is>
          <t>BBG00RT65J53 Equity (TSLA US 01/15/21 P177)</t>
        </is>
      </c>
      <c r="JI1" t="inlineStr">
        <is>
          <t>BBG00RT65K96 Equity (TSLA US 01/15/21 P178)</t>
        </is>
      </c>
      <c r="JM1" t="inlineStr">
        <is>
          <t>BBG00RT65LD9 Equity (TSLA US 01/15/21 P179)</t>
        </is>
      </c>
      <c r="JQ1" t="inlineStr">
        <is>
          <t>BBG00R9JVTQ3 Equity (TSLA US 01/15/21 P180)</t>
        </is>
      </c>
      <c r="JU1" t="inlineStr">
        <is>
          <t>BBG00R9JVVT5 Equity (TSLA US 01/15/21 P181)</t>
        </is>
      </c>
      <c r="JY1" t="inlineStr">
        <is>
          <t>BBG00RC1ZBB9 Equity (TSLA US 01/15/21 P182)</t>
        </is>
      </c>
      <c r="KC1" t="inlineStr">
        <is>
          <t>BBG00RC1ZCF3 Equity (TSLA US 01/15/21 P183)</t>
        </is>
      </c>
      <c r="KG1" t="inlineStr">
        <is>
          <t>BBG00RC1ZDK5 Equity (TSLA US 01/15/21 P184)</t>
        </is>
      </c>
      <c r="KK1" t="inlineStr">
        <is>
          <t>BBG00RC1ZFN7 Equity (TSLA US 01/15/21 P185)</t>
        </is>
      </c>
      <c r="KO1" t="inlineStr">
        <is>
          <t>BBG00RC1ZGR1 Equity (TSLA US 01/15/21 P186)</t>
        </is>
      </c>
      <c r="KS1" t="inlineStr">
        <is>
          <t>BBG00RC1ZHW3 Equity (TSLA US 01/15/21 P187)</t>
        </is>
      </c>
      <c r="KW1" t="inlineStr">
        <is>
          <t>BBG00RC1ZJZ6 Equity (TSLA US 01/15/21 P188)</t>
        </is>
      </c>
      <c r="LA1" t="inlineStr">
        <is>
          <t>BBG00RC1ZL27 Equity (TSLA US 01/15/21 P189)</t>
        </is>
      </c>
      <c r="LE1" t="inlineStr">
        <is>
          <t>BBG00RC1ZM61 Equity (TSLA US 01/15/21 P190)</t>
        </is>
      </c>
      <c r="LI1" t="inlineStr">
        <is>
          <t>BBG00RC1ZN96 Equity (TSLA US 01/15/21 P191)</t>
        </is>
      </c>
      <c r="LM1" t="inlineStr">
        <is>
          <t>BBG00RC1ZPD6 Equity (TSLA US 01/15/21 P192)</t>
        </is>
      </c>
      <c r="LQ1" t="inlineStr">
        <is>
          <t>BBG00RC1ZQJ8 Equity (TSLA US 01/15/21 P193)</t>
        </is>
      </c>
      <c r="LU1" t="inlineStr">
        <is>
          <t>BBG00RC1ZRM2 Equity (TSLA US 01/15/21 P194)</t>
        </is>
      </c>
      <c r="LY1" t="inlineStr">
        <is>
          <t>BBG00YM13BM6 Equity (TSLA US 02/19/21 P200)</t>
        </is>
      </c>
      <c r="MC1" t="inlineStr">
        <is>
          <t>BBG00YM13CQ0 Equity (TSLA US 02/19/21 P210)</t>
        </is>
      </c>
      <c r="MG1" t="inlineStr">
        <is>
          <t>BBG00YM13DV2 Equity (TSLA US 02/19/21 P220)</t>
        </is>
      </c>
      <c r="MK1" t="inlineStr">
        <is>
          <t>BBG00YM13FY4 Equity (TSLA US 02/19/21 P230)</t>
        </is>
      </c>
      <c r="MO1" t="inlineStr">
        <is>
          <t>BBG00XBC0X23 Equity (TSLA US 02/19/21 P240)</t>
        </is>
      </c>
      <c r="MS1" t="inlineStr">
        <is>
          <t>BBG00XBC0Y58 Equity (TSLA US 02/19/21 P250)</t>
        </is>
      </c>
      <c r="MW1" t="inlineStr">
        <is>
          <t>BBG00XBC0Z82 Equity (TSLA US 02/19/21 P260)</t>
        </is>
      </c>
      <c r="NA1" t="inlineStr">
        <is>
          <t>BBG00XBC10D2 Equity (TSLA US 02/19/21 P270)</t>
        </is>
      </c>
      <c r="NE1" t="inlineStr">
        <is>
          <t>BBG00WKWYSS7 Equity (TSLA US 02/19/21 P272)</t>
        </is>
      </c>
      <c r="NI1" t="inlineStr">
        <is>
          <t>BBG00WKWYTW0 Equity (TSLA US 02/19/21 P273)</t>
        </is>
      </c>
      <c r="NM1" t="inlineStr">
        <is>
          <t>BBG00WKWYW08 Equity (TSLA US 02/19/21 P274)</t>
        </is>
      </c>
      <c r="NQ1" t="inlineStr">
        <is>
          <t>BBG00WKWYX33 Equity (TSLA US 02/19/21 P275)</t>
        </is>
      </c>
      <c r="NU1" t="inlineStr">
        <is>
          <t>BBG00WKWYY68 Equity (TSLA US 02/19/21 P276)</t>
        </is>
      </c>
      <c r="NY1" t="inlineStr">
        <is>
          <t>BBG00WKWYZB9 Equity (TSLA US 02/19/21 P277)</t>
        </is>
      </c>
      <c r="OC1" t="inlineStr">
        <is>
          <t>BBG00WKWZ0F1 Equity (TSLA US 02/19/21 P278)</t>
        </is>
      </c>
      <c r="OG1" t="inlineStr">
        <is>
          <t>BBG00WKWZ1J5 Equity (TSLA US 02/19/21 P279)</t>
        </is>
      </c>
      <c r="OK1" t="inlineStr">
        <is>
          <t>BBG00WKWZ2N8 Equity (TSLA US 02/19/21 P280)</t>
        </is>
      </c>
      <c r="OO1" t="inlineStr">
        <is>
          <t>BBG00WKWZ3R2 Equity (TSLA US 02/19/21 P281)</t>
        </is>
      </c>
      <c r="OS1" t="inlineStr">
        <is>
          <t>BBG00WKWZ4V5 Equity (TSLA US 02/19/21 P282)</t>
        </is>
      </c>
      <c r="OW1" t="inlineStr">
        <is>
          <t>BBG00WKWZ5Z8 Equity (TSLA US 02/19/21 P283)</t>
        </is>
      </c>
      <c r="PA1" t="inlineStr">
        <is>
          <t>BBG00WKWZ720 Equity (TSLA US 02/19/21 P284)</t>
        </is>
      </c>
      <c r="PE1" t="inlineStr">
        <is>
          <t>BBG00WKWZ855 Equity (TSLA US 02/19/21 P285)</t>
        </is>
      </c>
      <c r="PI1" t="inlineStr">
        <is>
          <t>BBG00WKWZ999 Equity (TSLA US 02/19/21 P286)</t>
        </is>
      </c>
      <c r="PM1" t="inlineStr">
        <is>
          <t>BBG00WKWZBD9 Equity (TSLA US 02/19/21 P287)</t>
        </is>
      </c>
      <c r="PQ1" t="inlineStr">
        <is>
          <t>BBG00WKWZCH3 Equity (TSLA US 02/19/21 P288)</t>
        </is>
      </c>
      <c r="PU1" t="inlineStr">
        <is>
          <t>BBG00WKWZDM5 Equity (TSLA US 02/19/21 P289)</t>
        </is>
      </c>
      <c r="PY1" t="inlineStr">
        <is>
          <t>BBG00WKWZFQ6 Equity (TSLA US 02/19/21 P290)</t>
        </is>
      </c>
      <c r="QC1" t="inlineStr">
        <is>
          <t>BBG00WKWZGT1 Equity (TSLA US 02/19/21 P291)</t>
        </is>
      </c>
      <c r="QG1" t="inlineStr">
        <is>
          <t>BBG00WKWZHY3 Equity (TSLA US 02/19/21 P292)</t>
        </is>
      </c>
      <c r="QK1" t="inlineStr">
        <is>
          <t>BBG00WKF2JL6 Equity (TSLA US 02/19/21 P293)</t>
        </is>
      </c>
      <c r="QO1" t="inlineStr">
        <is>
          <t>BBG00WKF2KP9 Equity (TSLA US 02/19/21 P294)</t>
        </is>
      </c>
      <c r="QS1" t="inlineStr">
        <is>
          <t>BBG00WKF2LS4 Equity (TSLA US 02/19/21 P295)</t>
        </is>
      </c>
      <c r="QW1" t="inlineStr">
        <is>
          <t>BBG00WKF2N00 Equity (TSLA US 02/19/21 P296)</t>
        </is>
      </c>
      <c r="RA1" t="inlineStr">
        <is>
          <t>BBG00WKF2P32 Equity (TSLA US 02/19/21 P297)</t>
        </is>
      </c>
      <c r="RE1" t="inlineStr">
        <is>
          <t>BBG00WKF2Q67 Equity (TSLA US 02/19/21 P298)</t>
        </is>
      </c>
      <c r="RI1" t="inlineStr">
        <is>
          <t>BBG00WKF2RB9 Equity (TSLA US 02/19/21 P299)</t>
        </is>
      </c>
      <c r="RM1" t="inlineStr">
        <is>
          <t>BBG00WKF2SF3 Equity (TSLA US 02/19/21 P300)</t>
        </is>
      </c>
      <c r="RQ1" t="inlineStr">
        <is>
          <t>BBG00WKF2TK5 Equity (TSLA US 02/19/21 P301)</t>
        </is>
      </c>
      <c r="RU1" t="inlineStr">
        <is>
          <t>BBG00WKF2VN7 Equity (TSLA US 02/19/21 P302)</t>
        </is>
      </c>
      <c r="RY1" t="inlineStr">
        <is>
          <t>BBG00WKF2WR1 Equity (TSLA US 02/19/21 P303)</t>
        </is>
      </c>
      <c r="SC1" t="inlineStr">
        <is>
          <t>BBG00WKWZK12 Equity (TSLA US 02/19/21 P304)</t>
        </is>
      </c>
      <c r="SG1" t="inlineStr">
        <is>
          <t>BBG00WKWZL47 Equity (TSLA US 02/19/21 P305)</t>
        </is>
      </c>
      <c r="SK1" t="inlineStr">
        <is>
          <t>BBG00QQCGWS9 Equity (TSLA US 03/19/21 P120)</t>
        </is>
      </c>
      <c r="SO1" t="inlineStr">
        <is>
          <t>BBG00QQCGXW2 Equity (TSLA US 03/19/21 P122)</t>
        </is>
      </c>
      <c r="SS1" t="inlineStr">
        <is>
          <t>BBG00QQCGZ02 Equity (TSLA US 03/19/21 P124)</t>
        </is>
      </c>
      <c r="SW1" t="inlineStr">
        <is>
          <t>BBG00QQCH035 Equity (TSLA US 03/19/21 P126)</t>
        </is>
      </c>
      <c r="TA1" t="inlineStr">
        <is>
          <t>BBG00QQCH160 Equity (TSLA US 03/19/21 P128)</t>
        </is>
      </c>
      <c r="TE1" t="inlineStr">
        <is>
          <t>BBG00R81M745 Equity (TSLA US 03/19/21 P130)</t>
        </is>
      </c>
      <c r="TI1" t="inlineStr">
        <is>
          <t>BBG00R81M870 Equity (TSLA US 03/19/21 P132)</t>
        </is>
      </c>
      <c r="TM1" t="inlineStr">
        <is>
          <t>BBG00R81M9C2 Equity (TSLA US 03/19/21 P134)</t>
        </is>
      </c>
      <c r="TQ1" t="inlineStr">
        <is>
          <t>BBG00R81MBG3 Equity (TSLA US 03/19/21 P136)</t>
        </is>
      </c>
      <c r="TU1" t="inlineStr">
        <is>
          <t>BBG00R81MCL5 Equity (TSLA US 03/19/21 P138)</t>
        </is>
      </c>
      <c r="TY1" t="inlineStr">
        <is>
          <t>BBG00R81MDP9 Equity (TSLA US 03/19/21 P140)</t>
        </is>
      </c>
      <c r="UC1" t="inlineStr">
        <is>
          <t>BBG00RT65MH3 Equity (TSLA US 03/19/21 P141)</t>
        </is>
      </c>
      <c r="UG1" t="inlineStr">
        <is>
          <t>BBG00R81MFS1 Equity (TSLA US 03/19/21 P142)</t>
        </is>
      </c>
      <c r="UK1" t="inlineStr">
        <is>
          <t>BBG00RT65NM5 Equity (TSLA US 03/19/21 P143)</t>
        </is>
      </c>
      <c r="UO1" t="inlineStr">
        <is>
          <t>BBG00R81MGX3 Equity (TSLA US 03/19/21 P144)</t>
        </is>
      </c>
      <c r="US1" t="inlineStr">
        <is>
          <t>BBG00RT65PQ6 Equity (TSLA US 03/19/21 P145)</t>
        </is>
      </c>
      <c r="UW1" t="inlineStr">
        <is>
          <t>BBG00R81MJ03 Equity (TSLA US 03/19/21 P146)</t>
        </is>
      </c>
      <c r="VA1" t="inlineStr">
        <is>
          <t>BBG00RT65QT1 Equity (TSLA US 03/19/21 P147)</t>
        </is>
      </c>
      <c r="VE1" t="inlineStr">
        <is>
          <t>BBG00R81MK37 Equity (TSLA US 03/19/21 P148)</t>
        </is>
      </c>
      <c r="VI1" t="inlineStr">
        <is>
          <t>BBG00RT65RY3 Equity (TSLA US 03/19/21 P149)</t>
        </is>
      </c>
      <c r="VM1" t="inlineStr">
        <is>
          <t>BBG00R81ML71 Equity (TSLA US 03/19/21 P150)</t>
        </is>
      </c>
      <c r="VQ1" t="inlineStr">
        <is>
          <t>BBG00RT65T15 Equity (TSLA US 03/19/21 P151)</t>
        </is>
      </c>
      <c r="VU1" t="inlineStr">
        <is>
          <t>BBG00R81MMB4 Equity (TSLA US 03/19/21 P152)</t>
        </is>
      </c>
      <c r="VY1" t="inlineStr">
        <is>
          <t>BBG00RT65V47 Equity (TSLA US 03/19/21 P153)</t>
        </is>
      </c>
      <c r="WC1" t="inlineStr">
        <is>
          <t>BBG00R81MNF8 Equity (TSLA US 03/19/21 P154)</t>
        </is>
      </c>
      <c r="WG1" t="inlineStr">
        <is>
          <t>BBG00RT65WB7 Equity (TSLA US 03/19/21 P155)</t>
        </is>
      </c>
      <c r="WK1" t="inlineStr">
        <is>
          <t>BBG00R81MPK7 Equity (TSLA US 03/19/21 P156)</t>
        </is>
      </c>
      <c r="WO1" t="inlineStr">
        <is>
          <t>BBG00RT65XF1 Equity (TSLA US 03/19/21 P157)</t>
        </is>
      </c>
      <c r="WS1" t="inlineStr">
        <is>
          <t>BBG00R81MQN2 Equity (TSLA US 03/19/21 P158)</t>
        </is>
      </c>
      <c r="WW1" t="inlineStr">
        <is>
          <t>BBG00RT65YJ5 Equity (TSLA US 03/19/21 P159)</t>
        </is>
      </c>
      <c r="XA1" t="inlineStr">
        <is>
          <t>BBG00R81MRR6 Equity (TSLA US 03/19/21 P160)</t>
        </is>
      </c>
      <c r="XE1" t="inlineStr">
        <is>
          <t>BBG00RT65ZN7 Equity (TSLA US 03/19/21 P161)</t>
        </is>
      </c>
      <c r="XI1" t="inlineStr">
        <is>
          <t>BBG00R81MSW8 Equity (TSLA US 03/19/21 P162)</t>
        </is>
      </c>
      <c r="XM1" t="inlineStr">
        <is>
          <t>BBG00RT660R9 Equity (TSLA US 03/19/21 P163)</t>
        </is>
      </c>
      <c r="XQ1" t="inlineStr">
        <is>
          <t>BBG00R81MTZ3 Equity (TSLA US 03/19/21 P164)</t>
        </is>
      </c>
      <c r="XU1" t="inlineStr">
        <is>
          <t>BBG00RT661V2 Equity (TSLA US 03/19/21 P165)</t>
        </is>
      </c>
      <c r="XY1" t="inlineStr">
        <is>
          <t>BBG00R81MW22 Equity (TSLA US 03/19/21 P166)</t>
        </is>
      </c>
      <c r="YC1" t="inlineStr">
        <is>
          <t>BBG00RT662Z6 Equity (TSLA US 03/19/21 P167)</t>
        </is>
      </c>
      <c r="YG1" t="inlineStr">
        <is>
          <t>BBG00R81MX66 Equity (TSLA US 03/19/21 P168)</t>
        </is>
      </c>
      <c r="YK1" t="inlineStr">
        <is>
          <t>BBG00RT66428 Equity (TSLA US 03/19/21 P169)</t>
        </is>
      </c>
      <c r="YO1" t="inlineStr">
        <is>
          <t>BBG00R81MY91 Equity (TSLA US 03/19/21 P170)</t>
        </is>
      </c>
      <c r="YS1" t="inlineStr">
        <is>
          <t>BBG00RT66552 Equity (TSLA US 03/19/21 P171)</t>
        </is>
      </c>
      <c r="YW1" t="inlineStr">
        <is>
          <t>BBG00R9XTT85 Equity (TSLA US 03/19/21 P172)</t>
        </is>
      </c>
      <c r="ZA1" t="inlineStr">
        <is>
          <t>BBG00RT66696 Equity (TSLA US 03/19/21 P173)</t>
        </is>
      </c>
      <c r="ZE1" t="inlineStr">
        <is>
          <t>BBG00R9XTVD4 Equity (TSLA US 03/19/21 P174)</t>
        </is>
      </c>
      <c r="ZI1" t="inlineStr">
        <is>
          <t>BBG00RT667D9 Equity (TSLA US 03/19/21 P175)</t>
        </is>
      </c>
      <c r="ZM1" t="inlineStr">
        <is>
          <t>BBG00R9XTWH8 Equity (TSLA US 03/19/21 P176)</t>
        </is>
      </c>
      <c r="ZQ1" t="inlineStr">
        <is>
          <t>BBG00RT668H3 Equity (TSLA US 03/19/21 P177)</t>
        </is>
      </c>
      <c r="ZU1" t="inlineStr">
        <is>
          <t>BBG00R9XTXL1 Equity (TSLA US 03/19/21 P178)</t>
        </is>
      </c>
      <c r="ZY1" t="inlineStr">
        <is>
          <t>BBG00RT669M5 Equity (TSLA US 03/19/21 P179)</t>
        </is>
      </c>
      <c r="AAC1" t="inlineStr">
        <is>
          <t>BBG00R9XTYQ4 Equity (TSLA US 03/19/21 P180)</t>
        </is>
      </c>
      <c r="AAG1" t="inlineStr">
        <is>
          <t>BBG00RT66BQ6 Equity (TSLA US 03/19/21 P181)</t>
        </is>
      </c>
      <c r="AAK1" t="inlineStr">
        <is>
          <t>BBG00RD4PGH6 Equity (TSLA US 03/19/21 P182)</t>
        </is>
      </c>
      <c r="AAO1" t="inlineStr">
        <is>
          <t>BBG00RT66CT1 Equity (TSLA US 03/19/21 P183)</t>
        </is>
      </c>
      <c r="AAS1" t="inlineStr">
        <is>
          <t>BBG00RD4PHL9 Equity (TSLA US 03/19/21 P184)</t>
        </is>
      </c>
      <c r="AAW1" t="inlineStr">
        <is>
          <t>BBG00RT66DY3 Equity (TSLA US 03/19/21 P185)</t>
        </is>
      </c>
      <c r="ABA1" t="inlineStr">
        <is>
          <t>BBG00RD4PJP1 Equity (TSLA US 03/19/21 P186)</t>
        </is>
      </c>
      <c r="ABE1" t="inlineStr">
        <is>
          <t>BBG00RT66G12 Equity (TSLA US 03/19/21 P187)</t>
        </is>
      </c>
      <c r="ABI1" t="inlineStr">
        <is>
          <t>BBG00RD4PKT4 Equity (TSLA US 03/19/21 P188)</t>
        </is>
      </c>
      <c r="ABM1" t="inlineStr">
        <is>
          <t>BBG00RT66H56 Equity (TSLA US 03/19/21 P189)</t>
        </is>
      </c>
      <c r="ABQ1" t="inlineStr">
        <is>
          <t>BBG00RD4PLX7 Equity (TSLA US 03/19/21 P190)</t>
        </is>
      </c>
      <c r="ABU1" t="inlineStr">
        <is>
          <t>BBG00RD4PN09 Equity (TSLA US 03/19/21 P192)</t>
        </is>
      </c>
      <c r="ABY1" t="inlineStr">
        <is>
          <t>BBG00RD4PP40 Equity (TSLA US 03/19/21 P194)</t>
        </is>
      </c>
      <c r="ACC1" t="inlineStr">
        <is>
          <t>BBG00RD4PQ75 Equity (TSLA US 03/19/21 P196)</t>
        </is>
      </c>
      <c r="ACG1" t="inlineStr">
        <is>
          <t>BBG00RD4PRC7 Equity (TSLA US 03/19/21 P198)</t>
        </is>
      </c>
      <c r="ACK1" t="inlineStr">
        <is>
          <t>BBG00RD4PSG1 Equity (TSLA US 03/19/21 P199)</t>
        </is>
      </c>
      <c r="ACO1" t="inlineStr">
        <is>
          <t>BBG00RD4PTK4 Equity (TSLA US 03/19/21 P200)</t>
        </is>
      </c>
      <c r="ACS1" t="inlineStr">
        <is>
          <t>BBG00RD4PVP4 Equity (TSLA US 03/19/21 P201)</t>
        </is>
      </c>
      <c r="ACW1" t="inlineStr">
        <is>
          <t>BBG00RD4PWS9 Equity (TSLA US 03/19/21 P202)</t>
        </is>
      </c>
      <c r="ADA1" t="inlineStr">
        <is>
          <t>BBG00RD4PXW2 Equity (TSLA US 03/19/21 P203)</t>
        </is>
      </c>
      <c r="ADE1" t="inlineStr">
        <is>
          <t>BBG00RMPJKY8 Equity (TSLA US 03/19/21 P204)</t>
        </is>
      </c>
      <c r="ADI1" t="inlineStr">
        <is>
          <t>BBG00VXXPXN7 Equity (TSLA US 03/19/21 P206)</t>
        </is>
      </c>
      <c r="ADM1" t="inlineStr">
        <is>
          <t>BBG00RMPJM10 Equity (TSLA US 03/19/21 P208)</t>
        </is>
      </c>
      <c r="ADQ1" t="inlineStr">
        <is>
          <t>BBG00RMPJN54 Equity (TSLA US 03/19/21 P210)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BDH("BBG00TLY5K99 Equity","PX_LAST,PX_VOLUME","1/1/2020","6/10/2026")</f>
        <v/>
      </c>
      <c r="E3">
        <f>BDH("BBG00TLY5LF0 Equity","PX_LAST,PX_VOLUME","1/1/2020","6/10/2026")</f>
        <v/>
      </c>
      <c r="I3">
        <f>BDH("BBG00TLY5MJ4 Equity","PX_LAST,PX_VOLUME","1/1/2020","6/10/2026")</f>
        <v/>
      </c>
      <c r="M3">
        <f>BDH("BBG00TLY5NM8 Equity","PX_LAST,PX_VOLUME","1/1/2020","6/10/2026")</f>
        <v/>
      </c>
      <c r="Q3">
        <f>BDH("BBG00S5CKSM8 Equity","PX_LAST,PX_VOLUME","1/1/2020","6/10/2026")</f>
        <v/>
      </c>
      <c r="U3">
        <f>BDH("BBG00TLY5PR8 Equity","PX_LAST,PX_VOLUME","1/1/2020","6/10/2026")</f>
        <v/>
      </c>
      <c r="Y3">
        <f>BDH("BBG00TLY5QV1 Equity","PX_LAST,PX_VOLUME","1/1/2020","6/10/2026")</f>
        <v/>
      </c>
      <c r="AC3">
        <f>BDH("BBG00TLY5RY6 Equity","PX_LAST,PX_VOLUME","1/1/2020","6/10/2026")</f>
        <v/>
      </c>
      <c r="AG3">
        <f>BDH("BBG00TLY5T27 Equity","PX_LAST,PX_VOLUME","1/1/2020","6/10/2026")</f>
        <v/>
      </c>
      <c r="AK3">
        <f>BDH("BBG00MF81611 Equity","PX_LAST,PX_VOLUME","1/1/2020","6/10/2026")</f>
        <v/>
      </c>
      <c r="AO3">
        <f>BDH("BBG00T3V46R7 Equity","PX_LAST,PX_VOLUME","1/1/2020","6/10/2026")</f>
        <v/>
      </c>
      <c r="AS3">
        <f>BDH("BBG00MF81728 Equity","PX_LAST,PX_VOLUME","1/1/2020","6/10/2026")</f>
        <v/>
      </c>
      <c r="AW3">
        <f>BDH("BBG00T3V47V0 Equity","PX_LAST,PX_VOLUME","1/1/2020","6/10/2026")</f>
        <v/>
      </c>
      <c r="BA3">
        <f>BDH("BBG00MF81844 Equity","PX_LAST,PX_VOLUME","1/1/2020","6/10/2026")</f>
        <v/>
      </c>
      <c r="BE3">
        <f>BDH("BBG00T3V48Y5 Equity","PX_LAST,PX_VOLUME","1/1/2020","6/10/2026")</f>
        <v/>
      </c>
      <c r="BI3">
        <f>BDH("BBG00MF81951 Equity","PX_LAST,PX_VOLUME","1/1/2020","6/10/2026")</f>
        <v/>
      </c>
      <c r="BM3">
        <f>BDH("BBG00T3V4B23 Equity","PX_LAST,PX_VOLUME","1/1/2020","6/10/2026")</f>
        <v/>
      </c>
      <c r="BQ3">
        <f>BDH("BBG00MF81B65 Equity","PX_LAST,PX_VOLUME","1/1/2020","6/10/2026")</f>
        <v/>
      </c>
      <c r="BU3">
        <f>BDH("BBG00T3V4C58 Equity","PX_LAST,PX_VOLUME","1/1/2020","6/10/2026")</f>
        <v/>
      </c>
      <c r="BY3">
        <f>BDH("BBG00MF81C81 Equity","PX_LAST,PX_VOLUME","1/1/2020","6/10/2026")</f>
        <v/>
      </c>
      <c r="CC3">
        <f>BDH("BBG00T3V4D83 Equity","PX_LAST,PX_VOLUME","1/1/2020","6/10/2026")</f>
        <v/>
      </c>
      <c r="CG3">
        <f>BDH("BBG00MF81D98 Equity","PX_LAST,PX_VOLUME","1/1/2020","6/10/2026")</f>
        <v/>
      </c>
      <c r="CK3">
        <f>BDH("BBG00T3V4FD2 Equity","PX_LAST,PX_VOLUME","1/1/2020","6/10/2026")</f>
        <v/>
      </c>
      <c r="CO3">
        <f>BDH("BBG00MF81FB0 Equity","PX_LAST,PX_VOLUME","1/1/2020","6/10/2026")</f>
        <v/>
      </c>
      <c r="CS3">
        <f>BDH("BBG00T3V4GH6 Equity","PX_LAST,PX_VOLUME","1/1/2020","6/10/2026")</f>
        <v/>
      </c>
      <c r="CW3">
        <f>BDH("BBG00MF81GD6 Equity","PX_LAST,PX_VOLUME","1/1/2020","6/10/2026")</f>
        <v/>
      </c>
      <c r="DA3">
        <f>BDH("BBG00T3V4HL9 Equity","PX_LAST,PX_VOLUME","1/1/2020","6/10/2026")</f>
        <v/>
      </c>
      <c r="DE3">
        <f>BDH("BBG00MF81HF2 Equity","PX_LAST,PX_VOLUME","1/1/2020","6/10/2026")</f>
        <v/>
      </c>
      <c r="DI3">
        <f>BDH("BBG00T3V4JQ0 Equity","PX_LAST,PX_VOLUME","1/1/2020","6/10/2026")</f>
        <v/>
      </c>
      <c r="DM3">
        <f>BDH("BBG00R81LNF9 Equity","PX_LAST,PX_VOLUME","1/1/2020","6/10/2026")</f>
        <v/>
      </c>
      <c r="DQ3">
        <f>BDH("BBG00RT64W73 Equity","PX_LAST,PX_VOLUME","1/1/2020","6/10/2026")</f>
        <v/>
      </c>
      <c r="DU3">
        <f>BDH("BBG00R81LPJ0 Equity","PX_LAST,PX_VOLUME","1/1/2020","6/10/2026")</f>
        <v/>
      </c>
      <c r="DY3">
        <f>BDH("BBG00RT64XB6 Equity","PX_LAST,PX_VOLUME","1/1/2020","6/10/2026")</f>
        <v/>
      </c>
      <c r="EC3">
        <f>BDH("BBG00R81LQM4 Equity","PX_LAST,PX_VOLUME","1/1/2020","6/10/2026")</f>
        <v/>
      </c>
      <c r="EG3">
        <f>BDH("BBG00RT64YG9 Equity","PX_LAST,PX_VOLUME","1/1/2020","6/10/2026")</f>
        <v/>
      </c>
      <c r="EK3">
        <f>BDH("BBG00R81LRR7 Equity","PX_LAST,PX_VOLUME","1/1/2020","6/10/2026")</f>
        <v/>
      </c>
      <c r="EO3">
        <f>BDH("BBG00RT64ZK1 Equity","PX_LAST,PX_VOLUME","1/1/2020","6/10/2026")</f>
        <v/>
      </c>
      <c r="ES3">
        <f>BDH("BBG00R81LSV0 Equity","PX_LAST,PX_VOLUME","1/1/2020","6/10/2026")</f>
        <v/>
      </c>
      <c r="EW3">
        <f>BDH("BBG00RT650N4 Equity","PX_LAST,PX_VOLUME","1/1/2020","6/10/2026")</f>
        <v/>
      </c>
      <c r="FA3">
        <f>BDH("BBG00R81LTY5 Equity","PX_LAST,PX_VOLUME","1/1/2020","6/10/2026")</f>
        <v/>
      </c>
      <c r="FE3">
        <f>BDH("BBG00RT651S7 Equity","PX_LAST,PX_VOLUME","1/1/2020","6/10/2026")</f>
        <v/>
      </c>
      <c r="FI3">
        <f>BDH("BBG00R81LW23 Equity","PX_LAST,PX_VOLUME","1/1/2020","6/10/2026")</f>
        <v/>
      </c>
      <c r="FM3">
        <f>BDH("BBG00RT652W0 Equity","PX_LAST,PX_VOLUME","1/1/2020","6/10/2026")</f>
        <v/>
      </c>
      <c r="FQ3">
        <f>BDH("BBG00R81LX58 Equity","PX_LAST,PX_VOLUME","1/1/2020","6/10/2026")</f>
        <v/>
      </c>
      <c r="FU3">
        <f>BDH("BBG00RT653Z5 Equity","PX_LAST,PX_VOLUME","1/1/2020","6/10/2026")</f>
        <v/>
      </c>
      <c r="FY3">
        <f>BDH("BBG00R81LY83 Equity","PX_LAST,PX_VOLUME","1/1/2020","6/10/2026")</f>
        <v/>
      </c>
      <c r="GC3">
        <f>BDH("BBG00RT65535 Equity","PX_LAST,PX_VOLUME","1/1/2020","6/10/2026")</f>
        <v/>
      </c>
      <c r="GG3">
        <f>BDH("BBG00R81LZD4 Equity","PX_LAST,PX_VOLUME","1/1/2020","6/10/2026")</f>
        <v/>
      </c>
      <c r="GK3">
        <f>BDH("BBG00RT65660 Equity","PX_LAST,PX_VOLUME","1/1/2020","6/10/2026")</f>
        <v/>
      </c>
      <c r="GO3">
        <f>BDH("BBG00R81M0H6 Equity","PX_LAST,PX_VOLUME","1/1/2020","6/10/2026")</f>
        <v/>
      </c>
      <c r="GS3">
        <f>BDH("BBG00RT65795 Equity","PX_LAST,PX_VOLUME","1/1/2020","6/10/2026")</f>
        <v/>
      </c>
      <c r="GW3">
        <f>BDH("BBG00R81M1L9 Equity","PX_LAST,PX_VOLUME","1/1/2020","6/10/2026")</f>
        <v/>
      </c>
      <c r="HA3">
        <f>BDH("BBG00RT658F6 Equity","PX_LAST,PX_VOLUME","1/1/2020","6/10/2026")</f>
        <v/>
      </c>
      <c r="HE3">
        <f>BDH("BBG00R81M2Q2 Equity","PX_LAST,PX_VOLUME","1/1/2020","6/10/2026")</f>
        <v/>
      </c>
      <c r="HI3">
        <f>BDH("BBG00RT659J0 Equity","PX_LAST,PX_VOLUME","1/1/2020","6/10/2026")</f>
        <v/>
      </c>
      <c r="HM3">
        <f>BDH("BBG00R81M3T7 Equity","PX_LAST,PX_VOLUME","1/1/2020","6/10/2026")</f>
        <v/>
      </c>
      <c r="HQ3">
        <f>BDH("BBG00RT65BN0 Equity","PX_LAST,PX_VOLUME","1/1/2020","6/10/2026")</f>
        <v/>
      </c>
      <c r="HU3">
        <f>BDH("BBG00R81M4X0 Equity","PX_LAST,PX_VOLUME","1/1/2020","6/10/2026")</f>
        <v/>
      </c>
      <c r="HY3">
        <f>BDH("BBG00RT65CR4 Equity","PX_LAST,PX_VOLUME","1/1/2020","6/10/2026")</f>
        <v/>
      </c>
      <c r="IC3">
        <f>BDH("BBG00R81M610 Equity","PX_LAST,PX_VOLUME","1/1/2020","6/10/2026")</f>
        <v/>
      </c>
      <c r="IG3">
        <f>BDH("BBG00R9BCWP5 Equity","PX_LAST,PX_VOLUME","1/1/2020","6/10/2026")</f>
        <v/>
      </c>
      <c r="IK3">
        <f>BDH("BBG00RJNSNN3 Equity","PX_LAST,PX_VOLUME","1/1/2020","6/10/2026")</f>
        <v/>
      </c>
      <c r="IO3">
        <f>BDH("BBG00RT65DV7 Equity","PX_LAST,PX_VOLUME","1/1/2020","6/10/2026")</f>
        <v/>
      </c>
      <c r="IS3">
        <f>BDH("BBG00RT65FZ8 Equity","PX_LAST,PX_VOLUME","1/1/2020","6/10/2026")</f>
        <v/>
      </c>
      <c r="IW3">
        <f>BDH("BBG00RT65H20 Equity","PX_LAST,PX_VOLUME","1/1/2020","6/10/2026")</f>
        <v/>
      </c>
      <c r="JA3">
        <f>BDH("BBG00RM3JDR1 Equity","PX_LAST,PX_VOLUME","1/1/2020","6/10/2026")</f>
        <v/>
      </c>
      <c r="JE3">
        <f>BDH("BBG00RT65J53 Equity","PX_LAST,PX_VOLUME","1/1/2020","6/10/2026")</f>
        <v/>
      </c>
      <c r="JI3">
        <f>BDH("BBG00RT65K96 Equity","PX_LAST,PX_VOLUME","1/1/2020","6/10/2026")</f>
        <v/>
      </c>
      <c r="JM3">
        <f>BDH("BBG00RT65LD9 Equity","PX_LAST,PX_VOLUME","1/1/2020","6/10/2026")</f>
        <v/>
      </c>
      <c r="JQ3">
        <f>BDH("BBG00R9JVTQ3 Equity","PX_LAST,PX_VOLUME","1/1/2020","6/10/2026")</f>
        <v/>
      </c>
      <c r="JU3">
        <f>BDH("BBG00R9JVVT5 Equity","PX_LAST,PX_VOLUME","1/1/2020","6/10/2026")</f>
        <v/>
      </c>
      <c r="JY3">
        <f>BDH("BBG00RC1ZBB9 Equity","PX_LAST,PX_VOLUME","1/1/2020","6/10/2026")</f>
        <v/>
      </c>
      <c r="KC3">
        <f>BDH("BBG00RC1ZCF3 Equity","PX_LAST,PX_VOLUME","1/1/2020","6/10/2026")</f>
        <v/>
      </c>
      <c r="KG3">
        <f>BDH("BBG00RC1ZDK5 Equity","PX_LAST,PX_VOLUME","1/1/2020","6/10/2026")</f>
        <v/>
      </c>
      <c r="KK3">
        <f>BDH("BBG00RC1ZFN7 Equity","PX_LAST,PX_VOLUME","1/1/2020","6/10/2026")</f>
        <v/>
      </c>
      <c r="KO3">
        <f>BDH("BBG00RC1ZGR1 Equity","PX_LAST,PX_VOLUME","1/1/2020","6/10/2026")</f>
        <v/>
      </c>
      <c r="KS3">
        <f>BDH("BBG00RC1ZHW3 Equity","PX_LAST,PX_VOLUME","1/1/2020","6/10/2026")</f>
        <v/>
      </c>
      <c r="KW3">
        <f>BDH("BBG00RC1ZJZ6 Equity","PX_LAST,PX_VOLUME","1/1/2020","6/10/2026")</f>
        <v/>
      </c>
      <c r="LA3">
        <f>BDH("BBG00RC1ZL27 Equity","PX_LAST,PX_VOLUME","1/1/2020","6/10/2026")</f>
        <v/>
      </c>
      <c r="LE3">
        <f>BDH("BBG00RC1ZM61 Equity","PX_LAST,PX_VOLUME","1/1/2020","6/10/2026")</f>
        <v/>
      </c>
      <c r="LI3">
        <f>BDH("BBG00RC1ZN96 Equity","PX_LAST,PX_VOLUME","1/1/2020","6/10/2026")</f>
        <v/>
      </c>
      <c r="LM3">
        <f>BDH("BBG00RC1ZPD6 Equity","PX_LAST,PX_VOLUME","1/1/2020","6/10/2026")</f>
        <v/>
      </c>
      <c r="LQ3">
        <f>BDH("BBG00RC1ZQJ8 Equity","PX_LAST,PX_VOLUME","1/1/2020","6/10/2026")</f>
        <v/>
      </c>
      <c r="LU3">
        <f>BDH("BBG00RC1ZRM2 Equity","PX_LAST,PX_VOLUME","1/1/2020","6/10/2026")</f>
        <v/>
      </c>
      <c r="LY3">
        <f>BDH("BBG00YM13BM6 Equity","PX_LAST,PX_VOLUME","1/1/2020","6/10/2026")</f>
        <v/>
      </c>
      <c r="MC3">
        <f>BDH("BBG00YM13CQ0 Equity","PX_LAST,PX_VOLUME","1/1/2020","6/10/2026")</f>
        <v/>
      </c>
      <c r="MG3">
        <f>BDH("BBG00YM13DV2 Equity","PX_LAST,PX_VOLUME","1/1/2020","6/10/2026")</f>
        <v/>
      </c>
      <c r="MK3">
        <f>BDH("BBG00YM13FY4 Equity","PX_LAST,PX_VOLUME","1/1/2020","6/10/2026")</f>
        <v/>
      </c>
      <c r="MO3">
        <f>BDH("BBG00XBC0X23 Equity","PX_LAST,PX_VOLUME","1/1/2020","6/10/2026")</f>
        <v/>
      </c>
      <c r="MS3">
        <f>BDH("BBG00XBC0Y58 Equity","PX_LAST,PX_VOLUME","1/1/2020","6/10/2026")</f>
        <v/>
      </c>
      <c r="MW3">
        <f>BDH("BBG00XBC0Z82 Equity","PX_LAST,PX_VOLUME","1/1/2020","6/10/2026")</f>
        <v/>
      </c>
      <c r="NA3">
        <f>BDH("BBG00XBC10D2 Equity","PX_LAST,PX_VOLUME","1/1/2020","6/10/2026")</f>
        <v/>
      </c>
      <c r="NE3">
        <f>BDH("BBG00WKWYSS7 Equity","PX_LAST,PX_VOLUME","1/1/2020","6/10/2026")</f>
        <v/>
      </c>
      <c r="NI3">
        <f>BDH("BBG00WKWYTW0 Equity","PX_LAST,PX_VOLUME","1/1/2020","6/10/2026")</f>
        <v/>
      </c>
      <c r="NM3">
        <f>BDH("BBG00WKWYW08 Equity","PX_LAST,PX_VOLUME","1/1/2020","6/10/2026")</f>
        <v/>
      </c>
      <c r="NQ3">
        <f>BDH("BBG00WKWYX33 Equity","PX_LAST,PX_VOLUME","1/1/2020","6/10/2026")</f>
        <v/>
      </c>
      <c r="NU3">
        <f>BDH("BBG00WKWYY68 Equity","PX_LAST,PX_VOLUME","1/1/2020","6/10/2026")</f>
        <v/>
      </c>
      <c r="NY3">
        <f>BDH("BBG00WKWYZB9 Equity","PX_LAST,PX_VOLUME","1/1/2020","6/10/2026")</f>
        <v/>
      </c>
      <c r="OC3">
        <f>BDH("BBG00WKWZ0F1 Equity","PX_LAST,PX_VOLUME","1/1/2020","6/10/2026")</f>
        <v/>
      </c>
      <c r="OG3">
        <f>BDH("BBG00WKWZ1J5 Equity","PX_LAST,PX_VOLUME","1/1/2020","6/10/2026")</f>
        <v/>
      </c>
      <c r="OK3">
        <f>BDH("BBG00WKWZ2N8 Equity","PX_LAST,PX_VOLUME","1/1/2020","6/10/2026")</f>
        <v/>
      </c>
      <c r="OO3">
        <f>BDH("BBG00WKWZ3R2 Equity","PX_LAST,PX_VOLUME","1/1/2020","6/10/2026")</f>
        <v/>
      </c>
      <c r="OS3">
        <f>BDH("BBG00WKWZ4V5 Equity","PX_LAST,PX_VOLUME","1/1/2020","6/10/2026")</f>
        <v/>
      </c>
      <c r="OW3">
        <f>BDH("BBG00WKWZ5Z8 Equity","PX_LAST,PX_VOLUME","1/1/2020","6/10/2026")</f>
        <v/>
      </c>
      <c r="PA3">
        <f>BDH("BBG00WKWZ720 Equity","PX_LAST,PX_VOLUME","1/1/2020","6/10/2026")</f>
        <v/>
      </c>
      <c r="PE3">
        <f>BDH("BBG00WKWZ855 Equity","PX_LAST,PX_VOLUME","1/1/2020","6/10/2026")</f>
        <v/>
      </c>
      <c r="PI3">
        <f>BDH("BBG00WKWZ999 Equity","PX_LAST,PX_VOLUME","1/1/2020","6/10/2026")</f>
        <v/>
      </c>
      <c r="PM3">
        <f>BDH("BBG00WKWZBD9 Equity","PX_LAST,PX_VOLUME","1/1/2020","6/10/2026")</f>
        <v/>
      </c>
      <c r="PQ3">
        <f>BDH("BBG00WKWZCH3 Equity","PX_LAST,PX_VOLUME","1/1/2020","6/10/2026")</f>
        <v/>
      </c>
      <c r="PU3">
        <f>BDH("BBG00WKWZDM5 Equity","PX_LAST,PX_VOLUME","1/1/2020","6/10/2026")</f>
        <v/>
      </c>
      <c r="PY3">
        <f>BDH("BBG00WKWZFQ6 Equity","PX_LAST,PX_VOLUME","1/1/2020","6/10/2026")</f>
        <v/>
      </c>
      <c r="QC3">
        <f>BDH("BBG00WKWZGT1 Equity","PX_LAST,PX_VOLUME","1/1/2020","6/10/2026")</f>
        <v/>
      </c>
      <c r="QG3">
        <f>BDH("BBG00WKWZHY3 Equity","PX_LAST,PX_VOLUME","1/1/2020","6/10/2026")</f>
        <v/>
      </c>
      <c r="QK3">
        <f>BDH("BBG00WKF2JL6 Equity","PX_LAST,PX_VOLUME","1/1/2020","6/10/2026")</f>
        <v/>
      </c>
      <c r="QO3">
        <f>BDH("BBG00WKF2KP9 Equity","PX_LAST,PX_VOLUME","1/1/2020","6/10/2026")</f>
        <v/>
      </c>
      <c r="QS3">
        <f>BDH("BBG00WKF2LS4 Equity","PX_LAST,PX_VOLUME","1/1/2020","6/10/2026")</f>
        <v/>
      </c>
      <c r="QW3">
        <f>BDH("BBG00WKF2N00 Equity","PX_LAST,PX_VOLUME","1/1/2020","6/10/2026")</f>
        <v/>
      </c>
      <c r="RA3">
        <f>BDH("BBG00WKF2P32 Equity","PX_LAST,PX_VOLUME","1/1/2020","6/10/2026")</f>
        <v/>
      </c>
      <c r="RE3">
        <f>BDH("BBG00WKF2Q67 Equity","PX_LAST,PX_VOLUME","1/1/2020","6/10/2026")</f>
        <v/>
      </c>
      <c r="RI3">
        <f>BDH("BBG00WKF2RB9 Equity","PX_LAST,PX_VOLUME","1/1/2020","6/10/2026")</f>
        <v/>
      </c>
      <c r="RM3">
        <f>BDH("BBG00WKF2SF3 Equity","PX_LAST,PX_VOLUME","1/1/2020","6/10/2026")</f>
        <v/>
      </c>
      <c r="RQ3">
        <f>BDH("BBG00WKF2TK5 Equity","PX_LAST,PX_VOLUME","1/1/2020","6/10/2026")</f>
        <v/>
      </c>
      <c r="RU3">
        <f>BDH("BBG00WKF2VN7 Equity","PX_LAST,PX_VOLUME","1/1/2020","6/10/2026")</f>
        <v/>
      </c>
      <c r="RY3">
        <f>BDH("BBG00WKF2WR1 Equity","PX_LAST,PX_VOLUME","1/1/2020","6/10/2026")</f>
        <v/>
      </c>
      <c r="SC3">
        <f>BDH("BBG00WKWZK12 Equity","PX_LAST,PX_VOLUME","1/1/2020","6/10/2026")</f>
        <v/>
      </c>
      <c r="SG3">
        <f>BDH("BBG00WKWZL47 Equity","PX_LAST,PX_VOLUME","1/1/2020","6/10/2026")</f>
        <v/>
      </c>
      <c r="SK3">
        <f>BDH("BBG00QQCGWS9 Equity","PX_LAST,PX_VOLUME","1/1/2020","6/10/2026")</f>
        <v/>
      </c>
      <c r="SO3">
        <f>BDH("BBG00QQCGXW2 Equity","PX_LAST,PX_VOLUME","1/1/2020","6/10/2026")</f>
        <v/>
      </c>
      <c r="SS3">
        <f>BDH("BBG00QQCGZ02 Equity","PX_LAST,PX_VOLUME","1/1/2020","6/10/2026")</f>
        <v/>
      </c>
      <c r="SW3">
        <f>BDH("BBG00QQCH035 Equity","PX_LAST,PX_VOLUME","1/1/2020","6/10/2026")</f>
        <v/>
      </c>
      <c r="TA3">
        <f>BDH("BBG00QQCH160 Equity","PX_LAST,PX_VOLUME","1/1/2020","6/10/2026")</f>
        <v/>
      </c>
      <c r="TE3">
        <f>BDH("BBG00R81M745 Equity","PX_LAST,PX_VOLUME","1/1/2020","6/10/2026")</f>
        <v/>
      </c>
      <c r="TI3">
        <f>BDH("BBG00R81M870 Equity","PX_LAST,PX_VOLUME","1/1/2020","6/10/2026")</f>
        <v/>
      </c>
      <c r="TM3">
        <f>BDH("BBG00R81M9C2 Equity","PX_LAST,PX_VOLUME","1/1/2020","6/10/2026")</f>
        <v/>
      </c>
      <c r="TQ3">
        <f>BDH("BBG00R81MBG3 Equity","PX_LAST,PX_VOLUME","1/1/2020","6/10/2026")</f>
        <v/>
      </c>
      <c r="TU3">
        <f>BDH("BBG00R81MCL5 Equity","PX_LAST,PX_VOLUME","1/1/2020","6/10/2026")</f>
        <v/>
      </c>
      <c r="TY3">
        <f>BDH("BBG00R81MDP9 Equity","PX_LAST,PX_VOLUME","1/1/2020","6/10/2026")</f>
        <v/>
      </c>
      <c r="UC3">
        <f>BDH("BBG00RT65MH3 Equity","PX_LAST,PX_VOLUME","1/1/2020","6/10/2026")</f>
        <v/>
      </c>
      <c r="UG3">
        <f>BDH("BBG00R81MFS1 Equity","PX_LAST,PX_VOLUME","1/1/2020","6/10/2026")</f>
        <v/>
      </c>
      <c r="UK3">
        <f>BDH("BBG00RT65NM5 Equity","PX_LAST,PX_VOLUME","1/1/2020","6/10/2026")</f>
        <v/>
      </c>
      <c r="UO3">
        <f>BDH("BBG00R81MGX3 Equity","PX_LAST,PX_VOLUME","1/1/2020","6/10/2026")</f>
        <v/>
      </c>
      <c r="US3">
        <f>BDH("BBG00RT65PQ6 Equity","PX_LAST,PX_VOLUME","1/1/2020","6/10/2026")</f>
        <v/>
      </c>
      <c r="UW3">
        <f>BDH("BBG00R81MJ03 Equity","PX_LAST,PX_VOLUME","1/1/2020","6/10/2026")</f>
        <v/>
      </c>
      <c r="VA3">
        <f>BDH("BBG00RT65QT1 Equity","PX_LAST,PX_VOLUME","1/1/2020","6/10/2026")</f>
        <v/>
      </c>
      <c r="VE3">
        <f>BDH("BBG00R81MK37 Equity","PX_LAST,PX_VOLUME","1/1/2020","6/10/2026")</f>
        <v/>
      </c>
      <c r="VI3">
        <f>BDH("BBG00RT65RY3 Equity","PX_LAST,PX_VOLUME","1/1/2020","6/10/2026")</f>
        <v/>
      </c>
      <c r="VM3">
        <f>BDH("BBG00R81ML71 Equity","PX_LAST,PX_VOLUME","1/1/2020","6/10/2026")</f>
        <v/>
      </c>
      <c r="VQ3">
        <f>BDH("BBG00RT65T15 Equity","PX_LAST,PX_VOLUME","1/1/2020","6/10/2026")</f>
        <v/>
      </c>
      <c r="VU3">
        <f>BDH("BBG00R81MMB4 Equity","PX_LAST,PX_VOLUME","1/1/2020","6/10/2026")</f>
        <v/>
      </c>
      <c r="VY3">
        <f>BDH("BBG00RT65V47 Equity","PX_LAST,PX_VOLUME","1/1/2020","6/10/2026")</f>
        <v/>
      </c>
      <c r="WC3">
        <f>BDH("BBG00R81MNF8 Equity","PX_LAST,PX_VOLUME","1/1/2020","6/10/2026")</f>
        <v/>
      </c>
      <c r="WG3">
        <f>BDH("BBG00RT65WB7 Equity","PX_LAST,PX_VOLUME","1/1/2020","6/10/2026")</f>
        <v/>
      </c>
      <c r="WK3">
        <f>BDH("BBG00R81MPK7 Equity","PX_LAST,PX_VOLUME","1/1/2020","6/10/2026")</f>
        <v/>
      </c>
      <c r="WO3">
        <f>BDH("BBG00RT65XF1 Equity","PX_LAST,PX_VOLUME","1/1/2020","6/10/2026")</f>
        <v/>
      </c>
      <c r="WS3">
        <f>BDH("BBG00R81MQN2 Equity","PX_LAST,PX_VOLUME","1/1/2020","6/10/2026")</f>
        <v/>
      </c>
      <c r="WW3">
        <f>BDH("BBG00RT65YJ5 Equity","PX_LAST,PX_VOLUME","1/1/2020","6/10/2026")</f>
        <v/>
      </c>
      <c r="XA3">
        <f>BDH("BBG00R81MRR6 Equity","PX_LAST,PX_VOLUME","1/1/2020","6/10/2026")</f>
        <v/>
      </c>
      <c r="XE3">
        <f>BDH("BBG00RT65ZN7 Equity","PX_LAST,PX_VOLUME","1/1/2020","6/10/2026")</f>
        <v/>
      </c>
      <c r="XI3">
        <f>BDH("BBG00R81MSW8 Equity","PX_LAST,PX_VOLUME","1/1/2020","6/10/2026")</f>
        <v/>
      </c>
      <c r="XM3">
        <f>BDH("BBG00RT660R9 Equity","PX_LAST,PX_VOLUME","1/1/2020","6/10/2026")</f>
        <v/>
      </c>
      <c r="XQ3">
        <f>BDH("BBG00R81MTZ3 Equity","PX_LAST,PX_VOLUME","1/1/2020","6/10/2026")</f>
        <v/>
      </c>
      <c r="XU3">
        <f>BDH("BBG00RT661V2 Equity","PX_LAST,PX_VOLUME","1/1/2020","6/10/2026")</f>
        <v/>
      </c>
      <c r="XY3">
        <f>BDH("BBG00R81MW22 Equity","PX_LAST,PX_VOLUME","1/1/2020","6/10/2026")</f>
        <v/>
      </c>
      <c r="YC3">
        <f>BDH("BBG00RT662Z6 Equity","PX_LAST,PX_VOLUME","1/1/2020","6/10/2026")</f>
        <v/>
      </c>
      <c r="YG3">
        <f>BDH("BBG00R81MX66 Equity","PX_LAST,PX_VOLUME","1/1/2020","6/10/2026")</f>
        <v/>
      </c>
      <c r="YK3">
        <f>BDH("BBG00RT66428 Equity","PX_LAST,PX_VOLUME","1/1/2020","6/10/2026")</f>
        <v/>
      </c>
      <c r="YO3">
        <f>BDH("BBG00R81MY91 Equity","PX_LAST,PX_VOLUME","1/1/2020","6/10/2026")</f>
        <v/>
      </c>
      <c r="YS3">
        <f>BDH("BBG00RT66552 Equity","PX_LAST,PX_VOLUME","1/1/2020","6/10/2026")</f>
        <v/>
      </c>
      <c r="YW3">
        <f>BDH("BBG00R9XTT85 Equity","PX_LAST,PX_VOLUME","1/1/2020","6/10/2026")</f>
        <v/>
      </c>
      <c r="ZA3">
        <f>BDH("BBG00RT66696 Equity","PX_LAST,PX_VOLUME","1/1/2020","6/10/2026")</f>
        <v/>
      </c>
      <c r="ZE3">
        <f>BDH("BBG00R9XTVD4 Equity","PX_LAST,PX_VOLUME","1/1/2020","6/10/2026")</f>
        <v/>
      </c>
      <c r="ZI3">
        <f>BDH("BBG00RT667D9 Equity","PX_LAST,PX_VOLUME","1/1/2020","6/10/2026")</f>
        <v/>
      </c>
      <c r="ZM3">
        <f>BDH("BBG00R9XTWH8 Equity","PX_LAST,PX_VOLUME","1/1/2020","6/10/2026")</f>
        <v/>
      </c>
      <c r="ZQ3">
        <f>BDH("BBG00RT668H3 Equity","PX_LAST,PX_VOLUME","1/1/2020","6/10/2026")</f>
        <v/>
      </c>
      <c r="ZU3">
        <f>BDH("BBG00R9XTXL1 Equity","PX_LAST,PX_VOLUME","1/1/2020","6/10/2026")</f>
        <v/>
      </c>
      <c r="ZY3">
        <f>BDH("BBG00RT669M5 Equity","PX_LAST,PX_VOLUME","1/1/2020","6/10/2026")</f>
        <v/>
      </c>
      <c r="AAC3">
        <f>BDH("BBG00R9XTYQ4 Equity","PX_LAST,PX_VOLUME","1/1/2020","6/10/2026")</f>
        <v/>
      </c>
      <c r="AAG3">
        <f>BDH("BBG00RT66BQ6 Equity","PX_LAST,PX_VOLUME","1/1/2020","6/10/2026")</f>
        <v/>
      </c>
      <c r="AAK3">
        <f>BDH("BBG00RD4PGH6 Equity","PX_LAST,PX_VOLUME","1/1/2020","6/10/2026")</f>
        <v/>
      </c>
      <c r="AAO3">
        <f>BDH("BBG00RT66CT1 Equity","PX_LAST,PX_VOLUME","1/1/2020","6/10/2026")</f>
        <v/>
      </c>
      <c r="AAS3">
        <f>BDH("BBG00RD4PHL9 Equity","PX_LAST,PX_VOLUME","1/1/2020","6/10/2026")</f>
        <v/>
      </c>
      <c r="AAW3">
        <f>BDH("BBG00RT66DY3 Equity","PX_LAST,PX_VOLUME","1/1/2020","6/10/2026")</f>
        <v/>
      </c>
      <c r="ABA3">
        <f>BDH("BBG00RD4PJP1 Equity","PX_LAST,PX_VOLUME","1/1/2020","6/10/2026")</f>
        <v/>
      </c>
      <c r="ABE3">
        <f>BDH("BBG00RT66G12 Equity","PX_LAST,PX_VOLUME","1/1/2020","6/10/2026")</f>
        <v/>
      </c>
      <c r="ABI3">
        <f>BDH("BBG00RD4PKT4 Equity","PX_LAST,PX_VOLUME","1/1/2020","6/10/2026")</f>
        <v/>
      </c>
      <c r="ABM3">
        <f>BDH("BBG00RT66H56 Equity","PX_LAST,PX_VOLUME","1/1/2020","6/10/2026")</f>
        <v/>
      </c>
      <c r="ABQ3">
        <f>BDH("BBG00RD4PLX7 Equity","PX_LAST,PX_VOLUME","1/1/2020","6/10/2026")</f>
        <v/>
      </c>
      <c r="ABU3">
        <f>BDH("BBG00RD4PN09 Equity","PX_LAST,PX_VOLUME","1/1/2020","6/10/2026")</f>
        <v/>
      </c>
      <c r="ABY3">
        <f>BDH("BBG00RD4PP40 Equity","PX_LAST,PX_VOLUME","1/1/2020","6/10/2026")</f>
        <v/>
      </c>
      <c r="ACC3">
        <f>BDH("BBG00RD4PQ75 Equity","PX_LAST,PX_VOLUME","1/1/2020","6/10/2026")</f>
        <v/>
      </c>
      <c r="ACG3">
        <f>BDH("BBG00RD4PRC7 Equity","PX_LAST,PX_VOLUME","1/1/2020","6/10/2026")</f>
        <v/>
      </c>
      <c r="ACK3">
        <f>BDH("BBG00RD4PSG1 Equity","PX_LAST,PX_VOLUME","1/1/2020","6/10/2026")</f>
        <v/>
      </c>
      <c r="ACO3">
        <f>BDH("BBG00RD4PTK4 Equity","PX_LAST,PX_VOLUME","1/1/2020","6/10/2026")</f>
        <v/>
      </c>
      <c r="ACS3">
        <f>BDH("BBG00RD4PVP4 Equity","PX_LAST,PX_VOLUME","1/1/2020","6/10/2026")</f>
        <v/>
      </c>
      <c r="ACW3">
        <f>BDH("BBG00RD4PWS9 Equity","PX_LAST,PX_VOLUME","1/1/2020","6/10/2026")</f>
        <v/>
      </c>
      <c r="ADA3">
        <f>BDH("BBG00RD4PXW2 Equity","PX_LAST,PX_VOLUME","1/1/2020","6/10/2026")</f>
        <v/>
      </c>
      <c r="ADE3">
        <f>BDH("BBG00RMPJKY8 Equity","PX_LAST,PX_VOLUME","1/1/2020","6/10/2026")</f>
        <v/>
      </c>
      <c r="ADI3">
        <f>BDH("BBG00VXXPXN7 Equity","PX_LAST,PX_VOLUME","1/1/2020","6/10/2026")</f>
        <v/>
      </c>
      <c r="ADM3">
        <f>BDH("BBG00RMPJM10 Equity","PX_LAST,PX_VOLUME","1/1/2020","6/10/2026")</f>
        <v/>
      </c>
      <c r="ADQ3">
        <f>BDH("BBG00RMPJN54 Equity","PX_LAST,PX_VOLUME","1/1/2020","6/10/2026")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BBG00RMPJP86 Equity (TSLA US 03/19/21 P212)</t>
        </is>
      </c>
      <c r="E1" t="inlineStr">
        <is>
          <t>BBG00VXXPYR1 Equity (TSLA US 03/19/21 P214)</t>
        </is>
      </c>
      <c r="I1" t="inlineStr">
        <is>
          <t>BBG00RMYLJQ8 Equity (TSLA US 03/19/21 P216)</t>
        </is>
      </c>
      <c r="M1" t="inlineStr">
        <is>
          <t>BBG00VXXPZV3 Equity (TSLA US 03/19/21 P218)</t>
        </is>
      </c>
      <c r="Q1" t="inlineStr">
        <is>
          <t>BBG00RMPJQC9 Equity (TSLA US 03/19/21 P220)</t>
        </is>
      </c>
      <c r="U1" t="inlineStr">
        <is>
          <t>BBG00VXXQ0Z5 Equity (TSLA US 03/19/21 P222)</t>
        </is>
      </c>
      <c r="Y1" t="inlineStr">
        <is>
          <t>BBG00RMYLKT2 Equity (TSLA US 03/19/21 P224)</t>
        </is>
      </c>
      <c r="AC1" t="inlineStr">
        <is>
          <t>BBG00VXXQ227 Equity (TSLA US 03/19/21 P226)</t>
        </is>
      </c>
      <c r="AG1" t="inlineStr">
        <is>
          <t>BBG00RMYLLX5 Equity (TSLA US 03/19/21 P228)</t>
        </is>
      </c>
      <c r="AK1" t="inlineStr">
        <is>
          <t>BBG00RMPJRH2 Equity (TSLA US 03/19/21 P230)</t>
        </is>
      </c>
      <c r="AO1" t="inlineStr">
        <is>
          <t>BBG00RMYLN16 Equity (TSLA US 03/19/21 P232)</t>
        </is>
      </c>
      <c r="AS1" t="inlineStr">
        <is>
          <t>BBG00VXXQ352 Equity (TSLA US 03/19/21 P234)</t>
        </is>
      </c>
      <c r="AW1" t="inlineStr">
        <is>
          <t>BBG00RMYLP48 Equity (TSLA US 03/19/21 P236)</t>
        </is>
      </c>
      <c r="BA1" t="inlineStr">
        <is>
          <t>BBG00VXXQ496 Equity (TSLA US 03/19/21 P238)</t>
        </is>
      </c>
      <c r="BE1" t="inlineStr">
        <is>
          <t>BBG00RMPJSL5 Equity (TSLA US 03/19/21 P240)</t>
        </is>
      </c>
      <c r="BI1" t="inlineStr">
        <is>
          <t>BBG00VXXQ5D8 Equity (TSLA US 03/19/21 P242)</t>
        </is>
      </c>
      <c r="BM1" t="inlineStr">
        <is>
          <t>BBG00RMYLQ73 Equity (TSLA US 03/19/21 P244)</t>
        </is>
      </c>
      <c r="BQ1" t="inlineStr">
        <is>
          <t>BBG00VXXQ6H2 Equity (TSLA US 03/19/21 P246)</t>
        </is>
      </c>
      <c r="BU1" t="inlineStr">
        <is>
          <t>BBG00RMYLRC5 Equity (TSLA US 03/19/21 P248)</t>
        </is>
      </c>
      <c r="BY1" t="inlineStr">
        <is>
          <t>BBG00RMPJTP9 Equity (TSLA US 03/19/21 P250)</t>
        </is>
      </c>
      <c r="CC1" t="inlineStr">
        <is>
          <t>BBG00RMYLSG9 Equity (TSLA US 03/19/21 P252)</t>
        </is>
      </c>
      <c r="CG1" t="inlineStr">
        <is>
          <t>BBG00VXXQ7M4 Equity (TSLA US 03/19/21 P254)</t>
        </is>
      </c>
      <c r="CK1" t="inlineStr">
        <is>
          <t>BBG00RMYLTK2 Equity (TSLA US 03/19/21 P256)</t>
        </is>
      </c>
      <c r="CO1" t="inlineStr">
        <is>
          <t>BBG00VXXQ8Q8 Equity (TSLA US 03/19/21 P258)</t>
        </is>
      </c>
      <c r="CS1" t="inlineStr">
        <is>
          <t>BBG00RMPJVT0 Equity (TSLA US 03/19/21 P260)</t>
        </is>
      </c>
      <c r="CW1" t="inlineStr">
        <is>
          <t>BBG00VXXQ9T3 Equity (TSLA US 03/19/21 P262)</t>
        </is>
      </c>
      <c r="DA1" t="inlineStr">
        <is>
          <t>BBG00VXXQBY2 Equity (TSLA US 03/19/21 P264)</t>
        </is>
      </c>
      <c r="DE1" t="inlineStr">
        <is>
          <t>BBG00VXXQD14 Equity (TSLA US 03/19/21 P266)</t>
        </is>
      </c>
      <c r="DI1" t="inlineStr">
        <is>
          <t>BBG00VXXQF46 Equity (TSLA US 03/19/21 P268)</t>
        </is>
      </c>
      <c r="DM1" t="inlineStr">
        <is>
          <t>BBG00RMPJWX3 Equity (TSLA US 03/19/21 P270)</t>
        </is>
      </c>
      <c r="DQ1" t="inlineStr">
        <is>
          <t>BBG00VXXQG80 Equity (TSLA US 03/19/21 P272)</t>
        </is>
      </c>
      <c r="DU1" t="inlineStr">
        <is>
          <t>BBG00VXXQHC3 Equity (TSLA US 03/19/21 P274)</t>
        </is>
      </c>
      <c r="DY1" t="inlineStr">
        <is>
          <t>BBG00VXXQJG5 Equity (TSLA US 03/19/21 P276)</t>
        </is>
      </c>
      <c r="EC1" t="inlineStr">
        <is>
          <t>BBG00VXXQKL6 Equity (TSLA US 03/19/21 P278)</t>
        </is>
      </c>
      <c r="EG1" t="inlineStr">
        <is>
          <t>BBG00RMPJY05 Equity (TSLA US 03/19/21 P280)</t>
        </is>
      </c>
      <c r="EK1" t="inlineStr">
        <is>
          <t>BBG00VXXQLP0 Equity (TSLA US 03/19/21 P282)</t>
        </is>
      </c>
      <c r="EO1" t="inlineStr">
        <is>
          <t>BBG00W4DBQV2 Equity (TSLA US 03/19/21 P283)</t>
        </is>
      </c>
      <c r="ES1" t="inlineStr">
        <is>
          <t>BBG00VXXQMS5 Equity (TSLA US 03/19/21 P284)</t>
        </is>
      </c>
      <c r="EW1" t="inlineStr">
        <is>
          <t>BBG00W4DBRY7 Equity (TSLA US 03/19/21 P285)</t>
        </is>
      </c>
      <c r="FA1" t="inlineStr">
        <is>
          <t>BBG00VXXQNX7 Equity (TSLA US 03/19/21 P286)</t>
        </is>
      </c>
      <c r="FE1" t="inlineStr">
        <is>
          <t>BBG00W4DBT19 Equity (TSLA US 03/19/21 P287)</t>
        </is>
      </c>
      <c r="FI1" t="inlineStr">
        <is>
          <t>BBG00VXXQQ06 Equity (TSLA US 03/19/21 P288)</t>
        </is>
      </c>
      <c r="FM1" t="inlineStr">
        <is>
          <t>BBG00W4DBV50 Equity (TSLA US 03/19/21 P289)</t>
        </is>
      </c>
      <c r="FQ1" t="inlineStr">
        <is>
          <t>BBG00RMPJZ48 Equity (TSLA US 03/19/21 P290)</t>
        </is>
      </c>
      <c r="FU1" t="inlineStr">
        <is>
          <t>BBG00W4DBW85 Equity (TSLA US 03/19/21 P291)</t>
        </is>
      </c>
      <c r="FY1" t="inlineStr">
        <is>
          <t>BBG00VXXQR31 Equity (TSLA US 03/19/21 P292)</t>
        </is>
      </c>
      <c r="GC1" t="inlineStr">
        <is>
          <t>BBG00W4DBXC8 Equity (TSLA US 03/19/21 P293)</t>
        </is>
      </c>
      <c r="GG1" t="inlineStr">
        <is>
          <t>BBG00VXXQS75 Equity (TSLA US 03/19/21 P294)</t>
        </is>
      </c>
      <c r="GK1" t="inlineStr">
        <is>
          <t>BBG00W4DBYH1 Equity (TSLA US 03/19/21 P295)</t>
        </is>
      </c>
      <c r="GO1" t="inlineStr">
        <is>
          <t>BBG00VXXQTB8 Equity (TSLA US 03/19/21 P296)</t>
        </is>
      </c>
      <c r="GS1" t="inlineStr">
        <is>
          <t>BBG00W4DBZL3 Equity (TSLA US 03/19/21 P297)</t>
        </is>
      </c>
      <c r="GW1" t="inlineStr">
        <is>
          <t>BBG00VXXQVF9 Equity (TSLA US 03/19/21 P298)</t>
        </is>
      </c>
      <c r="HA1" t="inlineStr">
        <is>
          <t>BBG00W4DC0P5 Equity (TSLA US 03/19/21 P299)</t>
        </is>
      </c>
      <c r="HE1" t="inlineStr">
        <is>
          <t>BBG00RMPK070 Equity (TSLA US 03/19/21 P300)</t>
        </is>
      </c>
      <c r="HI1" t="inlineStr">
        <is>
          <t>BBG00W4DC1T9 Equity (TSLA US 03/19/21 P301)</t>
        </is>
      </c>
      <c r="HM1" t="inlineStr">
        <is>
          <t>BBG00VXXQWK1 Equity (TSLA US 03/19/21 P302)</t>
        </is>
      </c>
      <c r="HQ1" t="inlineStr">
        <is>
          <t>BBG00W4DC2X2 Equity (TSLA US 03/19/21 P303)</t>
        </is>
      </c>
      <c r="HU1" t="inlineStr">
        <is>
          <t>BBG00RMYLVP2 Equity (TSLA US 03/19/21 P304)</t>
        </is>
      </c>
      <c r="HY1" t="inlineStr">
        <is>
          <t>BBG00W4DC404 Equity (TSLA US 03/19/21 P305)</t>
        </is>
      </c>
      <c r="IC1" t="inlineStr">
        <is>
          <t>BBG00ZGTDL64 Equity (TSLA US 04/16/21 P200)</t>
        </is>
      </c>
      <c r="IG1" t="inlineStr">
        <is>
          <t>BBG00ZGTDM99 Equity (TSLA US 04/16/21 P250)</t>
        </is>
      </c>
      <c r="IK1" t="inlineStr">
        <is>
          <t>BBG00ZGTDNG9 Equity (TSLA US 04/16/21 P300)</t>
        </is>
      </c>
      <c r="IO1" t="inlineStr">
        <is>
          <t>BBG00ZGTDV08 Equity (TSLA US 05/21/21 P200)</t>
        </is>
      </c>
      <c r="IS1" t="inlineStr">
        <is>
          <t>BBG00ZGTDW42 Equity (TSLA US 05/21/21 P250)</t>
        </is>
      </c>
      <c r="IW1" t="inlineStr">
        <is>
          <t>BBG00ZGTDX77 Equity (TSLA US 05/21/21 P300)</t>
        </is>
      </c>
      <c r="JA1" t="inlineStr">
        <is>
          <t>BBG00R9XV343 Equity (TSLA US 06/18/21 P178)</t>
        </is>
      </c>
      <c r="JE1" t="inlineStr">
        <is>
          <t>BBG00R9XV487 Equity (TSLA US 06/18/21 P180)</t>
        </is>
      </c>
      <c r="JI1" t="inlineStr">
        <is>
          <t>BBG00RD4PZ02 Equity (TSLA US 06/18/21 P182)</t>
        </is>
      </c>
      <c r="JM1" t="inlineStr">
        <is>
          <t>BBG00RD4Q035 Equity (TSLA US 06/18/21 P184)</t>
        </is>
      </c>
      <c r="JQ1" t="inlineStr">
        <is>
          <t>BBG00RD4Q160 Equity (TSLA US 06/18/21 P186)</t>
        </is>
      </c>
      <c r="JU1" t="inlineStr">
        <is>
          <t>BBG00RD4Q2B2 Equity (TSLA US 06/18/21 P188)</t>
        </is>
      </c>
      <c r="JY1" t="inlineStr">
        <is>
          <t>BBG00RD4Q3F6 Equity (TSLA US 06/18/21 P190)</t>
        </is>
      </c>
      <c r="KC1" t="inlineStr">
        <is>
          <t>BBG00RD4Q4J0 Equity (TSLA US 06/18/21 P192)</t>
        </is>
      </c>
      <c r="KG1" t="inlineStr">
        <is>
          <t>BBG00RD4Q5N2 Equity (TSLA US 06/18/21 P194)</t>
        </is>
      </c>
      <c r="KK1" t="inlineStr">
        <is>
          <t>BBG00RD4Q6R6 Equity (TSLA US 06/18/21 P196)</t>
        </is>
      </c>
      <c r="KO1" t="inlineStr">
        <is>
          <t>BBG00RD4Q7V9 Equity (TSLA US 06/18/21 P198)</t>
        </is>
      </c>
      <c r="KS1" t="inlineStr">
        <is>
          <t>BBG00RD4Q8Z3 Equity (TSLA US 06/18/21 P199)</t>
        </is>
      </c>
      <c r="KW1" t="inlineStr">
        <is>
          <t>BBG00RD4QB22 Equity (TSLA US 06/18/21 P200)</t>
        </is>
      </c>
      <c r="LA1" t="inlineStr">
        <is>
          <t>BBG00RD4QC57 Equity (TSLA US 06/18/21 P201)</t>
        </is>
      </c>
      <c r="LE1" t="inlineStr">
        <is>
          <t>BBG00RD4QD91 Equity (TSLA US 06/18/21 P202)</t>
        </is>
      </c>
      <c r="LI1" t="inlineStr">
        <is>
          <t>BBG00RD4QFD1 Equity (TSLA US 06/18/21 P203)</t>
        </is>
      </c>
      <c r="LM1" t="inlineStr">
        <is>
          <t>BBG00RMPK1B3 Equity (TSLA US 06/18/21 P204)</t>
        </is>
      </c>
      <c r="LQ1" t="inlineStr">
        <is>
          <t>BBG00RMPK2H5 Equity (TSLA US 06/18/21 P208)</t>
        </is>
      </c>
      <c r="LU1" t="inlineStr">
        <is>
          <t>BBG00RMPK3L8 Equity (TSLA US 06/18/21 P210)</t>
        </is>
      </c>
      <c r="LY1" t="inlineStr">
        <is>
          <t>BBG00RMPK4Q1 Equity (TSLA US 06/18/21 P212)</t>
        </is>
      </c>
      <c r="MC1" t="inlineStr">
        <is>
          <t>BBG00RMYN5S4 Equity (TSLA US 06/18/21 P216)</t>
        </is>
      </c>
      <c r="MG1" t="inlineStr">
        <is>
          <t>BBG00RMPK5T5 Equity (TSLA US 06/18/21 P220)</t>
        </is>
      </c>
      <c r="MK1" t="inlineStr">
        <is>
          <t>BBG00RMYN6W7 Equity (TSLA US 06/18/21 P224)</t>
        </is>
      </c>
      <c r="MO1" t="inlineStr">
        <is>
          <t>BBG00RMYN7Z2 Equity (TSLA US 06/18/21 P228)</t>
        </is>
      </c>
      <c r="MS1" t="inlineStr">
        <is>
          <t>BBG00RMPK6X8 Equity (TSLA US 06/18/21 P230)</t>
        </is>
      </c>
      <c r="MW1" t="inlineStr">
        <is>
          <t>BBG00RMYN933 Equity (TSLA US 06/18/21 P232)</t>
        </is>
      </c>
      <c r="NA1" t="inlineStr">
        <is>
          <t>BBG00RMYNB65 Equity (TSLA US 06/18/21 P236)</t>
        </is>
      </c>
      <c r="NE1" t="inlineStr">
        <is>
          <t>BBG00RMPK819 Equity (TSLA US 06/18/21 P240)</t>
        </is>
      </c>
      <c r="NI1" t="inlineStr">
        <is>
          <t>BBG00RMYNC90 Equity (TSLA US 06/18/21 P244)</t>
        </is>
      </c>
      <c r="NM1" t="inlineStr">
        <is>
          <t>BBG00RMYNDF1 Equity (TSLA US 06/18/21 P248)</t>
        </is>
      </c>
      <c r="NQ1" t="inlineStr">
        <is>
          <t>BBG00RMPK944 Equity (TSLA US 06/18/21 P250)</t>
        </is>
      </c>
      <c r="NU1" t="inlineStr">
        <is>
          <t>BBG00RMYNFJ2 Equity (TSLA US 06/18/21 P252)</t>
        </is>
      </c>
      <c r="NY1" t="inlineStr">
        <is>
          <t>BBG00RMYNGM6 Equity (TSLA US 06/18/21 P256)</t>
        </is>
      </c>
      <c r="OC1" t="inlineStr">
        <is>
          <t>BBG00RMPKB76 Equity (TSLA US 06/18/21 P260)</t>
        </is>
      </c>
      <c r="OG1" t="inlineStr">
        <is>
          <t>BBG00RMPKCC8 Equity (TSLA US 06/18/21 P270)</t>
        </is>
      </c>
      <c r="OK1" t="inlineStr">
        <is>
          <t>BBG00RMPKDG2 Equity (TSLA US 06/18/21 P280)</t>
        </is>
      </c>
      <c r="OO1" t="inlineStr">
        <is>
          <t>BBG00RMPKFK2 Equity (TSLA US 06/18/21 P290)</t>
        </is>
      </c>
      <c r="OS1" t="inlineStr">
        <is>
          <t>BBG00RMPKGP5 Equity (TSLA US 06/18/21 P300)</t>
        </is>
      </c>
      <c r="OW1" t="inlineStr">
        <is>
          <t>BBG00RMYNHR9 Equity (TSLA US 06/18/21 P304)</t>
        </is>
      </c>
      <c r="PA1" t="inlineStr">
        <is>
          <t>BBG00ZGTF2S0 Equity (TSLA US 07/16/21 P200)</t>
        </is>
      </c>
      <c r="PE1" t="inlineStr">
        <is>
          <t>BBG00ZGTF3W3 Equity (TSLA US 07/16/21 P250)</t>
        </is>
      </c>
      <c r="PI1" t="inlineStr">
        <is>
          <t>BBG00WKF2XW3 Equity (TSLA US 07/16/21 P260)</t>
        </is>
      </c>
      <c r="PM1" t="inlineStr">
        <is>
          <t>BBG00WKF2YZ8 Equity (TSLA US 07/16/21 P262)</t>
        </is>
      </c>
      <c r="PQ1" t="inlineStr">
        <is>
          <t>BBG00WKF3027 Equity (TSLA US 07/16/21 P264)</t>
        </is>
      </c>
      <c r="PU1" t="inlineStr">
        <is>
          <t>BBG00WKF3161 Equity (TSLA US 07/16/21 P268)</t>
        </is>
      </c>
      <c r="PY1" t="inlineStr">
        <is>
          <t>BBG00WKF3296 Equity (TSLA US 07/16/21 P270)</t>
        </is>
      </c>
      <c r="QC1" t="inlineStr">
        <is>
          <t>BBG00WKF33D9 Equity (TSLA US 07/16/21 P272)</t>
        </is>
      </c>
      <c r="QG1" t="inlineStr">
        <is>
          <t>BBG00WKF34J1 Equity (TSLA US 07/16/21 P274)</t>
        </is>
      </c>
      <c r="QK1" t="inlineStr">
        <is>
          <t>BBG00WKF35M4 Equity (TSLA US 07/16/21 P276)</t>
        </is>
      </c>
      <c r="QO1" t="inlineStr">
        <is>
          <t>BBG00WKF36Q8 Equity (TSLA US 07/16/21 P278)</t>
        </is>
      </c>
      <c r="QS1" t="inlineStr">
        <is>
          <t>BBG00WKF37V0 Equity (TSLA US 07/16/21 P280)</t>
        </is>
      </c>
      <c r="QW1" t="inlineStr">
        <is>
          <t>BBG00WKF38Y5 Equity (TSLA US 07/16/21 P282)</t>
        </is>
      </c>
      <c r="RA1" t="inlineStr">
        <is>
          <t>BBG00WKF3B14 Equity (TSLA US 07/16/21 P284)</t>
        </is>
      </c>
      <c r="RE1" t="inlineStr">
        <is>
          <t>BBG00WKF3C58 Equity (TSLA US 07/16/21 P286)</t>
        </is>
      </c>
      <c r="RI1" t="inlineStr">
        <is>
          <t>BBG00WKF3D83 Equity (TSLA US 07/16/21 P288)</t>
        </is>
      </c>
      <c r="RM1" t="inlineStr">
        <is>
          <t>BBG00WKF3FC3 Equity (TSLA US 07/16/21 P292)</t>
        </is>
      </c>
      <c r="RQ1" t="inlineStr">
        <is>
          <t>BBG01159W3G2 Equity (TSLA US 08/20/21 P200)</t>
        </is>
      </c>
      <c r="RU1" t="inlineStr">
        <is>
          <t>BBG01159W4K5 Equity (TSLA US 08/20/21 P250)</t>
        </is>
      </c>
      <c r="RY1" t="inlineStr">
        <is>
          <t>BBG00R9XV8P9 Equity (TSLA US 09/17/21 P178)</t>
        </is>
      </c>
      <c r="SC1" t="inlineStr">
        <is>
          <t>BBG00R9XV9S4 Equity (TSLA US 09/17/21 P180)</t>
        </is>
      </c>
      <c r="SG1" t="inlineStr">
        <is>
          <t>BBG00RD4QGH5 Equity (TSLA US 09/17/21 P182)</t>
        </is>
      </c>
      <c r="SK1" t="inlineStr">
        <is>
          <t>BBG00RD4QHM7 Equity (TSLA US 09/17/21 P184)</t>
        </is>
      </c>
      <c r="SO1" t="inlineStr">
        <is>
          <t>BBG00RD4QJQ9 Equity (TSLA US 09/17/21 P186)</t>
        </is>
      </c>
      <c r="SS1" t="inlineStr">
        <is>
          <t>BBG00RD4QKT3 Equity (TSLA US 09/17/21 P188)</t>
        </is>
      </c>
      <c r="SW1" t="inlineStr">
        <is>
          <t>BBG00RD4QLY5 Equity (TSLA US 09/17/21 P190)</t>
        </is>
      </c>
      <c r="TA1" t="inlineStr">
        <is>
          <t>BBG00RD4QN17 Equity (TSLA US 09/17/21 P192)</t>
        </is>
      </c>
      <c r="TE1" t="inlineStr">
        <is>
          <t>BBG00RD4QP49 Equity (TSLA US 09/17/21 P194)</t>
        </is>
      </c>
      <c r="TI1" t="inlineStr">
        <is>
          <t>BBG00RD4QQ83 Equity (TSLA US 09/17/21 P196)</t>
        </is>
      </c>
      <c r="TM1" t="inlineStr">
        <is>
          <t>BBG00RD4QRC6 Equity (TSLA US 09/17/21 P198)</t>
        </is>
      </c>
      <c r="TQ1" t="inlineStr">
        <is>
          <t>BBG00RD4QSG0 Equity (TSLA US 09/17/21 P199)</t>
        </is>
      </c>
      <c r="TU1" t="inlineStr">
        <is>
          <t>BBG00RD4QTL2 Equity (TSLA US 09/17/21 P200)</t>
        </is>
      </c>
      <c r="TY1" t="inlineStr">
        <is>
          <t>BBG00RD4QVP3 Equity (TSLA US 09/17/21 P201)</t>
        </is>
      </c>
      <c r="UC1" t="inlineStr">
        <is>
          <t>BBG00RD4QWS8 Equity (TSLA US 09/17/21 P202)</t>
        </is>
      </c>
      <c r="UG1" t="inlineStr">
        <is>
          <t>BBG00RD4QXX0 Equity (TSLA US 09/17/21 P203)</t>
        </is>
      </c>
      <c r="UK1" t="inlineStr">
        <is>
          <t>BBG00RMPKHS0 Equity (TSLA US 09/17/21 P204)</t>
        </is>
      </c>
      <c r="UO1" t="inlineStr">
        <is>
          <t>BBG00RMPKJW1 Equity (TSLA US 09/17/21 P208)</t>
        </is>
      </c>
      <c r="US1" t="inlineStr">
        <is>
          <t>BBG00RMPKL01 Equity (TSLA US 09/17/21 P210)</t>
        </is>
      </c>
      <c r="UW1" t="inlineStr">
        <is>
          <t>BBG00RMPKM36 Equity (TSLA US 09/17/21 P212)</t>
        </is>
      </c>
      <c r="VA1" t="inlineStr">
        <is>
          <t>BBG00RMYPTQ2 Equity (TSLA US 09/17/21 P216)</t>
        </is>
      </c>
      <c r="VE1" t="inlineStr">
        <is>
          <t>BBG00RMPKN61 Equity (TSLA US 09/17/21 P220)</t>
        </is>
      </c>
      <c r="VI1" t="inlineStr">
        <is>
          <t>BBG00RMYPVV1 Equity (TSLA US 09/17/21 P224)</t>
        </is>
      </c>
      <c r="VM1" t="inlineStr">
        <is>
          <t>BBG00RMYPWY6 Equity (TSLA US 09/17/21 P228)</t>
        </is>
      </c>
      <c r="VQ1" t="inlineStr">
        <is>
          <t>BBG00RMPKPB0 Equity (TSLA US 09/17/21 P230)</t>
        </is>
      </c>
      <c r="VU1" t="inlineStr">
        <is>
          <t>BBG00RMYPY18 Equity (TSLA US 09/17/21 P232)</t>
        </is>
      </c>
      <c r="VY1" t="inlineStr">
        <is>
          <t>BBG00RMYPZ51 Equity (TSLA US 09/17/21 P236)</t>
        </is>
      </c>
      <c r="WC1" t="inlineStr">
        <is>
          <t>BBG00RMPKQF4 Equity (TSLA US 09/17/21 P240)</t>
        </is>
      </c>
      <c r="WG1" t="inlineStr">
        <is>
          <t>BBG00RMYQ084 Equity (TSLA US 09/17/21 P244)</t>
        </is>
      </c>
      <c r="WK1" t="inlineStr">
        <is>
          <t>BBG00RMYQ1C7 Equity (TSLA US 09/17/21 P248)</t>
        </is>
      </c>
      <c r="WO1" t="inlineStr">
        <is>
          <t>BBG00RMPKRJ8 Equity (TSLA US 09/17/21 P250)</t>
        </is>
      </c>
      <c r="WS1" t="inlineStr">
        <is>
          <t>BBG00RMYQ2H0 Equity (TSLA US 09/17/21 P252)</t>
        </is>
      </c>
      <c r="WW1" t="inlineStr">
        <is>
          <t>BBG00RMYQ3L3 Equity (TSLA US 09/17/21 P256)</t>
        </is>
      </c>
      <c r="XA1" t="inlineStr">
        <is>
          <t>BBG00RMPKSN1 Equity (TSLA US 09/17/21 P260)</t>
        </is>
      </c>
      <c r="XE1" t="inlineStr">
        <is>
          <t>BBG00RMPKTR5 Equity (TSLA US 09/17/21 P270)</t>
        </is>
      </c>
      <c r="XI1" t="inlineStr">
        <is>
          <t>BBG00RMPKVV5 Equity (TSLA US 09/17/21 P280)</t>
        </is>
      </c>
      <c r="XM1" t="inlineStr">
        <is>
          <t>BBG00RMPKWZ9 Equity (TSLA US 09/17/21 P290)</t>
        </is>
      </c>
      <c r="XQ1" t="inlineStr">
        <is>
          <t>BBG01159W915 Equity (TSLA US 10/15/21 P200)</t>
        </is>
      </c>
      <c r="XU1" t="inlineStr">
        <is>
          <t>BBG01159WB56 Equity (TSLA US 10/15/21 P250)</t>
        </is>
      </c>
      <c r="XY1" t="inlineStr">
        <is>
          <t>BBG0118QLX13 Equity (TSLA US 11/19/21 P200)</t>
        </is>
      </c>
      <c r="YC1" t="inlineStr">
        <is>
          <t>BBG0118QLY57 Equity (TSLA US 11/19/21 P250)</t>
        </is>
      </c>
      <c r="YG1" t="inlineStr">
        <is>
          <t>BBG0118QLZ81 Equity (TSLA US 11/19/21 P300)</t>
        </is>
      </c>
      <c r="YK1" t="inlineStr">
        <is>
          <t>BBG00ZGTF898 Equity (TSLA US 12/17/21 P200)</t>
        </is>
      </c>
      <c r="YO1" t="inlineStr">
        <is>
          <t>BBG00ZGTF9G8 Equity (TSLA US 12/17/21 P250)</t>
        </is>
      </c>
      <c r="YS1" t="inlineStr">
        <is>
          <t>BBG00ZGTFBK8 Equity (TSLA US 12/17/21 P300)</t>
        </is>
      </c>
      <c r="YW1" t="inlineStr">
        <is>
          <t>BBG00RMPL1D0 Equity (TSLA US 01/21/22 P208)</t>
        </is>
      </c>
      <c r="ZA1" t="inlineStr">
        <is>
          <t>BBG00RMPL2H4 Equity (TSLA US 01/21/22 P210)</t>
        </is>
      </c>
      <c r="ZE1" t="inlineStr">
        <is>
          <t>BBG00RMPL3M6 Equity (TSLA US 01/21/22 P212)</t>
        </is>
      </c>
      <c r="ZI1" t="inlineStr">
        <is>
          <t>BBG00RMPL4Q0 Equity (TSLA US 01/21/22 P214)</t>
        </is>
      </c>
      <c r="ZM1" t="inlineStr">
        <is>
          <t>BBG00RMPL5T4 Equity (TSLA US 01/21/22 P216)</t>
        </is>
      </c>
      <c r="ZQ1" t="inlineStr">
        <is>
          <t>BBG00RMPL6Y6 Equity (TSLA US 01/21/22 P218)</t>
        </is>
      </c>
      <c r="ZU1" t="inlineStr">
        <is>
          <t>BBG00RMPL818 Equity (TSLA US 01/21/22 P220)</t>
        </is>
      </c>
      <c r="ZY1" t="inlineStr">
        <is>
          <t>BBG00RMPL943 Equity (TSLA US 01/21/22 P222)</t>
        </is>
      </c>
      <c r="AAC1" t="inlineStr">
        <is>
          <t>BBG00RJNSPR4 Equity (TSLA US 01/21/22 P224)</t>
        </is>
      </c>
      <c r="AAG1" t="inlineStr">
        <is>
          <t>BBG00RJNSQV7 Equity (TSLA US 01/21/22 P226)</t>
        </is>
      </c>
      <c r="AAK1" t="inlineStr">
        <is>
          <t>BBG00RJNSRZ1 Equity (TSLA US 01/21/22 P228)</t>
        </is>
      </c>
      <c r="AAO1" t="inlineStr">
        <is>
          <t>BBG00RJNST23 Equity (TSLA US 01/21/22 P230)</t>
        </is>
      </c>
      <c r="AAS1" t="inlineStr">
        <is>
          <t>BBG00RJNSV55 Equity (TSLA US 01/21/22 P232)</t>
        </is>
      </c>
      <c r="AAW1" t="inlineStr">
        <is>
          <t>BBG00RM3JFV1 Equity (TSLA US 01/21/22 P234)</t>
        </is>
      </c>
      <c r="ABA1" t="inlineStr">
        <is>
          <t>BBG00RM3JGY6 Equity (TSLA US 01/21/22 P236)</t>
        </is>
      </c>
      <c r="ABE1" t="inlineStr">
        <is>
          <t>BBG00RM3JJ25 Equity (TSLA US 01/21/22 P238)</t>
        </is>
      </c>
      <c r="ABI1" t="inlineStr">
        <is>
          <t>BBG00RM3JK59 Equity (TSLA US 01/21/22 P240)</t>
        </is>
      </c>
      <c r="ABM1" t="inlineStr">
        <is>
          <t>BBG00RM3JL84 Equity (TSLA US 01/21/22 P242)</t>
        </is>
      </c>
      <c r="ABQ1" t="inlineStr">
        <is>
          <t>BBG00RM3JMD6 Equity (TSLA US 01/21/22 P244)</t>
        </is>
      </c>
      <c r="ABU1" t="inlineStr">
        <is>
          <t>BBG00RM3JNH0 Equity (TSLA US 01/21/22 P246)</t>
        </is>
      </c>
      <c r="ABY1" t="inlineStr">
        <is>
          <t>BBG00RM3JPL0 Equity (TSLA US 01/21/22 P248)</t>
        </is>
      </c>
      <c r="ACC1" t="inlineStr">
        <is>
          <t>BBG00RM3JQQ3 Equity (TSLA US 01/21/22 P250)</t>
        </is>
      </c>
      <c r="ACG1" t="inlineStr">
        <is>
          <t>BBG00RM3JRT8 Equity (TSLA US 01/21/22 P252)</t>
        </is>
      </c>
      <c r="ACK1" t="inlineStr">
        <is>
          <t>BBG00RM3JSX1 Equity (TSLA US 01/21/22 P254)</t>
        </is>
      </c>
      <c r="ACO1" t="inlineStr">
        <is>
          <t>BBG00RM3JV19 Equity (TSLA US 01/21/22 P256)</t>
        </is>
      </c>
      <c r="ACS1" t="inlineStr">
        <is>
          <t>BBG00VXXRKP1 Equity (TSLA US 01/21/22 P258)</t>
        </is>
      </c>
      <c r="ACW1" t="inlineStr">
        <is>
          <t>BBG00RMPLB84 Equity (TSLA US 01/21/22 P260)</t>
        </is>
      </c>
      <c r="ADA1" t="inlineStr">
        <is>
          <t>BBG00VXXRLT5 Equity (TSLA US 01/21/22 P262)</t>
        </is>
      </c>
      <c r="ADE1" t="inlineStr">
        <is>
          <t>BBG00VXXRMX8 Equity (TSLA US 01/21/22 P264)</t>
        </is>
      </c>
      <c r="ADI1" t="inlineStr">
        <is>
          <t>BBG00VXXRP07 Equity (TSLA US 01/21/22 P266)</t>
        </is>
      </c>
      <c r="ADM1" t="inlineStr">
        <is>
          <t>BBG00VXXRQ50 Equity (TSLA US 01/21/22 P268)</t>
        </is>
      </c>
      <c r="ADQ1" t="inlineStr">
        <is>
          <t>BBG00RMPLCC7 Equity (TSLA US 01/21/22 P270)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BDH("BBG00RMPJP86 Equity","PX_LAST,PX_VOLUME","1/1/2020","6/10/2026")</f>
        <v/>
      </c>
      <c r="E3">
        <f>BDH("BBG00VXXPYR1 Equity","PX_LAST,PX_VOLUME","1/1/2020","6/10/2026")</f>
        <v/>
      </c>
      <c r="I3">
        <f>BDH("BBG00RMYLJQ8 Equity","PX_LAST,PX_VOLUME","1/1/2020","6/10/2026")</f>
        <v/>
      </c>
      <c r="M3">
        <f>BDH("BBG00VXXPZV3 Equity","PX_LAST,PX_VOLUME","1/1/2020","6/10/2026")</f>
        <v/>
      </c>
      <c r="Q3">
        <f>BDH("BBG00RMPJQC9 Equity","PX_LAST,PX_VOLUME","1/1/2020","6/10/2026")</f>
        <v/>
      </c>
      <c r="U3">
        <f>BDH("BBG00VXXQ0Z5 Equity","PX_LAST,PX_VOLUME","1/1/2020","6/10/2026")</f>
        <v/>
      </c>
      <c r="Y3">
        <f>BDH("BBG00RMYLKT2 Equity","PX_LAST,PX_VOLUME","1/1/2020","6/10/2026")</f>
        <v/>
      </c>
      <c r="AC3">
        <f>BDH("BBG00VXXQ227 Equity","PX_LAST,PX_VOLUME","1/1/2020","6/10/2026")</f>
        <v/>
      </c>
      <c r="AG3">
        <f>BDH("BBG00RMYLLX5 Equity","PX_LAST,PX_VOLUME","1/1/2020","6/10/2026")</f>
        <v/>
      </c>
      <c r="AK3">
        <f>BDH("BBG00RMPJRH2 Equity","PX_LAST,PX_VOLUME","1/1/2020","6/10/2026")</f>
        <v/>
      </c>
      <c r="AO3">
        <f>BDH("BBG00RMYLN16 Equity","PX_LAST,PX_VOLUME","1/1/2020","6/10/2026")</f>
        <v/>
      </c>
      <c r="AS3">
        <f>BDH("BBG00VXXQ352 Equity","PX_LAST,PX_VOLUME","1/1/2020","6/10/2026")</f>
        <v/>
      </c>
      <c r="AW3">
        <f>BDH("BBG00RMYLP48 Equity","PX_LAST,PX_VOLUME","1/1/2020","6/10/2026")</f>
        <v/>
      </c>
      <c r="BA3">
        <f>BDH("BBG00VXXQ496 Equity","PX_LAST,PX_VOLUME","1/1/2020","6/10/2026")</f>
        <v/>
      </c>
      <c r="BE3">
        <f>BDH("BBG00RMPJSL5 Equity","PX_LAST,PX_VOLUME","1/1/2020","6/10/2026")</f>
        <v/>
      </c>
      <c r="BI3">
        <f>BDH("BBG00VXXQ5D8 Equity","PX_LAST,PX_VOLUME","1/1/2020","6/10/2026")</f>
        <v/>
      </c>
      <c r="BM3">
        <f>BDH("BBG00RMYLQ73 Equity","PX_LAST,PX_VOLUME","1/1/2020","6/10/2026")</f>
        <v/>
      </c>
      <c r="BQ3">
        <f>BDH("BBG00VXXQ6H2 Equity","PX_LAST,PX_VOLUME","1/1/2020","6/10/2026")</f>
        <v/>
      </c>
      <c r="BU3">
        <f>BDH("BBG00RMYLRC5 Equity","PX_LAST,PX_VOLUME","1/1/2020","6/10/2026")</f>
        <v/>
      </c>
      <c r="BY3">
        <f>BDH("BBG00RMPJTP9 Equity","PX_LAST,PX_VOLUME","1/1/2020","6/10/2026")</f>
        <v/>
      </c>
      <c r="CC3">
        <f>BDH("BBG00RMYLSG9 Equity","PX_LAST,PX_VOLUME","1/1/2020","6/10/2026")</f>
        <v/>
      </c>
      <c r="CG3">
        <f>BDH("BBG00VXXQ7M4 Equity","PX_LAST,PX_VOLUME","1/1/2020","6/10/2026")</f>
        <v/>
      </c>
      <c r="CK3">
        <f>BDH("BBG00RMYLTK2 Equity","PX_LAST,PX_VOLUME","1/1/2020","6/10/2026")</f>
        <v/>
      </c>
      <c r="CO3">
        <f>BDH("BBG00VXXQ8Q8 Equity","PX_LAST,PX_VOLUME","1/1/2020","6/10/2026")</f>
        <v/>
      </c>
      <c r="CS3">
        <f>BDH("BBG00RMPJVT0 Equity","PX_LAST,PX_VOLUME","1/1/2020","6/10/2026")</f>
        <v/>
      </c>
      <c r="CW3">
        <f>BDH("BBG00VXXQ9T3 Equity","PX_LAST,PX_VOLUME","1/1/2020","6/10/2026")</f>
        <v/>
      </c>
      <c r="DA3">
        <f>BDH("BBG00VXXQBY2 Equity","PX_LAST,PX_VOLUME","1/1/2020","6/10/2026")</f>
        <v/>
      </c>
      <c r="DE3">
        <f>BDH("BBG00VXXQD14 Equity","PX_LAST,PX_VOLUME","1/1/2020","6/10/2026")</f>
        <v/>
      </c>
      <c r="DI3">
        <f>BDH("BBG00VXXQF46 Equity","PX_LAST,PX_VOLUME","1/1/2020","6/10/2026")</f>
        <v/>
      </c>
      <c r="DM3">
        <f>BDH("BBG00RMPJWX3 Equity","PX_LAST,PX_VOLUME","1/1/2020","6/10/2026")</f>
        <v/>
      </c>
      <c r="DQ3">
        <f>BDH("BBG00VXXQG80 Equity","PX_LAST,PX_VOLUME","1/1/2020","6/10/2026")</f>
        <v/>
      </c>
      <c r="DU3">
        <f>BDH("BBG00VXXQHC3 Equity","PX_LAST,PX_VOLUME","1/1/2020","6/10/2026")</f>
        <v/>
      </c>
      <c r="DY3">
        <f>BDH("BBG00VXXQJG5 Equity","PX_LAST,PX_VOLUME","1/1/2020","6/10/2026")</f>
        <v/>
      </c>
      <c r="EC3">
        <f>BDH("BBG00VXXQKL6 Equity","PX_LAST,PX_VOLUME","1/1/2020","6/10/2026")</f>
        <v/>
      </c>
      <c r="EG3">
        <f>BDH("BBG00RMPJY05 Equity","PX_LAST,PX_VOLUME","1/1/2020","6/10/2026")</f>
        <v/>
      </c>
      <c r="EK3">
        <f>BDH("BBG00VXXQLP0 Equity","PX_LAST,PX_VOLUME","1/1/2020","6/10/2026")</f>
        <v/>
      </c>
      <c r="EO3">
        <f>BDH("BBG00W4DBQV2 Equity","PX_LAST,PX_VOLUME","1/1/2020","6/10/2026")</f>
        <v/>
      </c>
      <c r="ES3">
        <f>BDH("BBG00VXXQMS5 Equity","PX_LAST,PX_VOLUME","1/1/2020","6/10/2026")</f>
        <v/>
      </c>
      <c r="EW3">
        <f>BDH("BBG00W4DBRY7 Equity","PX_LAST,PX_VOLUME","1/1/2020","6/10/2026")</f>
        <v/>
      </c>
      <c r="FA3">
        <f>BDH("BBG00VXXQNX7 Equity","PX_LAST,PX_VOLUME","1/1/2020","6/10/2026")</f>
        <v/>
      </c>
      <c r="FE3">
        <f>BDH("BBG00W4DBT19 Equity","PX_LAST,PX_VOLUME","1/1/2020","6/10/2026")</f>
        <v/>
      </c>
      <c r="FI3">
        <f>BDH("BBG00VXXQQ06 Equity","PX_LAST,PX_VOLUME","1/1/2020","6/10/2026")</f>
        <v/>
      </c>
      <c r="FM3">
        <f>BDH("BBG00W4DBV50 Equity","PX_LAST,PX_VOLUME","1/1/2020","6/10/2026")</f>
        <v/>
      </c>
      <c r="FQ3">
        <f>BDH("BBG00RMPJZ48 Equity","PX_LAST,PX_VOLUME","1/1/2020","6/10/2026")</f>
        <v/>
      </c>
      <c r="FU3">
        <f>BDH("BBG00W4DBW85 Equity","PX_LAST,PX_VOLUME","1/1/2020","6/10/2026")</f>
        <v/>
      </c>
      <c r="FY3">
        <f>BDH("BBG00VXXQR31 Equity","PX_LAST,PX_VOLUME","1/1/2020","6/10/2026")</f>
        <v/>
      </c>
      <c r="GC3">
        <f>BDH("BBG00W4DBXC8 Equity","PX_LAST,PX_VOLUME","1/1/2020","6/10/2026")</f>
        <v/>
      </c>
      <c r="GG3">
        <f>BDH("BBG00VXXQS75 Equity","PX_LAST,PX_VOLUME","1/1/2020","6/10/2026")</f>
        <v/>
      </c>
      <c r="GK3">
        <f>BDH("BBG00W4DBYH1 Equity","PX_LAST,PX_VOLUME","1/1/2020","6/10/2026")</f>
        <v/>
      </c>
      <c r="GO3">
        <f>BDH("BBG00VXXQTB8 Equity","PX_LAST,PX_VOLUME","1/1/2020","6/10/2026")</f>
        <v/>
      </c>
      <c r="GS3">
        <f>BDH("BBG00W4DBZL3 Equity","PX_LAST,PX_VOLUME","1/1/2020","6/10/2026")</f>
        <v/>
      </c>
      <c r="GW3">
        <f>BDH("BBG00VXXQVF9 Equity","PX_LAST,PX_VOLUME","1/1/2020","6/10/2026")</f>
        <v/>
      </c>
      <c r="HA3">
        <f>BDH("BBG00W4DC0P5 Equity","PX_LAST,PX_VOLUME","1/1/2020","6/10/2026")</f>
        <v/>
      </c>
      <c r="HE3">
        <f>BDH("BBG00RMPK070 Equity","PX_LAST,PX_VOLUME","1/1/2020","6/10/2026")</f>
        <v/>
      </c>
      <c r="HI3">
        <f>BDH("BBG00W4DC1T9 Equity","PX_LAST,PX_VOLUME","1/1/2020","6/10/2026")</f>
        <v/>
      </c>
      <c r="HM3">
        <f>BDH("BBG00VXXQWK1 Equity","PX_LAST,PX_VOLUME","1/1/2020","6/10/2026")</f>
        <v/>
      </c>
      <c r="HQ3">
        <f>BDH("BBG00W4DC2X2 Equity","PX_LAST,PX_VOLUME","1/1/2020","6/10/2026")</f>
        <v/>
      </c>
      <c r="HU3">
        <f>BDH("BBG00RMYLVP2 Equity","PX_LAST,PX_VOLUME","1/1/2020","6/10/2026")</f>
        <v/>
      </c>
      <c r="HY3">
        <f>BDH("BBG00W4DC404 Equity","PX_LAST,PX_VOLUME","1/1/2020","6/10/2026")</f>
        <v/>
      </c>
      <c r="IC3">
        <f>BDH("BBG00ZGTDL64 Equity","PX_LAST,PX_VOLUME","1/1/2020","6/10/2026")</f>
        <v/>
      </c>
      <c r="IG3">
        <f>BDH("BBG00ZGTDM99 Equity","PX_LAST,PX_VOLUME","1/1/2020","6/10/2026")</f>
        <v/>
      </c>
      <c r="IK3">
        <f>BDH("BBG00ZGTDNG9 Equity","PX_LAST,PX_VOLUME","1/1/2020","6/10/2026")</f>
        <v/>
      </c>
      <c r="IO3">
        <f>BDH("BBG00ZGTDV08 Equity","PX_LAST,PX_VOLUME","1/1/2020","6/10/2026")</f>
        <v/>
      </c>
      <c r="IS3">
        <f>BDH("BBG00ZGTDW42 Equity","PX_LAST,PX_VOLUME","1/1/2020","6/10/2026")</f>
        <v/>
      </c>
      <c r="IW3">
        <f>BDH("BBG00ZGTDX77 Equity","PX_LAST,PX_VOLUME","1/1/2020","6/10/2026")</f>
        <v/>
      </c>
      <c r="JA3">
        <f>BDH("BBG00R9XV343 Equity","PX_LAST,PX_VOLUME","1/1/2020","6/10/2026")</f>
        <v/>
      </c>
      <c r="JE3">
        <f>BDH("BBG00R9XV487 Equity","PX_LAST,PX_VOLUME","1/1/2020","6/10/2026")</f>
        <v/>
      </c>
      <c r="JI3">
        <f>BDH("BBG00RD4PZ02 Equity","PX_LAST,PX_VOLUME","1/1/2020","6/10/2026")</f>
        <v/>
      </c>
      <c r="JM3">
        <f>BDH("BBG00RD4Q035 Equity","PX_LAST,PX_VOLUME","1/1/2020","6/10/2026")</f>
        <v/>
      </c>
      <c r="JQ3">
        <f>BDH("BBG00RD4Q160 Equity","PX_LAST,PX_VOLUME","1/1/2020","6/10/2026")</f>
        <v/>
      </c>
      <c r="JU3">
        <f>BDH("BBG00RD4Q2B2 Equity","PX_LAST,PX_VOLUME","1/1/2020","6/10/2026")</f>
        <v/>
      </c>
      <c r="JY3">
        <f>BDH("BBG00RD4Q3F6 Equity","PX_LAST,PX_VOLUME","1/1/2020","6/10/2026")</f>
        <v/>
      </c>
      <c r="KC3">
        <f>BDH("BBG00RD4Q4J0 Equity","PX_LAST,PX_VOLUME","1/1/2020","6/10/2026")</f>
        <v/>
      </c>
      <c r="KG3">
        <f>BDH("BBG00RD4Q5N2 Equity","PX_LAST,PX_VOLUME","1/1/2020","6/10/2026")</f>
        <v/>
      </c>
      <c r="KK3">
        <f>BDH("BBG00RD4Q6R6 Equity","PX_LAST,PX_VOLUME","1/1/2020","6/10/2026")</f>
        <v/>
      </c>
      <c r="KO3">
        <f>BDH("BBG00RD4Q7V9 Equity","PX_LAST,PX_VOLUME","1/1/2020","6/10/2026")</f>
        <v/>
      </c>
      <c r="KS3">
        <f>BDH("BBG00RD4Q8Z3 Equity","PX_LAST,PX_VOLUME","1/1/2020","6/10/2026")</f>
        <v/>
      </c>
      <c r="KW3">
        <f>BDH("BBG00RD4QB22 Equity","PX_LAST,PX_VOLUME","1/1/2020","6/10/2026")</f>
        <v/>
      </c>
      <c r="LA3">
        <f>BDH("BBG00RD4QC57 Equity","PX_LAST,PX_VOLUME","1/1/2020","6/10/2026")</f>
        <v/>
      </c>
      <c r="LE3">
        <f>BDH("BBG00RD4QD91 Equity","PX_LAST,PX_VOLUME","1/1/2020","6/10/2026")</f>
        <v/>
      </c>
      <c r="LI3">
        <f>BDH("BBG00RD4QFD1 Equity","PX_LAST,PX_VOLUME","1/1/2020","6/10/2026")</f>
        <v/>
      </c>
      <c r="LM3">
        <f>BDH("BBG00RMPK1B3 Equity","PX_LAST,PX_VOLUME","1/1/2020","6/10/2026")</f>
        <v/>
      </c>
      <c r="LQ3">
        <f>BDH("BBG00RMPK2H5 Equity","PX_LAST,PX_VOLUME","1/1/2020","6/10/2026")</f>
        <v/>
      </c>
      <c r="LU3">
        <f>BDH("BBG00RMPK3L8 Equity","PX_LAST,PX_VOLUME","1/1/2020","6/10/2026")</f>
        <v/>
      </c>
      <c r="LY3">
        <f>BDH("BBG00RMPK4Q1 Equity","PX_LAST,PX_VOLUME","1/1/2020","6/10/2026")</f>
        <v/>
      </c>
      <c r="MC3">
        <f>BDH("BBG00RMYN5S4 Equity","PX_LAST,PX_VOLUME","1/1/2020","6/10/2026")</f>
        <v/>
      </c>
      <c r="MG3">
        <f>BDH("BBG00RMPK5T5 Equity","PX_LAST,PX_VOLUME","1/1/2020","6/10/2026")</f>
        <v/>
      </c>
      <c r="MK3">
        <f>BDH("BBG00RMYN6W7 Equity","PX_LAST,PX_VOLUME","1/1/2020","6/10/2026")</f>
        <v/>
      </c>
      <c r="MO3">
        <f>BDH("BBG00RMYN7Z2 Equity","PX_LAST,PX_VOLUME","1/1/2020","6/10/2026")</f>
        <v/>
      </c>
      <c r="MS3">
        <f>BDH("BBG00RMPK6X8 Equity","PX_LAST,PX_VOLUME","1/1/2020","6/10/2026")</f>
        <v/>
      </c>
      <c r="MW3">
        <f>BDH("BBG00RMYN933 Equity","PX_LAST,PX_VOLUME","1/1/2020","6/10/2026")</f>
        <v/>
      </c>
      <c r="NA3">
        <f>BDH("BBG00RMYNB65 Equity","PX_LAST,PX_VOLUME","1/1/2020","6/10/2026")</f>
        <v/>
      </c>
      <c r="NE3">
        <f>BDH("BBG00RMPK819 Equity","PX_LAST,PX_VOLUME","1/1/2020","6/10/2026")</f>
        <v/>
      </c>
      <c r="NI3">
        <f>BDH("BBG00RMYNC90 Equity","PX_LAST,PX_VOLUME","1/1/2020","6/10/2026")</f>
        <v/>
      </c>
      <c r="NM3">
        <f>BDH("BBG00RMYNDF1 Equity","PX_LAST,PX_VOLUME","1/1/2020","6/10/2026")</f>
        <v/>
      </c>
      <c r="NQ3">
        <f>BDH("BBG00RMPK944 Equity","PX_LAST,PX_VOLUME","1/1/2020","6/10/2026")</f>
        <v/>
      </c>
      <c r="NU3">
        <f>BDH("BBG00RMYNFJ2 Equity","PX_LAST,PX_VOLUME","1/1/2020","6/10/2026")</f>
        <v/>
      </c>
      <c r="NY3">
        <f>BDH("BBG00RMYNGM6 Equity","PX_LAST,PX_VOLUME","1/1/2020","6/10/2026")</f>
        <v/>
      </c>
      <c r="OC3">
        <f>BDH("BBG00RMPKB76 Equity","PX_LAST,PX_VOLUME","1/1/2020","6/10/2026")</f>
        <v/>
      </c>
      <c r="OG3">
        <f>BDH("BBG00RMPKCC8 Equity","PX_LAST,PX_VOLUME","1/1/2020","6/10/2026")</f>
        <v/>
      </c>
      <c r="OK3">
        <f>BDH("BBG00RMPKDG2 Equity","PX_LAST,PX_VOLUME","1/1/2020","6/10/2026")</f>
        <v/>
      </c>
      <c r="OO3">
        <f>BDH("BBG00RMPKFK2 Equity","PX_LAST,PX_VOLUME","1/1/2020","6/10/2026")</f>
        <v/>
      </c>
      <c r="OS3">
        <f>BDH("BBG00RMPKGP5 Equity","PX_LAST,PX_VOLUME","1/1/2020","6/10/2026")</f>
        <v/>
      </c>
      <c r="OW3">
        <f>BDH("BBG00RMYNHR9 Equity","PX_LAST,PX_VOLUME","1/1/2020","6/10/2026")</f>
        <v/>
      </c>
      <c r="PA3">
        <f>BDH("BBG00ZGTF2S0 Equity","PX_LAST,PX_VOLUME","1/1/2020","6/10/2026")</f>
        <v/>
      </c>
      <c r="PE3">
        <f>BDH("BBG00ZGTF3W3 Equity","PX_LAST,PX_VOLUME","1/1/2020","6/10/2026")</f>
        <v/>
      </c>
      <c r="PI3">
        <f>BDH("BBG00WKF2XW3 Equity","PX_LAST,PX_VOLUME","1/1/2020","6/10/2026")</f>
        <v/>
      </c>
      <c r="PM3">
        <f>BDH("BBG00WKF2YZ8 Equity","PX_LAST,PX_VOLUME","1/1/2020","6/10/2026")</f>
        <v/>
      </c>
      <c r="PQ3">
        <f>BDH("BBG00WKF3027 Equity","PX_LAST,PX_VOLUME","1/1/2020","6/10/2026")</f>
        <v/>
      </c>
      <c r="PU3">
        <f>BDH("BBG00WKF3161 Equity","PX_LAST,PX_VOLUME","1/1/2020","6/10/2026")</f>
        <v/>
      </c>
      <c r="PY3">
        <f>BDH("BBG00WKF3296 Equity","PX_LAST,PX_VOLUME","1/1/2020","6/10/2026")</f>
        <v/>
      </c>
      <c r="QC3">
        <f>BDH("BBG00WKF33D9 Equity","PX_LAST,PX_VOLUME","1/1/2020","6/10/2026")</f>
        <v/>
      </c>
      <c r="QG3">
        <f>BDH("BBG00WKF34J1 Equity","PX_LAST,PX_VOLUME","1/1/2020","6/10/2026")</f>
        <v/>
      </c>
      <c r="QK3">
        <f>BDH("BBG00WKF35M4 Equity","PX_LAST,PX_VOLUME","1/1/2020","6/10/2026")</f>
        <v/>
      </c>
      <c r="QO3">
        <f>BDH("BBG00WKF36Q8 Equity","PX_LAST,PX_VOLUME","1/1/2020","6/10/2026")</f>
        <v/>
      </c>
      <c r="QS3">
        <f>BDH("BBG00WKF37V0 Equity","PX_LAST,PX_VOLUME","1/1/2020","6/10/2026")</f>
        <v/>
      </c>
      <c r="QW3">
        <f>BDH("BBG00WKF38Y5 Equity","PX_LAST,PX_VOLUME","1/1/2020","6/10/2026")</f>
        <v/>
      </c>
      <c r="RA3">
        <f>BDH("BBG00WKF3B14 Equity","PX_LAST,PX_VOLUME","1/1/2020","6/10/2026")</f>
        <v/>
      </c>
      <c r="RE3">
        <f>BDH("BBG00WKF3C58 Equity","PX_LAST,PX_VOLUME","1/1/2020","6/10/2026")</f>
        <v/>
      </c>
      <c r="RI3">
        <f>BDH("BBG00WKF3D83 Equity","PX_LAST,PX_VOLUME","1/1/2020","6/10/2026")</f>
        <v/>
      </c>
      <c r="RM3">
        <f>BDH("BBG00WKF3FC3 Equity","PX_LAST,PX_VOLUME","1/1/2020","6/10/2026")</f>
        <v/>
      </c>
      <c r="RQ3">
        <f>BDH("BBG01159W3G2 Equity","PX_LAST,PX_VOLUME","1/1/2020","6/10/2026")</f>
        <v/>
      </c>
      <c r="RU3">
        <f>BDH("BBG01159W4K5 Equity","PX_LAST,PX_VOLUME","1/1/2020","6/10/2026")</f>
        <v/>
      </c>
      <c r="RY3">
        <f>BDH("BBG00R9XV8P9 Equity","PX_LAST,PX_VOLUME","1/1/2020","6/10/2026")</f>
        <v/>
      </c>
      <c r="SC3">
        <f>BDH("BBG00R9XV9S4 Equity","PX_LAST,PX_VOLUME","1/1/2020","6/10/2026")</f>
        <v/>
      </c>
      <c r="SG3">
        <f>BDH("BBG00RD4QGH5 Equity","PX_LAST,PX_VOLUME","1/1/2020","6/10/2026")</f>
        <v/>
      </c>
      <c r="SK3">
        <f>BDH("BBG00RD4QHM7 Equity","PX_LAST,PX_VOLUME","1/1/2020","6/10/2026")</f>
        <v/>
      </c>
      <c r="SO3">
        <f>BDH("BBG00RD4QJQ9 Equity","PX_LAST,PX_VOLUME","1/1/2020","6/10/2026")</f>
        <v/>
      </c>
      <c r="SS3">
        <f>BDH("BBG00RD4QKT3 Equity","PX_LAST,PX_VOLUME","1/1/2020","6/10/2026")</f>
        <v/>
      </c>
      <c r="SW3">
        <f>BDH("BBG00RD4QLY5 Equity","PX_LAST,PX_VOLUME","1/1/2020","6/10/2026")</f>
        <v/>
      </c>
      <c r="TA3">
        <f>BDH("BBG00RD4QN17 Equity","PX_LAST,PX_VOLUME","1/1/2020","6/10/2026")</f>
        <v/>
      </c>
      <c r="TE3">
        <f>BDH("BBG00RD4QP49 Equity","PX_LAST,PX_VOLUME","1/1/2020","6/10/2026")</f>
        <v/>
      </c>
      <c r="TI3">
        <f>BDH("BBG00RD4QQ83 Equity","PX_LAST,PX_VOLUME","1/1/2020","6/10/2026")</f>
        <v/>
      </c>
      <c r="TM3">
        <f>BDH("BBG00RD4QRC6 Equity","PX_LAST,PX_VOLUME","1/1/2020","6/10/2026")</f>
        <v/>
      </c>
      <c r="TQ3">
        <f>BDH("BBG00RD4QSG0 Equity","PX_LAST,PX_VOLUME","1/1/2020","6/10/2026")</f>
        <v/>
      </c>
      <c r="TU3">
        <f>BDH("BBG00RD4QTL2 Equity","PX_LAST,PX_VOLUME","1/1/2020","6/10/2026")</f>
        <v/>
      </c>
      <c r="TY3">
        <f>BDH("BBG00RD4QVP3 Equity","PX_LAST,PX_VOLUME","1/1/2020","6/10/2026")</f>
        <v/>
      </c>
      <c r="UC3">
        <f>BDH("BBG00RD4QWS8 Equity","PX_LAST,PX_VOLUME","1/1/2020","6/10/2026")</f>
        <v/>
      </c>
      <c r="UG3">
        <f>BDH("BBG00RD4QXX0 Equity","PX_LAST,PX_VOLUME","1/1/2020","6/10/2026")</f>
        <v/>
      </c>
      <c r="UK3">
        <f>BDH("BBG00RMPKHS0 Equity","PX_LAST,PX_VOLUME","1/1/2020","6/10/2026")</f>
        <v/>
      </c>
      <c r="UO3">
        <f>BDH("BBG00RMPKJW1 Equity","PX_LAST,PX_VOLUME","1/1/2020","6/10/2026")</f>
        <v/>
      </c>
      <c r="US3">
        <f>BDH("BBG00RMPKL01 Equity","PX_LAST,PX_VOLUME","1/1/2020","6/10/2026")</f>
        <v/>
      </c>
      <c r="UW3">
        <f>BDH("BBG00RMPKM36 Equity","PX_LAST,PX_VOLUME","1/1/2020","6/10/2026")</f>
        <v/>
      </c>
      <c r="VA3">
        <f>BDH("BBG00RMYPTQ2 Equity","PX_LAST,PX_VOLUME","1/1/2020","6/10/2026")</f>
        <v/>
      </c>
      <c r="VE3">
        <f>BDH("BBG00RMPKN61 Equity","PX_LAST,PX_VOLUME","1/1/2020","6/10/2026")</f>
        <v/>
      </c>
      <c r="VI3">
        <f>BDH("BBG00RMYPVV1 Equity","PX_LAST,PX_VOLUME","1/1/2020","6/10/2026")</f>
        <v/>
      </c>
      <c r="VM3">
        <f>BDH("BBG00RMYPWY6 Equity","PX_LAST,PX_VOLUME","1/1/2020","6/10/2026")</f>
        <v/>
      </c>
      <c r="VQ3">
        <f>BDH("BBG00RMPKPB0 Equity","PX_LAST,PX_VOLUME","1/1/2020","6/10/2026")</f>
        <v/>
      </c>
      <c r="VU3">
        <f>BDH("BBG00RMYPY18 Equity","PX_LAST,PX_VOLUME","1/1/2020","6/10/2026")</f>
        <v/>
      </c>
      <c r="VY3">
        <f>BDH("BBG00RMYPZ51 Equity","PX_LAST,PX_VOLUME","1/1/2020","6/10/2026")</f>
        <v/>
      </c>
      <c r="WC3">
        <f>BDH("BBG00RMPKQF4 Equity","PX_LAST,PX_VOLUME","1/1/2020","6/10/2026")</f>
        <v/>
      </c>
      <c r="WG3">
        <f>BDH("BBG00RMYQ084 Equity","PX_LAST,PX_VOLUME","1/1/2020","6/10/2026")</f>
        <v/>
      </c>
      <c r="WK3">
        <f>BDH("BBG00RMYQ1C7 Equity","PX_LAST,PX_VOLUME","1/1/2020","6/10/2026")</f>
        <v/>
      </c>
      <c r="WO3">
        <f>BDH("BBG00RMPKRJ8 Equity","PX_LAST,PX_VOLUME","1/1/2020","6/10/2026")</f>
        <v/>
      </c>
      <c r="WS3">
        <f>BDH("BBG00RMYQ2H0 Equity","PX_LAST,PX_VOLUME","1/1/2020","6/10/2026")</f>
        <v/>
      </c>
      <c r="WW3">
        <f>BDH("BBG00RMYQ3L3 Equity","PX_LAST,PX_VOLUME","1/1/2020","6/10/2026")</f>
        <v/>
      </c>
      <c r="XA3">
        <f>BDH("BBG00RMPKSN1 Equity","PX_LAST,PX_VOLUME","1/1/2020","6/10/2026")</f>
        <v/>
      </c>
      <c r="XE3">
        <f>BDH("BBG00RMPKTR5 Equity","PX_LAST,PX_VOLUME","1/1/2020","6/10/2026")</f>
        <v/>
      </c>
      <c r="XI3">
        <f>BDH("BBG00RMPKVV5 Equity","PX_LAST,PX_VOLUME","1/1/2020","6/10/2026")</f>
        <v/>
      </c>
      <c r="XM3">
        <f>BDH("BBG00RMPKWZ9 Equity","PX_LAST,PX_VOLUME","1/1/2020","6/10/2026")</f>
        <v/>
      </c>
      <c r="XQ3">
        <f>BDH("BBG01159W915 Equity","PX_LAST,PX_VOLUME","1/1/2020","6/10/2026")</f>
        <v/>
      </c>
      <c r="XU3">
        <f>BDH("BBG01159WB56 Equity","PX_LAST,PX_VOLUME","1/1/2020","6/10/2026")</f>
        <v/>
      </c>
      <c r="XY3">
        <f>BDH("BBG0118QLX13 Equity","PX_LAST,PX_VOLUME","1/1/2020","6/10/2026")</f>
        <v/>
      </c>
      <c r="YC3">
        <f>BDH("BBG0118QLY57 Equity","PX_LAST,PX_VOLUME","1/1/2020","6/10/2026")</f>
        <v/>
      </c>
      <c r="YG3">
        <f>BDH("BBG0118QLZ81 Equity","PX_LAST,PX_VOLUME","1/1/2020","6/10/2026")</f>
        <v/>
      </c>
      <c r="YK3">
        <f>BDH("BBG00ZGTF898 Equity","PX_LAST,PX_VOLUME","1/1/2020","6/10/2026")</f>
        <v/>
      </c>
      <c r="YO3">
        <f>BDH("BBG00ZGTF9G8 Equity","PX_LAST,PX_VOLUME","1/1/2020","6/10/2026")</f>
        <v/>
      </c>
      <c r="YS3">
        <f>BDH("BBG00ZGTFBK8 Equity","PX_LAST,PX_VOLUME","1/1/2020","6/10/2026")</f>
        <v/>
      </c>
      <c r="YW3">
        <f>BDH("BBG00RMPL1D0 Equity","PX_LAST,PX_VOLUME","1/1/2020","6/10/2026")</f>
        <v/>
      </c>
      <c r="ZA3">
        <f>BDH("BBG00RMPL2H4 Equity","PX_LAST,PX_VOLUME","1/1/2020","6/10/2026")</f>
        <v/>
      </c>
      <c r="ZE3">
        <f>BDH("BBG00RMPL3M6 Equity","PX_LAST,PX_VOLUME","1/1/2020","6/10/2026")</f>
        <v/>
      </c>
      <c r="ZI3">
        <f>BDH("BBG00RMPL4Q0 Equity","PX_LAST,PX_VOLUME","1/1/2020","6/10/2026")</f>
        <v/>
      </c>
      <c r="ZM3">
        <f>BDH("BBG00RMPL5T4 Equity","PX_LAST,PX_VOLUME","1/1/2020","6/10/2026")</f>
        <v/>
      </c>
      <c r="ZQ3">
        <f>BDH("BBG00RMPL6Y6 Equity","PX_LAST,PX_VOLUME","1/1/2020","6/10/2026")</f>
        <v/>
      </c>
      <c r="ZU3">
        <f>BDH("BBG00RMPL818 Equity","PX_LAST,PX_VOLUME","1/1/2020","6/10/2026")</f>
        <v/>
      </c>
      <c r="ZY3">
        <f>BDH("BBG00RMPL943 Equity","PX_LAST,PX_VOLUME","1/1/2020","6/10/2026")</f>
        <v/>
      </c>
      <c r="AAC3">
        <f>BDH("BBG00RJNSPR4 Equity","PX_LAST,PX_VOLUME","1/1/2020","6/10/2026")</f>
        <v/>
      </c>
      <c r="AAG3">
        <f>BDH("BBG00RJNSQV7 Equity","PX_LAST,PX_VOLUME","1/1/2020","6/10/2026")</f>
        <v/>
      </c>
      <c r="AAK3">
        <f>BDH("BBG00RJNSRZ1 Equity","PX_LAST,PX_VOLUME","1/1/2020","6/10/2026")</f>
        <v/>
      </c>
      <c r="AAO3">
        <f>BDH("BBG00RJNST23 Equity","PX_LAST,PX_VOLUME","1/1/2020","6/10/2026")</f>
        <v/>
      </c>
      <c r="AAS3">
        <f>BDH("BBG00RJNSV55 Equity","PX_LAST,PX_VOLUME","1/1/2020","6/10/2026")</f>
        <v/>
      </c>
      <c r="AAW3">
        <f>BDH("BBG00RM3JFV1 Equity","PX_LAST,PX_VOLUME","1/1/2020","6/10/2026")</f>
        <v/>
      </c>
      <c r="ABA3">
        <f>BDH("BBG00RM3JGY6 Equity","PX_LAST,PX_VOLUME","1/1/2020","6/10/2026")</f>
        <v/>
      </c>
      <c r="ABE3">
        <f>BDH("BBG00RM3JJ25 Equity","PX_LAST,PX_VOLUME","1/1/2020","6/10/2026")</f>
        <v/>
      </c>
      <c r="ABI3">
        <f>BDH("BBG00RM3JK59 Equity","PX_LAST,PX_VOLUME","1/1/2020","6/10/2026")</f>
        <v/>
      </c>
      <c r="ABM3">
        <f>BDH("BBG00RM3JL84 Equity","PX_LAST,PX_VOLUME","1/1/2020","6/10/2026")</f>
        <v/>
      </c>
      <c r="ABQ3">
        <f>BDH("BBG00RM3JMD6 Equity","PX_LAST,PX_VOLUME","1/1/2020","6/10/2026")</f>
        <v/>
      </c>
      <c r="ABU3">
        <f>BDH("BBG00RM3JNH0 Equity","PX_LAST,PX_VOLUME","1/1/2020","6/10/2026")</f>
        <v/>
      </c>
      <c r="ABY3">
        <f>BDH("BBG00RM3JPL0 Equity","PX_LAST,PX_VOLUME","1/1/2020","6/10/2026")</f>
        <v/>
      </c>
      <c r="ACC3">
        <f>BDH("BBG00RM3JQQ3 Equity","PX_LAST,PX_VOLUME","1/1/2020","6/10/2026")</f>
        <v/>
      </c>
      <c r="ACG3">
        <f>BDH("BBG00RM3JRT8 Equity","PX_LAST,PX_VOLUME","1/1/2020","6/10/2026")</f>
        <v/>
      </c>
      <c r="ACK3">
        <f>BDH("BBG00RM3JSX1 Equity","PX_LAST,PX_VOLUME","1/1/2020","6/10/2026")</f>
        <v/>
      </c>
      <c r="ACO3">
        <f>BDH("BBG00RM3JV19 Equity","PX_LAST,PX_VOLUME","1/1/2020","6/10/2026")</f>
        <v/>
      </c>
      <c r="ACS3">
        <f>BDH("BBG00VXXRKP1 Equity","PX_LAST,PX_VOLUME","1/1/2020","6/10/2026")</f>
        <v/>
      </c>
      <c r="ACW3">
        <f>BDH("BBG00RMPLB84 Equity","PX_LAST,PX_VOLUME","1/1/2020","6/10/2026")</f>
        <v/>
      </c>
      <c r="ADA3">
        <f>BDH("BBG00VXXRLT5 Equity","PX_LAST,PX_VOLUME","1/1/2020","6/10/2026")</f>
        <v/>
      </c>
      <c r="ADE3">
        <f>BDH("BBG00VXXRMX8 Equity","PX_LAST,PX_VOLUME","1/1/2020","6/10/2026")</f>
        <v/>
      </c>
      <c r="ADI3">
        <f>BDH("BBG00VXXRP07 Equity","PX_LAST,PX_VOLUME","1/1/2020","6/10/2026")</f>
        <v/>
      </c>
      <c r="ADM3">
        <f>BDH("BBG00VXXRQ50 Equity","PX_LAST,PX_VOLUME","1/1/2020","6/10/2026")</f>
        <v/>
      </c>
      <c r="ADQ3">
        <f>BDH("BBG00RMPLCC7 Equity","PX_LAST,PX_VOLUME","1/1/2020","6/10/2026")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BBG00VXXRR85 Equity (TSLA US 01/21/22 P272)</t>
        </is>
      </c>
      <c r="E1" t="inlineStr">
        <is>
          <t>BBG00VXXRSC8 Equity (TSLA US 01/21/22 P274)</t>
        </is>
      </c>
      <c r="I1" t="inlineStr">
        <is>
          <t>BBG00VXXRTH1 Equity (TSLA US 01/21/22 P276)</t>
        </is>
      </c>
      <c r="M1" t="inlineStr">
        <is>
          <t>BBG00VXXRVL1 Equity (TSLA US 01/21/22 P278)</t>
        </is>
      </c>
      <c r="Q1" t="inlineStr">
        <is>
          <t>BBG00RMPLDH0 Equity (TSLA US 01/21/22 P280)</t>
        </is>
      </c>
      <c r="U1" t="inlineStr">
        <is>
          <t>BBG00VXXRWP5 Equity (TSLA US 01/21/22 P282)</t>
        </is>
      </c>
      <c r="Y1" t="inlineStr">
        <is>
          <t>BBG00VXXRXT9 Equity (TSLA US 01/21/22 P284)</t>
        </is>
      </c>
      <c r="AC1" t="inlineStr">
        <is>
          <t>BBG00VXXRYX2 Equity (TSLA US 01/21/22 P286)</t>
        </is>
      </c>
      <c r="AG1" t="inlineStr">
        <is>
          <t>BBG00VXXS001 Equity (TSLA US 01/21/22 P288)</t>
        </is>
      </c>
      <c r="AK1" t="inlineStr">
        <is>
          <t>BBG00RMPLFL0 Equity (TSLA US 01/21/22 P290)</t>
        </is>
      </c>
      <c r="AO1" t="inlineStr">
        <is>
          <t>BBG00VXXS145 Equity (TSLA US 01/21/22 P292)</t>
        </is>
      </c>
      <c r="AS1" t="inlineStr">
        <is>
          <t>BBG00VXXS270 Equity (TSLA US 01/21/22 P294)</t>
        </is>
      </c>
      <c r="AW1" t="inlineStr">
        <is>
          <t>BBG00VXXS3B3 Equity (TSLA US 01/21/22 P296)</t>
        </is>
      </c>
      <c r="BA1" t="inlineStr">
        <is>
          <t>BBG00VXXS4H5 Equity (TSLA US 01/21/22 P298)</t>
        </is>
      </c>
      <c r="BE1" t="inlineStr">
        <is>
          <t>BBG00RMPLGP4 Equity (TSLA US 01/21/22 P300)</t>
        </is>
      </c>
      <c r="BI1" t="inlineStr">
        <is>
          <t>BBG00VXXS5L7 Equity (TSLA US 01/21/22 P302)</t>
        </is>
      </c>
      <c r="BM1" t="inlineStr">
        <is>
          <t>BBG00RMYRGP9 Equity (TSLA US 01/21/22 P304)</t>
        </is>
      </c>
      <c r="BQ1" t="inlineStr">
        <is>
          <t>BBG00RMYRHS4 Equity (TSLA US 01/21/22 P306)</t>
        </is>
      </c>
      <c r="BU1" t="inlineStr">
        <is>
          <t>BBG00RMYRJX4 Equity (TSLA US 01/21/22 P308)</t>
        </is>
      </c>
      <c r="BY1" t="inlineStr">
        <is>
          <t>BBG00RMYRL05 Equity (TSLA US 01/21/22 P310)</t>
        </is>
      </c>
      <c r="CC1" t="inlineStr">
        <is>
          <t>BBG00RMYRM30 Equity (TSLA US 01/21/22 P312)</t>
        </is>
      </c>
      <c r="CG1" t="inlineStr">
        <is>
          <t>BBG00RMYRN74 Equity (TSLA US 01/21/22 P314)</t>
        </is>
      </c>
      <c r="CK1" t="inlineStr">
        <is>
          <t>BBG00RMYRPB4 Equity (TSLA US 01/21/22 P316)</t>
        </is>
      </c>
      <c r="CO1" t="inlineStr">
        <is>
          <t>BBG00RMYRQG7 Equity (TSLA US 01/21/22 P318)</t>
        </is>
      </c>
      <c r="CS1" t="inlineStr">
        <is>
          <t>BBG00RMYRRK0 Equity (TSLA US 01/21/22 P320)</t>
        </is>
      </c>
      <c r="CW1" t="inlineStr">
        <is>
          <t>BBG00RMYRSN5 Equity (TSLA US 01/21/22 P322)</t>
        </is>
      </c>
      <c r="DA1" t="inlineStr">
        <is>
          <t>BBG00RMYRTS8 Equity (TSLA US 01/21/22 P324)</t>
        </is>
      </c>
      <c r="DE1" t="inlineStr">
        <is>
          <t>BBG00RMYRVW8 Equity (TSLA US 01/21/22 P326)</t>
        </is>
      </c>
      <c r="DI1" t="inlineStr">
        <is>
          <t>BBG00RMYRWZ3 Equity (TSLA US 01/21/22 P328)</t>
        </is>
      </c>
      <c r="DM1" t="inlineStr">
        <is>
          <t>BBG00RMYRY34 Equity (TSLA US 01/21/22 P330)</t>
        </is>
      </c>
      <c r="DQ1" t="inlineStr">
        <is>
          <t>BBG00RMYRZ68 Equity (TSLA US 01/21/22 P332)</t>
        </is>
      </c>
      <c r="DU1" t="inlineStr">
        <is>
          <t>BBG00RMYS091 Equity (TSLA US 01/21/22 P334)</t>
        </is>
      </c>
      <c r="DY1" t="inlineStr">
        <is>
          <t>BBG00RMYS1F2 Equity (TSLA US 01/21/22 P336)</t>
        </is>
      </c>
      <c r="EC1" t="inlineStr">
        <is>
          <t>BBG00RMYS2J6 Equity (TSLA US 01/21/22 P338)</t>
        </is>
      </c>
      <c r="EG1" t="inlineStr">
        <is>
          <t>BBG00RMYS3M0 Equity (TSLA US 01/21/22 P340)</t>
        </is>
      </c>
      <c r="EK1" t="inlineStr">
        <is>
          <t>BBG00RMYS4R3 Equity (TSLA US 01/21/22 P342)</t>
        </is>
      </c>
      <c r="EO1" t="inlineStr">
        <is>
          <t>BBG00RMYS5V5 Equity (TSLA US 01/21/22 P344)</t>
        </is>
      </c>
      <c r="ES1" t="inlineStr">
        <is>
          <t>BBG00RMYS6Y0 Equity (TSLA US 01/21/22 P346)</t>
        </is>
      </c>
      <c r="EW1" t="inlineStr">
        <is>
          <t>BBG00RMYS821 Equity (TSLA US 01/21/22 P348)</t>
        </is>
      </c>
      <c r="FA1" t="inlineStr">
        <is>
          <t>BBG00RMYS956 Equity (TSLA US 01/21/22 P350)</t>
        </is>
      </c>
      <c r="FE1" t="inlineStr">
        <is>
          <t>BBG00RMYSB88 Equity (TSLA US 01/21/22 P352)</t>
        </is>
      </c>
      <c r="FI1" t="inlineStr">
        <is>
          <t>BBG00RMYSCD0 Equity (TSLA US 01/21/22 P354)</t>
        </is>
      </c>
      <c r="FM1" t="inlineStr">
        <is>
          <t>BBG00RMYSDH4 Equity (TSLA US 01/21/22 P356)</t>
        </is>
      </c>
      <c r="FQ1" t="inlineStr">
        <is>
          <t>BBG00RMYSFL4 Equity (TSLA US 01/21/22 P358)</t>
        </is>
      </c>
      <c r="FU1" t="inlineStr">
        <is>
          <t>BBG00RMYSGQ7 Equity (TSLA US 01/21/22 P360)</t>
        </is>
      </c>
      <c r="FY1" t="inlineStr">
        <is>
          <t>BBG00RMYSHT2 Equity (TSLA US 01/21/22 P362)</t>
        </is>
      </c>
      <c r="GC1" t="inlineStr">
        <is>
          <t>BBG00RMYSJX3 Equity (TSLA US 01/21/22 P364)</t>
        </is>
      </c>
      <c r="GG1" t="inlineStr">
        <is>
          <t>BBG00RMYSL13 Equity (TSLA US 01/21/22 P366)</t>
        </is>
      </c>
      <c r="GK1" t="inlineStr">
        <is>
          <t>BBG00RMYSM48 Equity (TSLA US 01/21/22 P368)</t>
        </is>
      </c>
      <c r="GO1" t="inlineStr">
        <is>
          <t>BBG00RMYSN73 Equity (TSLA US 01/21/22 P370)</t>
        </is>
      </c>
      <c r="GS1" t="inlineStr">
        <is>
          <t>BBG00RMYSPC2 Equity (TSLA US 01/21/22 P372)</t>
        </is>
      </c>
      <c r="GW1" t="inlineStr">
        <is>
          <t>BBG00RMYSQG6 Equity (TSLA US 01/21/22 P374)</t>
        </is>
      </c>
      <c r="HA1" t="inlineStr">
        <is>
          <t>BBG00RMYSRK9 Equity (TSLA US 01/21/22 P376)</t>
        </is>
      </c>
      <c r="HE1" t="inlineStr">
        <is>
          <t>BBG00VXXS6P1 Equity (TSLA US 01/21/22 P380)</t>
        </is>
      </c>
      <c r="HI1" t="inlineStr">
        <is>
          <t>BBG00VXXS7T5 Equity (TSLA US 01/21/22 P384)</t>
        </is>
      </c>
      <c r="HM1" t="inlineStr">
        <is>
          <t>BBG00VXXS8X8 Equity (TSLA US 01/21/22 P388)</t>
        </is>
      </c>
      <c r="HQ1" t="inlineStr">
        <is>
          <t>BBG00VXXSB16 Equity (TSLA US 01/21/22 P392)</t>
        </is>
      </c>
      <c r="HU1" t="inlineStr">
        <is>
          <t>BBG00VXXSC41 Equity (TSLA US 01/21/22 P396)</t>
        </is>
      </c>
      <c r="HY1" t="inlineStr">
        <is>
          <t>BBG00VXXSD76 Equity (TSLA US 01/21/22 P400)</t>
        </is>
      </c>
      <c r="IC1" t="inlineStr">
        <is>
          <t>BBG00VYH50S0 Equity (TSLA US 01/21/22 P410)</t>
        </is>
      </c>
      <c r="IG1" t="inlineStr">
        <is>
          <t>BBG00VYH51Y1 Equity (TSLA US 01/21/22 P420)</t>
        </is>
      </c>
      <c r="IK1" t="inlineStr">
        <is>
          <t>BBG00VYH5313 Equity (TSLA US 01/21/22 P430)</t>
        </is>
      </c>
      <c r="IO1" t="inlineStr">
        <is>
          <t>BBG00VYH5448 Equity (TSLA US 01/21/22 P440)</t>
        </is>
      </c>
      <c r="IS1" t="inlineStr">
        <is>
          <t>BBG00VYH55B7 Equity (TSLA US 01/21/22 P450)</t>
        </is>
      </c>
      <c r="IW1" t="inlineStr">
        <is>
          <t>BBG00VYH56F1 Equity (TSLA US 01/21/22 P460)</t>
        </is>
      </c>
      <c r="JA1" t="inlineStr">
        <is>
          <t>BBG00VYH57J5 Equity (TSLA US 01/21/22 P470)</t>
        </is>
      </c>
      <c r="JE1" t="inlineStr">
        <is>
          <t>BBG00VYH58N8 Equity (TSLA US 01/21/22 P480)</t>
        </is>
      </c>
      <c r="JI1" t="inlineStr">
        <is>
          <t>BBG00VYH59R2 Equity (TSLA US 01/21/22 P490)</t>
        </is>
      </c>
      <c r="JM1" t="inlineStr">
        <is>
          <t>BBG00VYH5BV2 Equity (TSLA US 01/21/22 P500)</t>
        </is>
      </c>
      <c r="JQ1" t="inlineStr">
        <is>
          <t>BBG00VYH5CZ6 Equity (TSLA US 01/21/22 P510)</t>
        </is>
      </c>
      <c r="JU1" t="inlineStr">
        <is>
          <t>BBG012HFFH17 Equity (TSLA US 02/18/22 P300)</t>
        </is>
      </c>
      <c r="JY1" t="inlineStr">
        <is>
          <t>BBG012HFFJ59 Equity (TSLA US 02/18/22 P325)</t>
        </is>
      </c>
      <c r="KC1" t="inlineStr">
        <is>
          <t>BBG012HFFK83 Equity (TSLA US 02/18/22 P350)</t>
        </is>
      </c>
      <c r="KG1" t="inlineStr">
        <is>
          <t>BBG012HFFLC6 Equity (TSLA US 02/18/22 P375)</t>
        </is>
      </c>
      <c r="KK1" t="inlineStr">
        <is>
          <t>BBG012HFFMH9 Equity (TSLA US 02/18/22 P400)</t>
        </is>
      </c>
      <c r="KO1" t="inlineStr">
        <is>
          <t>BBG01472PCH6 Equity (TSLA US 02/18/22 P410)</t>
        </is>
      </c>
      <c r="KS1" t="inlineStr">
        <is>
          <t>BBG01472PDL9 Equity (TSLA US 02/18/22 P420)</t>
        </is>
      </c>
      <c r="KW1" t="inlineStr">
        <is>
          <t>BBG012HFFNL2 Equity (TSLA US 02/18/22 P425)</t>
        </is>
      </c>
      <c r="LA1" t="inlineStr">
        <is>
          <t>BBG01472PFS7 Equity (TSLA US 02/18/22 P430)</t>
        </is>
      </c>
      <c r="LE1" t="inlineStr">
        <is>
          <t>BBG01472PGW0 Equity (TSLA US 02/18/22 P440)</t>
        </is>
      </c>
      <c r="LI1" t="inlineStr">
        <is>
          <t>BBG012HFFPP3 Equity (TSLA US 02/18/22 P450)</t>
        </is>
      </c>
      <c r="LM1" t="inlineStr">
        <is>
          <t>BBG01472PHZ5 Equity (TSLA US 02/18/22 P460)</t>
        </is>
      </c>
      <c r="LQ1" t="inlineStr">
        <is>
          <t>BBG01472PK42 Equity (TSLA US 02/18/22 P470)</t>
        </is>
      </c>
      <c r="LU1" t="inlineStr">
        <is>
          <t>BBG012HFFQT7 Equity (TSLA US 02/18/22 P475)</t>
        </is>
      </c>
      <c r="LY1" t="inlineStr">
        <is>
          <t>BBG01472PL77 Equity (TSLA US 02/18/22 P480)</t>
        </is>
      </c>
      <c r="MC1" t="inlineStr">
        <is>
          <t>BBG01472PMB0 Equity (TSLA US 02/18/22 P490)</t>
        </is>
      </c>
      <c r="MG1" t="inlineStr">
        <is>
          <t>BBG012HFFRX0 Equity (TSLA US 02/18/22 P500)</t>
        </is>
      </c>
      <c r="MK1" t="inlineStr">
        <is>
          <t>BBG01472PNH2 Equity (TSLA US 02/18/22 P510)</t>
        </is>
      </c>
      <c r="MO1" t="inlineStr">
        <is>
          <t>BBG00RNT6Z34 Equity (TSLA US 03/18/22 P208)</t>
        </is>
      </c>
      <c r="MS1" t="inlineStr">
        <is>
          <t>BBG00RNT7021 Equity (TSLA US 03/18/22 P212)</t>
        </is>
      </c>
      <c r="MW1" t="inlineStr">
        <is>
          <t>BBG00RNT7110 Equity (TSLA US 03/18/22 P216)</t>
        </is>
      </c>
      <c r="NA1" t="inlineStr">
        <is>
          <t>BBG00RNT7218 Equity (TSLA US 03/18/22 P220)</t>
        </is>
      </c>
      <c r="NE1" t="inlineStr">
        <is>
          <t>BBG00RNT7307 Equity (TSLA US 03/18/22 P224)</t>
        </is>
      </c>
      <c r="NI1" t="inlineStr">
        <is>
          <t>BBG00VXXSFC5 Equity (TSLA US 03/18/22 P240)</t>
        </is>
      </c>
      <c r="NM1" t="inlineStr">
        <is>
          <t>BBG00VXXSGG9 Equity (TSLA US 03/18/22 P242)</t>
        </is>
      </c>
      <c r="NQ1" t="inlineStr">
        <is>
          <t>BBG00VXXSHK2 Equity (TSLA US 03/18/22 P244)</t>
        </is>
      </c>
      <c r="NU1" t="inlineStr">
        <is>
          <t>BBG00VXXSJQ2 Equity (TSLA US 03/18/22 P246)</t>
        </is>
      </c>
      <c r="NY1" t="inlineStr">
        <is>
          <t>BBG00VXXSKT6 Equity (TSLA US 03/18/22 P248)</t>
        </is>
      </c>
      <c r="OC1" t="inlineStr">
        <is>
          <t>BBG00VXXSLX9 Equity (TSLA US 03/18/22 P250)</t>
        </is>
      </c>
      <c r="OG1" t="inlineStr">
        <is>
          <t>BBG00VXXSN29 Equity (TSLA US 03/18/22 P252)</t>
        </is>
      </c>
      <c r="OK1" t="inlineStr">
        <is>
          <t>BBG00VXXSP51 Equity (TSLA US 03/18/22 P254)</t>
        </is>
      </c>
      <c r="OO1" t="inlineStr">
        <is>
          <t>BBG00VXXSQ86 Equity (TSLA US 03/18/22 P256)</t>
        </is>
      </c>
      <c r="OS1" t="inlineStr">
        <is>
          <t>BBG00VXXSRD8 Equity (TSLA US 03/18/22 P258)</t>
        </is>
      </c>
      <c r="OW1" t="inlineStr">
        <is>
          <t>BBG00VXXSSH2 Equity (TSLA US 03/18/22 P260)</t>
        </is>
      </c>
      <c r="PA1" t="inlineStr">
        <is>
          <t>BBG00VXXSTL5 Equity (TSLA US 03/18/22 P262)</t>
        </is>
      </c>
      <c r="PE1" t="inlineStr">
        <is>
          <t>BBG00VXXSVQ5 Equity (TSLA US 03/18/22 P264)</t>
        </is>
      </c>
      <c r="PI1" t="inlineStr">
        <is>
          <t>BBG00VXXSWT0 Equity (TSLA US 03/18/22 P266)</t>
        </is>
      </c>
      <c r="PM1" t="inlineStr">
        <is>
          <t>BBG00VXXSXX3 Equity (TSLA US 03/18/22 P268)</t>
        </is>
      </c>
      <c r="PQ1" t="inlineStr">
        <is>
          <t>BBG00VXXSZ13 Equity (TSLA US 03/18/22 P270)</t>
        </is>
      </c>
      <c r="PU1" t="inlineStr">
        <is>
          <t>BBG00VXXT046 Equity (TSLA US 03/18/22 P272)</t>
        </is>
      </c>
      <c r="PY1" t="inlineStr">
        <is>
          <t>BBG00VXXT171 Equity (TSLA US 03/18/22 P274)</t>
        </is>
      </c>
      <c r="QC1" t="inlineStr">
        <is>
          <t>BBG00VXXT2C3 Equity (TSLA US 03/18/22 P276)</t>
        </is>
      </c>
      <c r="QG1" t="inlineStr">
        <is>
          <t>BBG00VXXT3G7 Equity (TSLA US 03/18/22 P278)</t>
        </is>
      </c>
      <c r="QK1" t="inlineStr">
        <is>
          <t>BBG00VXXT4K0 Equity (TSLA US 03/18/22 P280)</t>
        </is>
      </c>
      <c r="QO1" t="inlineStr">
        <is>
          <t>BBG00VXXT5P2 Equity (TSLA US 03/18/22 P282)</t>
        </is>
      </c>
      <c r="QS1" t="inlineStr">
        <is>
          <t>BBG00VXXT6S7 Equity (TSLA US 03/18/22 P284)</t>
        </is>
      </c>
      <c r="QW1" t="inlineStr">
        <is>
          <t>BBG00VXXT7W0 Equity (TSLA US 03/18/22 P286)</t>
        </is>
      </c>
      <c r="RA1" t="inlineStr">
        <is>
          <t>BBG00VXXT901 Equity (TSLA US 03/18/22 P288)</t>
        </is>
      </c>
      <c r="RE1" t="inlineStr">
        <is>
          <t>BBG00VXXTB33 Equity (TSLA US 03/18/22 P290)</t>
        </is>
      </c>
      <c r="RI1" t="inlineStr">
        <is>
          <t>BBG00VXXTC68 Equity (TSLA US 03/18/22 P292)</t>
        </is>
      </c>
      <c r="RM1" t="inlineStr">
        <is>
          <t>BBG00VXXTDB0 Equity (TSLA US 03/18/22 P294)</t>
        </is>
      </c>
      <c r="RQ1" t="inlineStr">
        <is>
          <t>BBG00VXXTFF1 Equity (TSLA US 03/18/22 P296)</t>
        </is>
      </c>
      <c r="RU1" t="inlineStr">
        <is>
          <t>BBG00VXXTGK3 Equity (TSLA US 03/18/22 P298)</t>
        </is>
      </c>
      <c r="RY1" t="inlineStr">
        <is>
          <t>BBG00VXXTHN8 Equity (TSLA US 03/18/22 P300)</t>
        </is>
      </c>
      <c r="SC1" t="inlineStr">
        <is>
          <t>BBG00VXXTJR0 Equity (TSLA US 03/18/22 P302)</t>
        </is>
      </c>
      <c r="SG1" t="inlineStr">
        <is>
          <t>BBG00RMYSSP2 Equity (TSLA US 03/18/22 P304)</t>
        </is>
      </c>
      <c r="SK1" t="inlineStr">
        <is>
          <t>BBG00RMYSTN2 Equity (TSLA US 03/18/22 P306)</t>
        </is>
      </c>
      <c r="SO1" t="inlineStr">
        <is>
          <t>BBG00RMYSVM8 Equity (TSLA US 03/18/22 P308)</t>
        </is>
      </c>
      <c r="SS1" t="inlineStr">
        <is>
          <t>BBG00RMYSWM6 Equity (TSLA US 03/18/22 P310)</t>
        </is>
      </c>
      <c r="SW1" t="inlineStr">
        <is>
          <t>BBG00RMYSXL5 Equity (TSLA US 03/18/22 P312)</t>
        </is>
      </c>
      <c r="TA1" t="inlineStr">
        <is>
          <t>BBG00RMYSYK4 Equity (TSLA US 03/18/22 P314)</t>
        </is>
      </c>
      <c r="TE1" t="inlineStr">
        <is>
          <t>BBG00RMYSZK1 Equity (TSLA US 03/18/22 P316)</t>
        </is>
      </c>
      <c r="TI1" t="inlineStr">
        <is>
          <t>BBG00RMYT0J9 Equity (TSLA US 03/18/22 P318)</t>
        </is>
      </c>
      <c r="TM1" t="inlineStr">
        <is>
          <t>BBG00RMYT1H9 Equity (TSLA US 03/18/22 P320)</t>
        </is>
      </c>
      <c r="TQ1" t="inlineStr">
        <is>
          <t>BBG00RMYT2H7 Equity (TSLA US 03/18/22 P322)</t>
        </is>
      </c>
      <c r="TU1" t="inlineStr">
        <is>
          <t>BBG00RMYT3G6 Equity (TSLA US 03/18/22 P324)</t>
        </is>
      </c>
      <c r="TY1" t="inlineStr">
        <is>
          <t>BBG00RMYT4F5 Equity (TSLA US 03/18/22 P326)</t>
        </is>
      </c>
      <c r="UC1" t="inlineStr">
        <is>
          <t>BBG00RMYT5D4 Equity (TSLA US 03/18/22 P328)</t>
        </is>
      </c>
      <c r="UG1" t="inlineStr">
        <is>
          <t>BBG00RMYT6F0 Equity (TSLA US 03/18/22 P330)</t>
        </is>
      </c>
      <c r="UK1" t="inlineStr">
        <is>
          <t>BBG00RMYT7D0 Equity (TSLA US 03/18/22 P332)</t>
        </is>
      </c>
      <c r="UO1" t="inlineStr">
        <is>
          <t>BBG00RMYT8C9 Equity (TSLA US 03/18/22 P334)</t>
        </is>
      </c>
      <c r="US1" t="inlineStr">
        <is>
          <t>BBG00RMYT9F4 Equity (TSLA US 03/18/22 P336)</t>
        </is>
      </c>
      <c r="UW1" t="inlineStr">
        <is>
          <t>BBG00RMYTBD1 Equity (TSLA US 03/18/22 P338)</t>
        </is>
      </c>
      <c r="VA1" t="inlineStr">
        <is>
          <t>BBG00RMYTCC0 Equity (TSLA US 03/18/22 P340)</t>
        </is>
      </c>
      <c r="VE1" t="inlineStr">
        <is>
          <t>BBG00RMYTDC8 Equity (TSLA US 03/18/22 P342)</t>
        </is>
      </c>
      <c r="VI1" t="inlineStr">
        <is>
          <t>BBG00RMYTFB4 Equity (TSLA US 03/18/22 P344)</t>
        </is>
      </c>
      <c r="VM1" t="inlineStr">
        <is>
          <t>BBG00RMYTG95 Equity (TSLA US 03/18/22 P346)</t>
        </is>
      </c>
      <c r="VQ1" t="inlineStr">
        <is>
          <t>BBG00RMYTH84 Equity (TSLA US 03/18/22 P348)</t>
        </is>
      </c>
      <c r="VU1" t="inlineStr">
        <is>
          <t>BBG00RMYTJ80 Equity (TSLA US 03/18/22 P350)</t>
        </is>
      </c>
      <c r="VY1" t="inlineStr">
        <is>
          <t>BBG00RMYTK78 Equity (TSLA US 03/18/22 P352)</t>
        </is>
      </c>
      <c r="WC1" t="inlineStr">
        <is>
          <t>BBG00RMYTL67 Equity (TSLA US 03/18/22 P354)</t>
        </is>
      </c>
      <c r="WG1" t="inlineStr">
        <is>
          <t>BBG00RMYTM65 Equity (TSLA US 03/18/22 P356)</t>
        </is>
      </c>
      <c r="WK1" t="inlineStr">
        <is>
          <t>BBG00RMYTN54 Equity (TSLA US 03/18/22 P358)</t>
        </is>
      </c>
      <c r="WO1" t="inlineStr">
        <is>
          <t>BBG00RMYTP40 Equity (TSLA US 03/18/22 P360)</t>
        </is>
      </c>
      <c r="WS1" t="inlineStr">
        <is>
          <t>BBG00RMYTQ48 Equity (TSLA US 03/18/22 P362)</t>
        </is>
      </c>
      <c r="WW1" t="inlineStr">
        <is>
          <t>BBG00RMYTR37 Equity (TSLA US 03/18/22 P364)</t>
        </is>
      </c>
      <c r="XA1" t="inlineStr">
        <is>
          <t>BBG00RMYTS26 Equity (TSLA US 03/18/22 P366)</t>
        </is>
      </c>
      <c r="XE1" t="inlineStr">
        <is>
          <t>BBG00RMYTT33 Equity (TSLA US 03/18/22 P368)</t>
        </is>
      </c>
      <c r="XI1" t="inlineStr">
        <is>
          <t>BBG00RMYTV29 Equity (TSLA US 03/18/22 P370)</t>
        </is>
      </c>
      <c r="XM1" t="inlineStr">
        <is>
          <t>BBG00RMYTW18 Equity (TSLA US 03/18/22 P372)</t>
        </is>
      </c>
      <c r="XQ1" t="inlineStr">
        <is>
          <t>BBG00RMYTX07 Equity (TSLA US 03/18/22 P374)</t>
        </is>
      </c>
      <c r="XU1" t="inlineStr">
        <is>
          <t>BBG00RMYTY14 Equity (TSLA US 03/18/22 P376)</t>
        </is>
      </c>
      <c r="XY1" t="inlineStr">
        <is>
          <t>BBG00VXXTKX0 Equity (TSLA US 03/18/22 P380)</t>
        </is>
      </c>
      <c r="YC1" t="inlineStr">
        <is>
          <t>BBG00VXXTM02 Equity (TSLA US 03/18/22 P384)</t>
        </is>
      </c>
      <c r="YG1" t="inlineStr">
        <is>
          <t>BBG00VXXTN37 Equity (TSLA US 03/18/22 P388)</t>
        </is>
      </c>
      <c r="YK1" t="inlineStr">
        <is>
          <t>BBG00VXXTP78 Equity (TSLA US 03/18/22 P392)</t>
        </is>
      </c>
      <c r="YO1" t="inlineStr">
        <is>
          <t>BBG00VXXTQB1 Equity (TSLA US 03/18/22 P396)</t>
        </is>
      </c>
      <c r="YS1" t="inlineStr">
        <is>
          <t>BBG00VXXTRF5 Equity (TSLA US 03/18/22 P400)</t>
        </is>
      </c>
      <c r="YW1" t="inlineStr">
        <is>
          <t>BBG00VYH5MQ4 Equity (TSLA US 03/18/22 P410)</t>
        </is>
      </c>
      <c r="ZA1" t="inlineStr">
        <is>
          <t>BBG00VYH5NT9 Equity (TSLA US 03/18/22 P420)</t>
        </is>
      </c>
      <c r="ZE1" t="inlineStr">
        <is>
          <t>BBG00VYH5PY8 Equity (TSLA US 03/18/22 P430)</t>
        </is>
      </c>
      <c r="ZI1" t="inlineStr">
        <is>
          <t>BBG00VYH5R10 Equity (TSLA US 03/18/22 P440)</t>
        </is>
      </c>
      <c r="ZM1" t="inlineStr">
        <is>
          <t>BBG00VYH5S54 Equity (TSLA US 03/18/22 P450)</t>
        </is>
      </c>
      <c r="ZQ1" t="inlineStr">
        <is>
          <t>BBG00VYH5T89 Equity (TSLA US 03/18/22 P460)</t>
        </is>
      </c>
      <c r="ZU1" t="inlineStr">
        <is>
          <t>BBG00VYH5VC9 Equity (TSLA US 03/18/22 P470)</t>
        </is>
      </c>
      <c r="ZY1" t="inlineStr">
        <is>
          <t>BBG00VYH5WH2 Equity (TSLA US 03/18/22 P480)</t>
        </is>
      </c>
      <c r="AAC1" t="inlineStr">
        <is>
          <t>BBG00VYH5XL5 Equity (TSLA US 03/18/22 P490)</t>
        </is>
      </c>
      <c r="AAG1" t="inlineStr">
        <is>
          <t>BBG00VYH5YP9 Equity (TSLA US 03/18/22 P500)</t>
        </is>
      </c>
      <c r="AAK1" t="inlineStr">
        <is>
          <t>BBG00VYH5ZT2 Equity (TSLA US 03/18/22 P510)</t>
        </is>
      </c>
      <c r="AAO1" t="inlineStr">
        <is>
          <t>BBG013Q859F5 Equity (TSLA US 04/14/22 P350)</t>
        </is>
      </c>
      <c r="AAS1" t="inlineStr">
        <is>
          <t>BBG013Q85BL3 Equity (TSLA US 04/14/22 P400)</t>
        </is>
      </c>
      <c r="AAW1" t="inlineStr">
        <is>
          <t>BBG01472QJ80 Equity (TSLA US 04/14/22 P410)</t>
        </is>
      </c>
      <c r="ABA1" t="inlineStr">
        <is>
          <t>BBG01472QKC2 Equity (TSLA US 04/14/22 P420)</t>
        </is>
      </c>
      <c r="ABE1" t="inlineStr">
        <is>
          <t>BBG01472QLK1 Equity (TSLA US 04/14/22 P430)</t>
        </is>
      </c>
      <c r="ABI1" t="inlineStr">
        <is>
          <t>BBG01472QMN6 Equity (TSLA US 04/14/22 P440)</t>
        </is>
      </c>
      <c r="ABM1" t="inlineStr">
        <is>
          <t>BBG013Q85CP7 Equity (TSLA US 04/14/22 P450)</t>
        </is>
      </c>
      <c r="ABQ1" t="inlineStr">
        <is>
          <t>BBG01472QNR0 Equity (TSLA US 04/14/22 P460)</t>
        </is>
      </c>
      <c r="ABU1" t="inlineStr">
        <is>
          <t>BBG01472QPY7 Equity (TSLA US 04/14/22 P470)</t>
        </is>
      </c>
      <c r="ABY1" t="inlineStr">
        <is>
          <t>BBG01472QR19 Equity (TSLA US 04/14/22 P480)</t>
        </is>
      </c>
      <c r="ACC1" t="inlineStr">
        <is>
          <t>BBG01472QS44 Equity (TSLA US 04/14/22 P490)</t>
        </is>
      </c>
      <c r="ACG1" t="inlineStr">
        <is>
          <t>BBG013Q85DS2 Equity (TSLA US 04/14/22 P500)</t>
        </is>
      </c>
      <c r="ACK1" t="inlineStr">
        <is>
          <t>BBG01472QTB4 Equity (TSLA US 04/14/22 P510)</t>
        </is>
      </c>
      <c r="ACO1" t="inlineStr">
        <is>
          <t>BBG0129LBKX5 Equity (TSLA US 05/20/22 P300)</t>
        </is>
      </c>
      <c r="ACS1" t="inlineStr">
        <is>
          <t>BBG0129LBM16 Equity (TSLA US 05/20/22 P350)</t>
        </is>
      </c>
      <c r="ACW1" t="inlineStr">
        <is>
          <t>BBG0129LBN41 Equity (TSLA US 05/20/22 P360)</t>
        </is>
      </c>
      <c r="ADA1" t="inlineStr">
        <is>
          <t>BBG0129LBP73 Equity (TSLA US 05/20/22 P370)</t>
        </is>
      </c>
      <c r="ADE1" t="inlineStr">
        <is>
          <t>BBG0129LBQC5 Equity (TSLA US 05/20/22 P380)</t>
        </is>
      </c>
      <c r="ADI1" t="inlineStr">
        <is>
          <t>BBG0129LBRG9 Equity (TSLA US 05/20/22 P390)</t>
        </is>
      </c>
      <c r="ADM1" t="inlineStr">
        <is>
          <t>BBG0129LBSK2 Equity (TSLA US 05/20/22 P400)</t>
        </is>
      </c>
      <c r="ADQ1" t="inlineStr">
        <is>
          <t>BBG0129LBTP5 Equity (TSLA US 05/20/22 P410)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BDH("BBG00VXXRR85 Equity","PX_LAST,PX_VOLUME","1/1/2020","6/10/2026")</f>
        <v/>
      </c>
      <c r="E3">
        <f>BDH("BBG00VXXRSC8 Equity","PX_LAST,PX_VOLUME","1/1/2020","6/10/2026")</f>
        <v/>
      </c>
      <c r="I3">
        <f>BDH("BBG00VXXRTH1 Equity","PX_LAST,PX_VOLUME","1/1/2020","6/10/2026")</f>
        <v/>
      </c>
      <c r="M3">
        <f>BDH("BBG00VXXRVL1 Equity","PX_LAST,PX_VOLUME","1/1/2020","6/10/2026")</f>
        <v/>
      </c>
      <c r="Q3">
        <f>BDH("BBG00RMPLDH0 Equity","PX_LAST,PX_VOLUME","1/1/2020","6/10/2026")</f>
        <v/>
      </c>
      <c r="U3">
        <f>BDH("BBG00VXXRWP5 Equity","PX_LAST,PX_VOLUME","1/1/2020","6/10/2026")</f>
        <v/>
      </c>
      <c r="Y3">
        <f>BDH("BBG00VXXRXT9 Equity","PX_LAST,PX_VOLUME","1/1/2020","6/10/2026")</f>
        <v/>
      </c>
      <c r="AC3">
        <f>BDH("BBG00VXXRYX2 Equity","PX_LAST,PX_VOLUME","1/1/2020","6/10/2026")</f>
        <v/>
      </c>
      <c r="AG3">
        <f>BDH("BBG00VXXS001 Equity","PX_LAST,PX_VOLUME","1/1/2020","6/10/2026")</f>
        <v/>
      </c>
      <c r="AK3">
        <f>BDH("BBG00RMPLFL0 Equity","PX_LAST,PX_VOLUME","1/1/2020","6/10/2026")</f>
        <v/>
      </c>
      <c r="AO3">
        <f>BDH("BBG00VXXS145 Equity","PX_LAST,PX_VOLUME","1/1/2020","6/10/2026")</f>
        <v/>
      </c>
      <c r="AS3">
        <f>BDH("BBG00VXXS270 Equity","PX_LAST,PX_VOLUME","1/1/2020","6/10/2026")</f>
        <v/>
      </c>
      <c r="AW3">
        <f>BDH("BBG00VXXS3B3 Equity","PX_LAST,PX_VOLUME","1/1/2020","6/10/2026")</f>
        <v/>
      </c>
      <c r="BA3">
        <f>BDH("BBG00VXXS4H5 Equity","PX_LAST,PX_VOLUME","1/1/2020","6/10/2026")</f>
        <v/>
      </c>
      <c r="BE3">
        <f>BDH("BBG00RMPLGP4 Equity","PX_LAST,PX_VOLUME","1/1/2020","6/10/2026")</f>
        <v/>
      </c>
      <c r="BI3">
        <f>BDH("BBG00VXXS5L7 Equity","PX_LAST,PX_VOLUME","1/1/2020","6/10/2026")</f>
        <v/>
      </c>
      <c r="BM3">
        <f>BDH("BBG00RMYRGP9 Equity","PX_LAST,PX_VOLUME","1/1/2020","6/10/2026")</f>
        <v/>
      </c>
      <c r="BQ3">
        <f>BDH("BBG00RMYRHS4 Equity","PX_LAST,PX_VOLUME","1/1/2020","6/10/2026")</f>
        <v/>
      </c>
      <c r="BU3">
        <f>BDH("BBG00RMYRJX4 Equity","PX_LAST,PX_VOLUME","1/1/2020","6/10/2026")</f>
        <v/>
      </c>
      <c r="BY3">
        <f>BDH("BBG00RMYRL05 Equity","PX_LAST,PX_VOLUME","1/1/2020","6/10/2026")</f>
        <v/>
      </c>
      <c r="CC3">
        <f>BDH("BBG00RMYRM30 Equity","PX_LAST,PX_VOLUME","1/1/2020","6/10/2026")</f>
        <v/>
      </c>
      <c r="CG3">
        <f>BDH("BBG00RMYRN74 Equity","PX_LAST,PX_VOLUME","1/1/2020","6/10/2026")</f>
        <v/>
      </c>
      <c r="CK3">
        <f>BDH("BBG00RMYRPB4 Equity","PX_LAST,PX_VOLUME","1/1/2020","6/10/2026")</f>
        <v/>
      </c>
      <c r="CO3">
        <f>BDH("BBG00RMYRQG7 Equity","PX_LAST,PX_VOLUME","1/1/2020","6/10/2026")</f>
        <v/>
      </c>
      <c r="CS3">
        <f>BDH("BBG00RMYRRK0 Equity","PX_LAST,PX_VOLUME","1/1/2020","6/10/2026")</f>
        <v/>
      </c>
      <c r="CW3">
        <f>BDH("BBG00RMYRSN5 Equity","PX_LAST,PX_VOLUME","1/1/2020","6/10/2026")</f>
        <v/>
      </c>
      <c r="DA3">
        <f>BDH("BBG00RMYRTS8 Equity","PX_LAST,PX_VOLUME","1/1/2020","6/10/2026")</f>
        <v/>
      </c>
      <c r="DE3">
        <f>BDH("BBG00RMYRVW8 Equity","PX_LAST,PX_VOLUME","1/1/2020","6/10/2026")</f>
        <v/>
      </c>
      <c r="DI3">
        <f>BDH("BBG00RMYRWZ3 Equity","PX_LAST,PX_VOLUME","1/1/2020","6/10/2026")</f>
        <v/>
      </c>
      <c r="DM3">
        <f>BDH("BBG00RMYRY34 Equity","PX_LAST,PX_VOLUME","1/1/2020","6/10/2026")</f>
        <v/>
      </c>
      <c r="DQ3">
        <f>BDH("BBG00RMYRZ68 Equity","PX_LAST,PX_VOLUME","1/1/2020","6/10/2026")</f>
        <v/>
      </c>
      <c r="DU3">
        <f>BDH("BBG00RMYS091 Equity","PX_LAST,PX_VOLUME","1/1/2020","6/10/2026")</f>
        <v/>
      </c>
      <c r="DY3">
        <f>BDH("BBG00RMYS1F2 Equity","PX_LAST,PX_VOLUME","1/1/2020","6/10/2026")</f>
        <v/>
      </c>
      <c r="EC3">
        <f>BDH("BBG00RMYS2J6 Equity","PX_LAST,PX_VOLUME","1/1/2020","6/10/2026")</f>
        <v/>
      </c>
      <c r="EG3">
        <f>BDH("BBG00RMYS3M0 Equity","PX_LAST,PX_VOLUME","1/1/2020","6/10/2026")</f>
        <v/>
      </c>
      <c r="EK3">
        <f>BDH("BBG00RMYS4R3 Equity","PX_LAST,PX_VOLUME","1/1/2020","6/10/2026")</f>
        <v/>
      </c>
      <c r="EO3">
        <f>BDH("BBG00RMYS5V5 Equity","PX_LAST,PX_VOLUME","1/1/2020","6/10/2026")</f>
        <v/>
      </c>
      <c r="ES3">
        <f>BDH("BBG00RMYS6Y0 Equity","PX_LAST,PX_VOLUME","1/1/2020","6/10/2026")</f>
        <v/>
      </c>
      <c r="EW3">
        <f>BDH("BBG00RMYS821 Equity","PX_LAST,PX_VOLUME","1/1/2020","6/10/2026")</f>
        <v/>
      </c>
      <c r="FA3">
        <f>BDH("BBG00RMYS956 Equity","PX_LAST,PX_VOLUME","1/1/2020","6/10/2026")</f>
        <v/>
      </c>
      <c r="FE3">
        <f>BDH("BBG00RMYSB88 Equity","PX_LAST,PX_VOLUME","1/1/2020","6/10/2026")</f>
        <v/>
      </c>
      <c r="FI3">
        <f>BDH("BBG00RMYSCD0 Equity","PX_LAST,PX_VOLUME","1/1/2020","6/10/2026")</f>
        <v/>
      </c>
      <c r="FM3">
        <f>BDH("BBG00RMYSDH4 Equity","PX_LAST,PX_VOLUME","1/1/2020","6/10/2026")</f>
        <v/>
      </c>
      <c r="FQ3">
        <f>BDH("BBG00RMYSFL4 Equity","PX_LAST,PX_VOLUME","1/1/2020","6/10/2026")</f>
        <v/>
      </c>
      <c r="FU3">
        <f>BDH("BBG00RMYSGQ7 Equity","PX_LAST,PX_VOLUME","1/1/2020","6/10/2026")</f>
        <v/>
      </c>
      <c r="FY3">
        <f>BDH("BBG00RMYSHT2 Equity","PX_LAST,PX_VOLUME","1/1/2020","6/10/2026")</f>
        <v/>
      </c>
      <c r="GC3">
        <f>BDH("BBG00RMYSJX3 Equity","PX_LAST,PX_VOLUME","1/1/2020","6/10/2026")</f>
        <v/>
      </c>
      <c r="GG3">
        <f>BDH("BBG00RMYSL13 Equity","PX_LAST,PX_VOLUME","1/1/2020","6/10/2026")</f>
        <v/>
      </c>
      <c r="GK3">
        <f>BDH("BBG00RMYSM48 Equity","PX_LAST,PX_VOLUME","1/1/2020","6/10/2026")</f>
        <v/>
      </c>
      <c r="GO3">
        <f>BDH("BBG00RMYSN73 Equity","PX_LAST,PX_VOLUME","1/1/2020","6/10/2026")</f>
        <v/>
      </c>
      <c r="GS3">
        <f>BDH("BBG00RMYSPC2 Equity","PX_LAST,PX_VOLUME","1/1/2020","6/10/2026")</f>
        <v/>
      </c>
      <c r="GW3">
        <f>BDH("BBG00RMYSQG6 Equity","PX_LAST,PX_VOLUME","1/1/2020","6/10/2026")</f>
        <v/>
      </c>
      <c r="HA3">
        <f>BDH("BBG00RMYSRK9 Equity","PX_LAST,PX_VOLUME","1/1/2020","6/10/2026")</f>
        <v/>
      </c>
      <c r="HE3">
        <f>BDH("BBG00VXXS6P1 Equity","PX_LAST,PX_VOLUME","1/1/2020","6/10/2026")</f>
        <v/>
      </c>
      <c r="HI3">
        <f>BDH("BBG00VXXS7T5 Equity","PX_LAST,PX_VOLUME","1/1/2020","6/10/2026")</f>
        <v/>
      </c>
      <c r="HM3">
        <f>BDH("BBG00VXXS8X8 Equity","PX_LAST,PX_VOLUME","1/1/2020","6/10/2026")</f>
        <v/>
      </c>
      <c r="HQ3">
        <f>BDH("BBG00VXXSB16 Equity","PX_LAST,PX_VOLUME","1/1/2020","6/10/2026")</f>
        <v/>
      </c>
      <c r="HU3">
        <f>BDH("BBG00VXXSC41 Equity","PX_LAST,PX_VOLUME","1/1/2020","6/10/2026")</f>
        <v/>
      </c>
      <c r="HY3">
        <f>BDH("BBG00VXXSD76 Equity","PX_LAST,PX_VOLUME","1/1/2020","6/10/2026")</f>
        <v/>
      </c>
      <c r="IC3">
        <f>BDH("BBG00VYH50S0 Equity","PX_LAST,PX_VOLUME","1/1/2020","6/10/2026")</f>
        <v/>
      </c>
      <c r="IG3">
        <f>BDH("BBG00VYH51Y1 Equity","PX_LAST,PX_VOLUME","1/1/2020","6/10/2026")</f>
        <v/>
      </c>
      <c r="IK3">
        <f>BDH("BBG00VYH5313 Equity","PX_LAST,PX_VOLUME","1/1/2020","6/10/2026")</f>
        <v/>
      </c>
      <c r="IO3">
        <f>BDH("BBG00VYH5448 Equity","PX_LAST,PX_VOLUME","1/1/2020","6/10/2026")</f>
        <v/>
      </c>
      <c r="IS3">
        <f>BDH("BBG00VYH55B7 Equity","PX_LAST,PX_VOLUME","1/1/2020","6/10/2026")</f>
        <v/>
      </c>
      <c r="IW3">
        <f>BDH("BBG00VYH56F1 Equity","PX_LAST,PX_VOLUME","1/1/2020","6/10/2026")</f>
        <v/>
      </c>
      <c r="JA3">
        <f>BDH("BBG00VYH57J5 Equity","PX_LAST,PX_VOLUME","1/1/2020","6/10/2026")</f>
        <v/>
      </c>
      <c r="JE3">
        <f>BDH("BBG00VYH58N8 Equity","PX_LAST,PX_VOLUME","1/1/2020","6/10/2026")</f>
        <v/>
      </c>
      <c r="JI3">
        <f>BDH("BBG00VYH59R2 Equity","PX_LAST,PX_VOLUME","1/1/2020","6/10/2026")</f>
        <v/>
      </c>
      <c r="JM3">
        <f>BDH("BBG00VYH5BV2 Equity","PX_LAST,PX_VOLUME","1/1/2020","6/10/2026")</f>
        <v/>
      </c>
      <c r="JQ3">
        <f>BDH("BBG00VYH5CZ6 Equity","PX_LAST,PX_VOLUME","1/1/2020","6/10/2026")</f>
        <v/>
      </c>
      <c r="JU3">
        <f>BDH("BBG012HFFH17 Equity","PX_LAST,PX_VOLUME","1/1/2020","6/10/2026")</f>
        <v/>
      </c>
      <c r="JY3">
        <f>BDH("BBG012HFFJ59 Equity","PX_LAST,PX_VOLUME","1/1/2020","6/10/2026")</f>
        <v/>
      </c>
      <c r="KC3">
        <f>BDH("BBG012HFFK83 Equity","PX_LAST,PX_VOLUME","1/1/2020","6/10/2026")</f>
        <v/>
      </c>
      <c r="KG3">
        <f>BDH("BBG012HFFLC6 Equity","PX_LAST,PX_VOLUME","1/1/2020","6/10/2026")</f>
        <v/>
      </c>
      <c r="KK3">
        <f>BDH("BBG012HFFMH9 Equity","PX_LAST,PX_VOLUME","1/1/2020","6/10/2026")</f>
        <v/>
      </c>
      <c r="KO3">
        <f>BDH("BBG01472PCH6 Equity","PX_LAST,PX_VOLUME","1/1/2020","6/10/2026")</f>
        <v/>
      </c>
      <c r="KS3">
        <f>BDH("BBG01472PDL9 Equity","PX_LAST,PX_VOLUME","1/1/2020","6/10/2026")</f>
        <v/>
      </c>
      <c r="KW3">
        <f>BDH("BBG012HFFNL2 Equity","PX_LAST,PX_VOLUME","1/1/2020","6/10/2026")</f>
        <v/>
      </c>
      <c r="LA3">
        <f>BDH("BBG01472PFS7 Equity","PX_LAST,PX_VOLUME","1/1/2020","6/10/2026")</f>
        <v/>
      </c>
      <c r="LE3">
        <f>BDH("BBG01472PGW0 Equity","PX_LAST,PX_VOLUME","1/1/2020","6/10/2026")</f>
        <v/>
      </c>
      <c r="LI3">
        <f>BDH("BBG012HFFPP3 Equity","PX_LAST,PX_VOLUME","1/1/2020","6/10/2026")</f>
        <v/>
      </c>
      <c r="LM3">
        <f>BDH("BBG01472PHZ5 Equity","PX_LAST,PX_VOLUME","1/1/2020","6/10/2026")</f>
        <v/>
      </c>
      <c r="LQ3">
        <f>BDH("BBG01472PK42 Equity","PX_LAST,PX_VOLUME","1/1/2020","6/10/2026")</f>
        <v/>
      </c>
      <c r="LU3">
        <f>BDH("BBG012HFFQT7 Equity","PX_LAST,PX_VOLUME","1/1/2020","6/10/2026")</f>
        <v/>
      </c>
      <c r="LY3">
        <f>BDH("BBG01472PL77 Equity","PX_LAST,PX_VOLUME","1/1/2020","6/10/2026")</f>
        <v/>
      </c>
      <c r="MC3">
        <f>BDH("BBG01472PMB0 Equity","PX_LAST,PX_VOLUME","1/1/2020","6/10/2026")</f>
        <v/>
      </c>
      <c r="MG3">
        <f>BDH("BBG012HFFRX0 Equity","PX_LAST,PX_VOLUME","1/1/2020","6/10/2026")</f>
        <v/>
      </c>
      <c r="MK3">
        <f>BDH("BBG01472PNH2 Equity","PX_LAST,PX_VOLUME","1/1/2020","6/10/2026")</f>
        <v/>
      </c>
      <c r="MO3">
        <f>BDH("BBG00RNT6Z34 Equity","PX_LAST,PX_VOLUME","1/1/2020","6/10/2026")</f>
        <v/>
      </c>
      <c r="MS3">
        <f>BDH("BBG00RNT7021 Equity","PX_LAST,PX_VOLUME","1/1/2020","6/10/2026")</f>
        <v/>
      </c>
      <c r="MW3">
        <f>BDH("BBG00RNT7110 Equity","PX_LAST,PX_VOLUME","1/1/2020","6/10/2026")</f>
        <v/>
      </c>
      <c r="NA3">
        <f>BDH("BBG00RNT7218 Equity","PX_LAST,PX_VOLUME","1/1/2020","6/10/2026")</f>
        <v/>
      </c>
      <c r="NE3">
        <f>BDH("BBG00RNT7307 Equity","PX_LAST,PX_VOLUME","1/1/2020","6/10/2026")</f>
        <v/>
      </c>
      <c r="NI3">
        <f>BDH("BBG00VXXSFC5 Equity","PX_LAST,PX_VOLUME","1/1/2020","6/10/2026")</f>
        <v/>
      </c>
      <c r="NM3">
        <f>BDH("BBG00VXXSGG9 Equity","PX_LAST,PX_VOLUME","1/1/2020","6/10/2026")</f>
        <v/>
      </c>
      <c r="NQ3">
        <f>BDH("BBG00VXXSHK2 Equity","PX_LAST,PX_VOLUME","1/1/2020","6/10/2026")</f>
        <v/>
      </c>
      <c r="NU3">
        <f>BDH("BBG00VXXSJQ2 Equity","PX_LAST,PX_VOLUME","1/1/2020","6/10/2026")</f>
        <v/>
      </c>
      <c r="NY3">
        <f>BDH("BBG00VXXSKT6 Equity","PX_LAST,PX_VOLUME","1/1/2020","6/10/2026")</f>
        <v/>
      </c>
      <c r="OC3">
        <f>BDH("BBG00VXXSLX9 Equity","PX_LAST,PX_VOLUME","1/1/2020","6/10/2026")</f>
        <v/>
      </c>
      <c r="OG3">
        <f>BDH("BBG00VXXSN29 Equity","PX_LAST,PX_VOLUME","1/1/2020","6/10/2026")</f>
        <v/>
      </c>
      <c r="OK3">
        <f>BDH("BBG00VXXSP51 Equity","PX_LAST,PX_VOLUME","1/1/2020","6/10/2026")</f>
        <v/>
      </c>
      <c r="OO3">
        <f>BDH("BBG00VXXSQ86 Equity","PX_LAST,PX_VOLUME","1/1/2020","6/10/2026")</f>
        <v/>
      </c>
      <c r="OS3">
        <f>BDH("BBG00VXXSRD8 Equity","PX_LAST,PX_VOLUME","1/1/2020","6/10/2026")</f>
        <v/>
      </c>
      <c r="OW3">
        <f>BDH("BBG00VXXSSH2 Equity","PX_LAST,PX_VOLUME","1/1/2020","6/10/2026")</f>
        <v/>
      </c>
      <c r="PA3">
        <f>BDH("BBG00VXXSTL5 Equity","PX_LAST,PX_VOLUME","1/1/2020","6/10/2026")</f>
        <v/>
      </c>
      <c r="PE3">
        <f>BDH("BBG00VXXSVQ5 Equity","PX_LAST,PX_VOLUME","1/1/2020","6/10/2026")</f>
        <v/>
      </c>
      <c r="PI3">
        <f>BDH("BBG00VXXSWT0 Equity","PX_LAST,PX_VOLUME","1/1/2020","6/10/2026")</f>
        <v/>
      </c>
      <c r="PM3">
        <f>BDH("BBG00VXXSXX3 Equity","PX_LAST,PX_VOLUME","1/1/2020","6/10/2026")</f>
        <v/>
      </c>
      <c r="PQ3">
        <f>BDH("BBG00VXXSZ13 Equity","PX_LAST,PX_VOLUME","1/1/2020","6/10/2026")</f>
        <v/>
      </c>
      <c r="PU3">
        <f>BDH("BBG00VXXT046 Equity","PX_LAST,PX_VOLUME","1/1/2020","6/10/2026")</f>
        <v/>
      </c>
      <c r="PY3">
        <f>BDH("BBG00VXXT171 Equity","PX_LAST,PX_VOLUME","1/1/2020","6/10/2026")</f>
        <v/>
      </c>
      <c r="QC3">
        <f>BDH("BBG00VXXT2C3 Equity","PX_LAST,PX_VOLUME","1/1/2020","6/10/2026")</f>
        <v/>
      </c>
      <c r="QG3">
        <f>BDH("BBG00VXXT3G7 Equity","PX_LAST,PX_VOLUME","1/1/2020","6/10/2026")</f>
        <v/>
      </c>
      <c r="QK3">
        <f>BDH("BBG00VXXT4K0 Equity","PX_LAST,PX_VOLUME","1/1/2020","6/10/2026")</f>
        <v/>
      </c>
      <c r="QO3">
        <f>BDH("BBG00VXXT5P2 Equity","PX_LAST,PX_VOLUME","1/1/2020","6/10/2026")</f>
        <v/>
      </c>
      <c r="QS3">
        <f>BDH("BBG00VXXT6S7 Equity","PX_LAST,PX_VOLUME","1/1/2020","6/10/2026")</f>
        <v/>
      </c>
      <c r="QW3">
        <f>BDH("BBG00VXXT7W0 Equity","PX_LAST,PX_VOLUME","1/1/2020","6/10/2026")</f>
        <v/>
      </c>
      <c r="RA3">
        <f>BDH("BBG00VXXT901 Equity","PX_LAST,PX_VOLUME","1/1/2020","6/10/2026")</f>
        <v/>
      </c>
      <c r="RE3">
        <f>BDH("BBG00VXXTB33 Equity","PX_LAST,PX_VOLUME","1/1/2020","6/10/2026")</f>
        <v/>
      </c>
      <c r="RI3">
        <f>BDH("BBG00VXXTC68 Equity","PX_LAST,PX_VOLUME","1/1/2020","6/10/2026")</f>
        <v/>
      </c>
      <c r="RM3">
        <f>BDH("BBG00VXXTDB0 Equity","PX_LAST,PX_VOLUME","1/1/2020","6/10/2026")</f>
        <v/>
      </c>
      <c r="RQ3">
        <f>BDH("BBG00VXXTFF1 Equity","PX_LAST,PX_VOLUME","1/1/2020","6/10/2026")</f>
        <v/>
      </c>
      <c r="RU3">
        <f>BDH("BBG00VXXTGK3 Equity","PX_LAST,PX_VOLUME","1/1/2020","6/10/2026")</f>
        <v/>
      </c>
      <c r="RY3">
        <f>BDH("BBG00VXXTHN8 Equity","PX_LAST,PX_VOLUME","1/1/2020","6/10/2026")</f>
        <v/>
      </c>
      <c r="SC3">
        <f>BDH("BBG00VXXTJR0 Equity","PX_LAST,PX_VOLUME","1/1/2020","6/10/2026")</f>
        <v/>
      </c>
      <c r="SG3">
        <f>BDH("BBG00RMYSSP2 Equity","PX_LAST,PX_VOLUME","1/1/2020","6/10/2026")</f>
        <v/>
      </c>
      <c r="SK3">
        <f>BDH("BBG00RMYSTN2 Equity","PX_LAST,PX_VOLUME","1/1/2020","6/10/2026")</f>
        <v/>
      </c>
      <c r="SO3">
        <f>BDH("BBG00RMYSVM8 Equity","PX_LAST,PX_VOLUME","1/1/2020","6/10/2026")</f>
        <v/>
      </c>
      <c r="SS3">
        <f>BDH("BBG00RMYSWM6 Equity","PX_LAST,PX_VOLUME","1/1/2020","6/10/2026")</f>
        <v/>
      </c>
      <c r="SW3">
        <f>BDH("BBG00RMYSXL5 Equity","PX_LAST,PX_VOLUME","1/1/2020","6/10/2026")</f>
        <v/>
      </c>
      <c r="TA3">
        <f>BDH("BBG00RMYSYK4 Equity","PX_LAST,PX_VOLUME","1/1/2020","6/10/2026")</f>
        <v/>
      </c>
      <c r="TE3">
        <f>BDH("BBG00RMYSZK1 Equity","PX_LAST,PX_VOLUME","1/1/2020","6/10/2026")</f>
        <v/>
      </c>
      <c r="TI3">
        <f>BDH("BBG00RMYT0J9 Equity","PX_LAST,PX_VOLUME","1/1/2020","6/10/2026")</f>
        <v/>
      </c>
      <c r="TM3">
        <f>BDH("BBG00RMYT1H9 Equity","PX_LAST,PX_VOLUME","1/1/2020","6/10/2026")</f>
        <v/>
      </c>
      <c r="TQ3">
        <f>BDH("BBG00RMYT2H7 Equity","PX_LAST,PX_VOLUME","1/1/2020","6/10/2026")</f>
        <v/>
      </c>
      <c r="TU3">
        <f>BDH("BBG00RMYT3G6 Equity","PX_LAST,PX_VOLUME","1/1/2020","6/10/2026")</f>
        <v/>
      </c>
      <c r="TY3">
        <f>BDH("BBG00RMYT4F5 Equity","PX_LAST,PX_VOLUME","1/1/2020","6/10/2026")</f>
        <v/>
      </c>
      <c r="UC3">
        <f>BDH("BBG00RMYT5D4 Equity","PX_LAST,PX_VOLUME","1/1/2020","6/10/2026")</f>
        <v/>
      </c>
      <c r="UG3">
        <f>BDH("BBG00RMYT6F0 Equity","PX_LAST,PX_VOLUME","1/1/2020","6/10/2026")</f>
        <v/>
      </c>
      <c r="UK3">
        <f>BDH("BBG00RMYT7D0 Equity","PX_LAST,PX_VOLUME","1/1/2020","6/10/2026")</f>
        <v/>
      </c>
      <c r="UO3">
        <f>BDH("BBG00RMYT8C9 Equity","PX_LAST,PX_VOLUME","1/1/2020","6/10/2026")</f>
        <v/>
      </c>
      <c r="US3">
        <f>BDH("BBG00RMYT9F4 Equity","PX_LAST,PX_VOLUME","1/1/2020","6/10/2026")</f>
        <v/>
      </c>
      <c r="UW3">
        <f>BDH("BBG00RMYTBD1 Equity","PX_LAST,PX_VOLUME","1/1/2020","6/10/2026")</f>
        <v/>
      </c>
      <c r="VA3">
        <f>BDH("BBG00RMYTCC0 Equity","PX_LAST,PX_VOLUME","1/1/2020","6/10/2026")</f>
        <v/>
      </c>
      <c r="VE3">
        <f>BDH("BBG00RMYTDC8 Equity","PX_LAST,PX_VOLUME","1/1/2020","6/10/2026")</f>
        <v/>
      </c>
      <c r="VI3">
        <f>BDH("BBG00RMYTFB4 Equity","PX_LAST,PX_VOLUME","1/1/2020","6/10/2026")</f>
        <v/>
      </c>
      <c r="VM3">
        <f>BDH("BBG00RMYTG95 Equity","PX_LAST,PX_VOLUME","1/1/2020","6/10/2026")</f>
        <v/>
      </c>
      <c r="VQ3">
        <f>BDH("BBG00RMYTH84 Equity","PX_LAST,PX_VOLUME","1/1/2020","6/10/2026")</f>
        <v/>
      </c>
      <c r="VU3">
        <f>BDH("BBG00RMYTJ80 Equity","PX_LAST,PX_VOLUME","1/1/2020","6/10/2026")</f>
        <v/>
      </c>
      <c r="VY3">
        <f>BDH("BBG00RMYTK78 Equity","PX_LAST,PX_VOLUME","1/1/2020","6/10/2026")</f>
        <v/>
      </c>
      <c r="WC3">
        <f>BDH("BBG00RMYTL67 Equity","PX_LAST,PX_VOLUME","1/1/2020","6/10/2026")</f>
        <v/>
      </c>
      <c r="WG3">
        <f>BDH("BBG00RMYTM65 Equity","PX_LAST,PX_VOLUME","1/1/2020","6/10/2026")</f>
        <v/>
      </c>
      <c r="WK3">
        <f>BDH("BBG00RMYTN54 Equity","PX_LAST,PX_VOLUME","1/1/2020","6/10/2026")</f>
        <v/>
      </c>
      <c r="WO3">
        <f>BDH("BBG00RMYTP40 Equity","PX_LAST,PX_VOLUME","1/1/2020","6/10/2026")</f>
        <v/>
      </c>
      <c r="WS3">
        <f>BDH("BBG00RMYTQ48 Equity","PX_LAST,PX_VOLUME","1/1/2020","6/10/2026")</f>
        <v/>
      </c>
      <c r="WW3">
        <f>BDH("BBG00RMYTR37 Equity","PX_LAST,PX_VOLUME","1/1/2020","6/10/2026")</f>
        <v/>
      </c>
      <c r="XA3">
        <f>BDH("BBG00RMYTS26 Equity","PX_LAST,PX_VOLUME","1/1/2020","6/10/2026")</f>
        <v/>
      </c>
      <c r="XE3">
        <f>BDH("BBG00RMYTT33 Equity","PX_LAST,PX_VOLUME","1/1/2020","6/10/2026")</f>
        <v/>
      </c>
      <c r="XI3">
        <f>BDH("BBG00RMYTV29 Equity","PX_LAST,PX_VOLUME","1/1/2020","6/10/2026")</f>
        <v/>
      </c>
      <c r="XM3">
        <f>BDH("BBG00RMYTW18 Equity","PX_LAST,PX_VOLUME","1/1/2020","6/10/2026")</f>
        <v/>
      </c>
      <c r="XQ3">
        <f>BDH("BBG00RMYTX07 Equity","PX_LAST,PX_VOLUME","1/1/2020","6/10/2026")</f>
        <v/>
      </c>
      <c r="XU3">
        <f>BDH("BBG00RMYTY14 Equity","PX_LAST,PX_VOLUME","1/1/2020","6/10/2026")</f>
        <v/>
      </c>
      <c r="XY3">
        <f>BDH("BBG00VXXTKX0 Equity","PX_LAST,PX_VOLUME","1/1/2020","6/10/2026")</f>
        <v/>
      </c>
      <c r="YC3">
        <f>BDH("BBG00VXXTM02 Equity","PX_LAST,PX_VOLUME","1/1/2020","6/10/2026")</f>
        <v/>
      </c>
      <c r="YG3">
        <f>BDH("BBG00VXXTN37 Equity","PX_LAST,PX_VOLUME","1/1/2020","6/10/2026")</f>
        <v/>
      </c>
      <c r="YK3">
        <f>BDH("BBG00VXXTP78 Equity","PX_LAST,PX_VOLUME","1/1/2020","6/10/2026")</f>
        <v/>
      </c>
      <c r="YO3">
        <f>BDH("BBG00VXXTQB1 Equity","PX_LAST,PX_VOLUME","1/1/2020","6/10/2026")</f>
        <v/>
      </c>
      <c r="YS3">
        <f>BDH("BBG00VXXTRF5 Equity","PX_LAST,PX_VOLUME","1/1/2020","6/10/2026")</f>
        <v/>
      </c>
      <c r="YW3">
        <f>BDH("BBG00VYH5MQ4 Equity","PX_LAST,PX_VOLUME","1/1/2020","6/10/2026")</f>
        <v/>
      </c>
      <c r="ZA3">
        <f>BDH("BBG00VYH5NT9 Equity","PX_LAST,PX_VOLUME","1/1/2020","6/10/2026")</f>
        <v/>
      </c>
      <c r="ZE3">
        <f>BDH("BBG00VYH5PY8 Equity","PX_LAST,PX_VOLUME","1/1/2020","6/10/2026")</f>
        <v/>
      </c>
      <c r="ZI3">
        <f>BDH("BBG00VYH5R10 Equity","PX_LAST,PX_VOLUME","1/1/2020","6/10/2026")</f>
        <v/>
      </c>
      <c r="ZM3">
        <f>BDH("BBG00VYH5S54 Equity","PX_LAST,PX_VOLUME","1/1/2020","6/10/2026")</f>
        <v/>
      </c>
      <c r="ZQ3">
        <f>BDH("BBG00VYH5T89 Equity","PX_LAST,PX_VOLUME","1/1/2020","6/10/2026")</f>
        <v/>
      </c>
      <c r="ZU3">
        <f>BDH("BBG00VYH5VC9 Equity","PX_LAST,PX_VOLUME","1/1/2020","6/10/2026")</f>
        <v/>
      </c>
      <c r="ZY3">
        <f>BDH("BBG00VYH5WH2 Equity","PX_LAST,PX_VOLUME","1/1/2020","6/10/2026")</f>
        <v/>
      </c>
      <c r="AAC3">
        <f>BDH("BBG00VYH5XL5 Equity","PX_LAST,PX_VOLUME","1/1/2020","6/10/2026")</f>
        <v/>
      </c>
      <c r="AAG3">
        <f>BDH("BBG00VYH5YP9 Equity","PX_LAST,PX_VOLUME","1/1/2020","6/10/2026")</f>
        <v/>
      </c>
      <c r="AAK3">
        <f>BDH("BBG00VYH5ZT2 Equity","PX_LAST,PX_VOLUME","1/1/2020","6/10/2026")</f>
        <v/>
      </c>
      <c r="AAO3">
        <f>BDH("BBG013Q859F5 Equity","PX_LAST,PX_VOLUME","1/1/2020","6/10/2026")</f>
        <v/>
      </c>
      <c r="AAS3">
        <f>BDH("BBG013Q85BL3 Equity","PX_LAST,PX_VOLUME","1/1/2020","6/10/2026")</f>
        <v/>
      </c>
      <c r="AAW3">
        <f>BDH("BBG01472QJ80 Equity","PX_LAST,PX_VOLUME","1/1/2020","6/10/2026")</f>
        <v/>
      </c>
      <c r="ABA3">
        <f>BDH("BBG01472QKC2 Equity","PX_LAST,PX_VOLUME","1/1/2020","6/10/2026")</f>
        <v/>
      </c>
      <c r="ABE3">
        <f>BDH("BBG01472QLK1 Equity","PX_LAST,PX_VOLUME","1/1/2020","6/10/2026")</f>
        <v/>
      </c>
      <c r="ABI3">
        <f>BDH("BBG01472QMN6 Equity","PX_LAST,PX_VOLUME","1/1/2020","6/10/2026")</f>
        <v/>
      </c>
      <c r="ABM3">
        <f>BDH("BBG013Q85CP7 Equity","PX_LAST,PX_VOLUME","1/1/2020","6/10/2026")</f>
        <v/>
      </c>
      <c r="ABQ3">
        <f>BDH("BBG01472QNR0 Equity","PX_LAST,PX_VOLUME","1/1/2020","6/10/2026")</f>
        <v/>
      </c>
      <c r="ABU3">
        <f>BDH("BBG01472QPY7 Equity","PX_LAST,PX_VOLUME","1/1/2020","6/10/2026")</f>
        <v/>
      </c>
      <c r="ABY3">
        <f>BDH("BBG01472QR19 Equity","PX_LAST,PX_VOLUME","1/1/2020","6/10/2026")</f>
        <v/>
      </c>
      <c r="ACC3">
        <f>BDH("BBG01472QS44 Equity","PX_LAST,PX_VOLUME","1/1/2020","6/10/2026")</f>
        <v/>
      </c>
      <c r="ACG3">
        <f>BDH("BBG013Q85DS2 Equity","PX_LAST,PX_VOLUME","1/1/2020","6/10/2026")</f>
        <v/>
      </c>
      <c r="ACK3">
        <f>BDH("BBG01472QTB4 Equity","PX_LAST,PX_VOLUME","1/1/2020","6/10/2026")</f>
        <v/>
      </c>
      <c r="ACO3">
        <f>BDH("BBG0129LBKX5 Equity","PX_LAST,PX_VOLUME","1/1/2020","6/10/2026")</f>
        <v/>
      </c>
      <c r="ACS3">
        <f>BDH("BBG0129LBM16 Equity","PX_LAST,PX_VOLUME","1/1/2020","6/10/2026")</f>
        <v/>
      </c>
      <c r="ACW3">
        <f>BDH("BBG0129LBN41 Equity","PX_LAST,PX_VOLUME","1/1/2020","6/10/2026")</f>
        <v/>
      </c>
      <c r="ADA3">
        <f>BDH("BBG0129LBP73 Equity","PX_LAST,PX_VOLUME","1/1/2020","6/10/2026")</f>
        <v/>
      </c>
      <c r="ADE3">
        <f>BDH("BBG0129LBQC5 Equity","PX_LAST,PX_VOLUME","1/1/2020","6/10/2026")</f>
        <v/>
      </c>
      <c r="ADI3">
        <f>BDH("BBG0129LBRG9 Equity","PX_LAST,PX_VOLUME","1/1/2020","6/10/2026")</f>
        <v/>
      </c>
      <c r="ADM3">
        <f>BDH("BBG0129LBSK2 Equity","PX_LAST,PX_VOLUME","1/1/2020","6/10/2026")</f>
        <v/>
      </c>
      <c r="ADQ3">
        <f>BDH("BBG0129LBTP5 Equity","PX_LAST,PX_VOLUME","1/1/2020","6/10/2026")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BBG0129LBVS7 Equity (TSLA US 05/20/22 P420)</t>
        </is>
      </c>
      <c r="E1" t="inlineStr">
        <is>
          <t>BBG0129LBWW0 Equity (TSLA US 05/20/22 P430)</t>
        </is>
      </c>
      <c r="I1" t="inlineStr">
        <is>
          <t>BBG0129LBY01 Equity (TSLA US 05/20/22 P440)</t>
        </is>
      </c>
      <c r="M1" t="inlineStr">
        <is>
          <t>BBG0129LBZ35 Equity (TSLA US 05/20/22 P450)</t>
        </is>
      </c>
      <c r="Q1" t="inlineStr">
        <is>
          <t>BBG0129LC068 Equity (TSLA US 05/20/22 P460)</t>
        </is>
      </c>
      <c r="U1" t="inlineStr">
        <is>
          <t>BBG0129LC1B0 Equity (TSLA US 05/20/22 P470)</t>
        </is>
      </c>
      <c r="Y1" t="inlineStr">
        <is>
          <t>BBG0129LC2F4 Equity (TSLA US 05/20/22 P480)</t>
        </is>
      </c>
      <c r="AC1" t="inlineStr">
        <is>
          <t>BBG0129LC3J8 Equity (TSLA US 05/20/22 P490)</t>
        </is>
      </c>
      <c r="AG1" t="inlineStr">
        <is>
          <t>BBG0129LC4N1 Equity (TSLA US 05/20/22 P500)</t>
        </is>
      </c>
      <c r="AK1" t="inlineStr">
        <is>
          <t>BBG0129LC5R4 Equity (TSLA US 05/20/22 P510)</t>
        </is>
      </c>
      <c r="AO1" t="inlineStr">
        <is>
          <t>BBG00RMPLRK5 Equity (TSLA US 06/17/22 P290)</t>
        </is>
      </c>
      <c r="AS1" t="inlineStr">
        <is>
          <t>BBG00VXXV6V0 Equity (TSLA US 06/17/22 P292)</t>
        </is>
      </c>
      <c r="AW1" t="inlineStr">
        <is>
          <t>BBG00VXXV7Y5 Equity (TSLA US 06/17/22 P294)</t>
        </is>
      </c>
      <c r="BA1" t="inlineStr">
        <is>
          <t>BBG00VXXV917 Equity (TSLA US 06/17/22 P296)</t>
        </is>
      </c>
      <c r="BE1" t="inlineStr">
        <is>
          <t>BBG00VXXVB58 Equity (TSLA US 06/17/22 P298)</t>
        </is>
      </c>
      <c r="BI1" t="inlineStr">
        <is>
          <t>BBG00RMPLSN0 Equity (TSLA US 06/17/22 P300)</t>
        </is>
      </c>
      <c r="BM1" t="inlineStr">
        <is>
          <t>BBG00VXXVC83 Equity (TSLA US 06/17/22 P302)</t>
        </is>
      </c>
      <c r="BQ1" t="inlineStr">
        <is>
          <t>BBG00VXXVDC6 Equity (TSLA US 06/17/22 P304)</t>
        </is>
      </c>
      <c r="BU1" t="inlineStr">
        <is>
          <t>BBG00VXXVFH6 Equity (TSLA US 06/17/22 P306)</t>
        </is>
      </c>
      <c r="BY1" t="inlineStr">
        <is>
          <t>BBG00VXXVGL9 Equity (TSLA US 06/17/22 P308)</t>
        </is>
      </c>
      <c r="CC1" t="inlineStr">
        <is>
          <t>BBG00RPR6ZD5 Equity (TSLA US 06/17/22 P310)</t>
        </is>
      </c>
      <c r="CG1" t="inlineStr">
        <is>
          <t>BBG00VXXVHP3 Equity (TSLA US 06/17/22 P312)</t>
        </is>
      </c>
      <c r="CK1" t="inlineStr">
        <is>
          <t>BBG00VXXVJT5 Equity (TSLA US 06/17/22 P314)</t>
        </is>
      </c>
      <c r="CO1" t="inlineStr">
        <is>
          <t>BBG00VXXVKX7 Equity (TSLA US 06/17/22 P316)</t>
        </is>
      </c>
      <c r="CS1" t="inlineStr">
        <is>
          <t>BBG00VXXVM18 Equity (TSLA US 06/17/22 P318)</t>
        </is>
      </c>
      <c r="CW1" t="inlineStr">
        <is>
          <t>BBG00RPR70H7 Equity (TSLA US 06/17/22 P320)</t>
        </is>
      </c>
      <c r="DA1" t="inlineStr">
        <is>
          <t>BBG00VXXVN43 Equity (TSLA US 06/17/22 P324)</t>
        </is>
      </c>
      <c r="DE1" t="inlineStr">
        <is>
          <t>BBG00VXXVP75 Equity (TSLA US 06/17/22 P328)</t>
        </is>
      </c>
      <c r="DI1" t="inlineStr">
        <is>
          <t>BBG00RVBYWL0 Equity (TSLA US 06/17/22 P330)</t>
        </is>
      </c>
      <c r="DM1" t="inlineStr">
        <is>
          <t>BBG00VXXVQC7 Equity (TSLA US 06/17/22 P332)</t>
        </is>
      </c>
      <c r="DQ1" t="inlineStr">
        <is>
          <t>BBG00VXXVRG1 Equity (TSLA US 06/17/22 P336)</t>
        </is>
      </c>
      <c r="DU1" t="inlineStr">
        <is>
          <t>BBG00RVBYXP4 Equity (TSLA US 06/17/22 P340)</t>
        </is>
      </c>
      <c r="DY1" t="inlineStr">
        <is>
          <t>BBG00VXXVSK4 Equity (TSLA US 06/17/22 P344)</t>
        </is>
      </c>
      <c r="EC1" t="inlineStr">
        <is>
          <t>BBG00VXXVTP7 Equity (TSLA US 06/17/22 P348)</t>
        </is>
      </c>
      <c r="EG1" t="inlineStr">
        <is>
          <t>BBG00RVBYYT8 Equity (TSLA US 06/17/22 P350)</t>
        </is>
      </c>
      <c r="EK1" t="inlineStr">
        <is>
          <t>BBG00VXXVVS9 Equity (TSLA US 06/17/22 P352)</t>
        </is>
      </c>
      <c r="EO1" t="inlineStr">
        <is>
          <t>BBG00VXXVWW2 Equity (TSLA US 06/17/22 P356)</t>
        </is>
      </c>
      <c r="ES1" t="inlineStr">
        <is>
          <t>BBG00RVBYZX0 Equity (TSLA US 06/17/22 P360)</t>
        </is>
      </c>
      <c r="EW1" t="inlineStr">
        <is>
          <t>BBG00VXXVY03 Equity (TSLA US 06/17/22 P364)</t>
        </is>
      </c>
      <c r="FA1" t="inlineStr">
        <is>
          <t>BBG00VXXVZ37 Equity (TSLA US 06/17/22 P368)</t>
        </is>
      </c>
      <c r="FE1" t="inlineStr">
        <is>
          <t>BBG00VXXW060 Equity (TSLA US 06/17/22 P372)</t>
        </is>
      </c>
      <c r="FI1" t="inlineStr">
        <is>
          <t>BBG00VXXW1B2 Equity (TSLA US 06/17/22 P376)</t>
        </is>
      </c>
      <c r="FM1" t="inlineStr">
        <is>
          <t>BBG00VXXW2F6 Equity (TSLA US 06/17/22 P380)</t>
        </is>
      </c>
      <c r="FQ1" t="inlineStr">
        <is>
          <t>BBG00VXXW3J0 Equity (TSLA US 06/17/22 P384)</t>
        </is>
      </c>
      <c r="FU1" t="inlineStr">
        <is>
          <t>BBG00VXXW4N3 Equity (TSLA US 06/17/22 P388)</t>
        </is>
      </c>
      <c r="FY1" t="inlineStr">
        <is>
          <t>BBG00VXXW5R6 Equity (TSLA US 06/17/22 P392)</t>
        </is>
      </c>
      <c r="GC1" t="inlineStr">
        <is>
          <t>BBG00VXXW6V9 Equity (TSLA US 06/17/22 P396)</t>
        </is>
      </c>
      <c r="GG1" t="inlineStr">
        <is>
          <t>BBG00VFDY927 Equity (TSLA US 06/17/22 P400)</t>
        </is>
      </c>
      <c r="GK1" t="inlineStr">
        <is>
          <t>BBG00VYH67K2 Equity (TSLA US 06/17/22 P410)</t>
        </is>
      </c>
      <c r="GO1" t="inlineStr">
        <is>
          <t>BBG00VTDQ3M2 Equity (TSLA US 06/17/22 P420)</t>
        </is>
      </c>
      <c r="GS1" t="inlineStr">
        <is>
          <t>BBG00VYH68N7 Equity (TSLA US 06/17/22 P430)</t>
        </is>
      </c>
      <c r="GW1" t="inlineStr">
        <is>
          <t>BBG00VYH69S0 Equity (TSLA US 06/17/22 P440)</t>
        </is>
      </c>
      <c r="HA1" t="inlineStr">
        <is>
          <t>BBG00VYH6BW0 Equity (TSLA US 06/17/22 P450)</t>
        </is>
      </c>
      <c r="HE1" t="inlineStr">
        <is>
          <t>BBG00VYH6CZ5 Equity (TSLA US 06/17/22 P460)</t>
        </is>
      </c>
      <c r="HI1" t="inlineStr">
        <is>
          <t>BBG00VYH6F33 Equity (TSLA US 06/17/22 P470)</t>
        </is>
      </c>
      <c r="HM1" t="inlineStr">
        <is>
          <t>BBG00VYH6G68 Equity (TSLA US 06/17/22 P480)</t>
        </is>
      </c>
      <c r="HQ1" t="inlineStr">
        <is>
          <t>BBG00VYH6H93 Equity (TSLA US 06/17/22 P490)</t>
        </is>
      </c>
      <c r="HU1" t="inlineStr">
        <is>
          <t>BBG00VYH6JF2 Equity (TSLA US 06/17/22 P500)</t>
        </is>
      </c>
      <c r="HY1" t="inlineStr">
        <is>
          <t>BBG00VYH6KJ5 Equity (TSLA US 06/17/22 P510)</t>
        </is>
      </c>
      <c r="IC1" t="inlineStr">
        <is>
          <t>BBG017Q4D0B9 Equity (TSLA US 07/15/22 P290)</t>
        </is>
      </c>
      <c r="IG1" t="inlineStr">
        <is>
          <t>BBG017Q4D1F3 Equity (TSLA US 07/15/22 P300)</t>
        </is>
      </c>
      <c r="IK1" t="inlineStr">
        <is>
          <t>BBG017Q4D2K5 Equity (TSLA US 07/15/22 P310)</t>
        </is>
      </c>
      <c r="IO1" t="inlineStr">
        <is>
          <t>BBG017Q4D3N0 Equity (TSLA US 07/15/22 P320)</t>
        </is>
      </c>
      <c r="IS1" t="inlineStr">
        <is>
          <t>BBG017Q4D4R4 Equity (TSLA US 07/15/22 P330)</t>
        </is>
      </c>
      <c r="IW1" t="inlineStr">
        <is>
          <t>BBG017Q4D5W5 Equity (TSLA US 07/15/22 P340)</t>
        </is>
      </c>
      <c r="JA1" t="inlineStr">
        <is>
          <t>BBG017Q4D6Z0 Equity (TSLA US 07/15/22 P350)</t>
        </is>
      </c>
      <c r="JE1" t="inlineStr">
        <is>
          <t>BBG017Q4D822 Equity (TSLA US 07/15/22 P360)</t>
        </is>
      </c>
      <c r="JI1" t="inlineStr">
        <is>
          <t>BBG017FX7M35 Equity (TSLA US 07/15/22 P370)</t>
        </is>
      </c>
      <c r="JM1" t="inlineStr">
        <is>
          <t>BBG017FX7N60 Equity (TSLA US 07/15/22 P375)</t>
        </is>
      </c>
      <c r="JQ1" t="inlineStr">
        <is>
          <t>BBG017FX7P92 Equity (TSLA US 07/15/22 P380)</t>
        </is>
      </c>
      <c r="JU1" t="inlineStr">
        <is>
          <t>BBG017FX7QF3 Equity (TSLA US 07/15/22 P385)</t>
        </is>
      </c>
      <c r="JY1" t="inlineStr">
        <is>
          <t>BBG017FX7RJ7 Equity (TSLA US 07/15/22 P390)</t>
        </is>
      </c>
      <c r="KC1" t="inlineStr">
        <is>
          <t>BBG017FX7SM1 Equity (TSLA US 07/15/22 P395)</t>
        </is>
      </c>
      <c r="KG1" t="inlineStr">
        <is>
          <t>BBG0174KL732 Equity (TSLA US 07/15/22 P400)</t>
        </is>
      </c>
      <c r="KK1" t="inlineStr">
        <is>
          <t>BBG017FX7TR4 Equity (TSLA US 07/15/22 P405)</t>
        </is>
      </c>
      <c r="KO1" t="inlineStr">
        <is>
          <t>BBG017FX7VV4 Equity (TSLA US 07/15/22 P410)</t>
        </is>
      </c>
      <c r="KS1" t="inlineStr">
        <is>
          <t>BBG017FX7WY9 Equity (TSLA US 07/15/22 P415)</t>
        </is>
      </c>
      <c r="KW1" t="inlineStr">
        <is>
          <t>BBG017FX7Y20 Equity (TSLA US 07/15/22 P420)</t>
        </is>
      </c>
      <c r="LA1" t="inlineStr">
        <is>
          <t>BBG0174KL867 Equity (TSLA US 07/15/22 P425)</t>
        </is>
      </c>
      <c r="LE1" t="inlineStr">
        <is>
          <t>BBG017FX7Z54 Equity (TSLA US 07/15/22 P430)</t>
        </is>
      </c>
      <c r="LI1" t="inlineStr">
        <is>
          <t>BBG017FX8087 Equity (TSLA US 07/15/22 P435)</t>
        </is>
      </c>
      <c r="LM1" t="inlineStr">
        <is>
          <t>BBG017FX81D9 Equity (TSLA US 07/15/22 P440)</t>
        </is>
      </c>
      <c r="LQ1" t="inlineStr">
        <is>
          <t>BBG017FX82H3 Equity (TSLA US 07/15/22 P445)</t>
        </is>
      </c>
      <c r="LU1" t="inlineStr">
        <is>
          <t>BBG0174KL992 Equity (TSLA US 07/15/22 P450)</t>
        </is>
      </c>
      <c r="LY1" t="inlineStr">
        <is>
          <t>BBG017FX83L6 Equity (TSLA US 07/15/22 P455)</t>
        </is>
      </c>
      <c r="MC1" t="inlineStr">
        <is>
          <t>BBG017FX84S7 Equity (TSLA US 07/15/22 P460)</t>
        </is>
      </c>
      <c r="MG1" t="inlineStr">
        <is>
          <t>BBG017FX85W9 Equity (TSLA US 07/15/22 P465)</t>
        </is>
      </c>
      <c r="MK1" t="inlineStr">
        <is>
          <t>BBG014D1NT59 Equity (TSLA US 08/19/22 P200)</t>
        </is>
      </c>
      <c r="MO1" t="inlineStr">
        <is>
          <t>BBG014D1NV81 Equity (TSLA US 08/19/22 P250)</t>
        </is>
      </c>
      <c r="MS1" t="inlineStr">
        <is>
          <t>BBG014D1NWG0 Equity (TSLA US 08/19/22 P300)</t>
        </is>
      </c>
      <c r="MW1" t="inlineStr">
        <is>
          <t>BBG018DFBYJ6 Equity (TSLA US 08/19/22 P340)</t>
        </is>
      </c>
      <c r="NA1" t="inlineStr">
        <is>
          <t>BBG014D1NXK3 Equity (TSLA US 08/19/22 P350)</t>
        </is>
      </c>
      <c r="NE1" t="inlineStr">
        <is>
          <t>BBG018DFBZM9 Equity (TSLA US 08/19/22 P360)</t>
        </is>
      </c>
      <c r="NI1" t="inlineStr">
        <is>
          <t>BBG017FXCFG0 Equity (TSLA US 08/19/22 P370)</t>
        </is>
      </c>
      <c r="NM1" t="inlineStr">
        <is>
          <t>BBG017FXCGK3 Equity (TSLA US 08/19/22 P380)</t>
        </is>
      </c>
      <c r="NQ1" t="inlineStr">
        <is>
          <t>BBG017FXCHQ5 Equity (TSLA US 08/19/22 P390)</t>
        </is>
      </c>
      <c r="NU1" t="inlineStr">
        <is>
          <t>BBG014D1NYN8 Equity (TSLA US 08/19/22 P400)</t>
        </is>
      </c>
      <c r="NY1" t="inlineStr">
        <is>
          <t>BBG017FXCJT8 Equity (TSLA US 08/19/22 P410)</t>
        </is>
      </c>
      <c r="OC1" t="inlineStr">
        <is>
          <t>BBG017FXCKX0 Equity (TSLA US 08/19/22 P420)</t>
        </is>
      </c>
      <c r="OG1" t="inlineStr">
        <is>
          <t>BBG017FXCM20 Equity (TSLA US 08/19/22 P430)</t>
        </is>
      </c>
      <c r="OK1" t="inlineStr">
        <is>
          <t>BBG017FXCN55 Equity (TSLA US 08/19/22 P440)</t>
        </is>
      </c>
      <c r="OO1" t="inlineStr">
        <is>
          <t>BBG014D1NZS0 Equity (TSLA US 08/19/22 P450)</t>
        </is>
      </c>
      <c r="OS1" t="inlineStr">
        <is>
          <t>BBG017FXCP87 Equity (TSLA US 08/19/22 P460)</t>
        </is>
      </c>
      <c r="OW1" t="inlineStr">
        <is>
          <t>BBG00W5BLM52 Equity (TSLA US 09/16/22 P183.33)</t>
        </is>
      </c>
      <c r="PA1" t="inlineStr">
        <is>
          <t>BBG00W5BLN87 Equity (TSLA US 09/16/22 P186.67)</t>
        </is>
      </c>
      <c r="PE1" t="inlineStr">
        <is>
          <t>BBG00W5BLPD6 Equity (TSLA US 09/16/22 P190)</t>
        </is>
      </c>
      <c r="PI1" t="inlineStr">
        <is>
          <t>BBG00W5BLQH0 Equity (TSLA US 09/16/22 P193.33)</t>
        </is>
      </c>
      <c r="PM1" t="inlineStr">
        <is>
          <t>BBG00W5BLRL3 Equity (TSLA US 09/16/22 P196.67)</t>
        </is>
      </c>
      <c r="PQ1" t="inlineStr">
        <is>
          <t>BBG00W5BLSQ6 Equity (TSLA US 09/16/22 P200)</t>
        </is>
      </c>
      <c r="PU1" t="inlineStr">
        <is>
          <t>BBG00W5BLTT1 Equity (TSLA US 09/16/22 P203.33)</t>
        </is>
      </c>
      <c r="PY1" t="inlineStr">
        <is>
          <t>BBG00WVD0GR1 Equity (TSLA US 09/16/22 P206.67)</t>
        </is>
      </c>
      <c r="QC1" t="inlineStr">
        <is>
          <t>BBG00YD3YNY9 Equity (TSLA US 09/16/22 P210)</t>
        </is>
      </c>
      <c r="QG1" t="inlineStr">
        <is>
          <t>BBG00WVD0HV4 Equity (TSLA US 09/16/22 P213.33)</t>
        </is>
      </c>
      <c r="QK1" t="inlineStr">
        <is>
          <t>BBG00X9B2PZ7 Equity (TSLA US 09/16/22 P216.67)</t>
        </is>
      </c>
      <c r="QO1" t="inlineStr">
        <is>
          <t>BBG00WVD0JY7 Equity (TSLA US 09/16/22 P220)</t>
        </is>
      </c>
      <c r="QS1" t="inlineStr">
        <is>
          <t>BBG00Y2FFZC2 Equity (TSLA US 09/16/22 P223.33)</t>
        </is>
      </c>
      <c r="QW1" t="inlineStr">
        <is>
          <t>BBG00WVD0L36 Equity (TSLA US 09/16/22 P226.67)</t>
        </is>
      </c>
      <c r="RA1" t="inlineStr">
        <is>
          <t>BBG00Y2FG0G4 Equity (TSLA US 09/16/22 P230)</t>
        </is>
      </c>
      <c r="RE1" t="inlineStr">
        <is>
          <t>BBG00WVD0M61 Equity (TSLA US 09/16/22 P233.33)</t>
        </is>
      </c>
      <c r="RI1" t="inlineStr">
        <is>
          <t>BBG00Y2M2555 Equity (TSLA US 09/16/22 P236.67)</t>
        </is>
      </c>
      <c r="RM1" t="inlineStr">
        <is>
          <t>BBG00WVD0N96 Equity (TSLA US 09/16/22 P240)</t>
        </is>
      </c>
      <c r="RQ1" t="inlineStr">
        <is>
          <t>BBG00Y2M2680 Equity (TSLA US 09/16/22 P243.33)</t>
        </is>
      </c>
      <c r="RU1" t="inlineStr">
        <is>
          <t>BBG00WVD0PF4 Equity (TSLA US 09/16/22 P246.67)</t>
        </is>
      </c>
      <c r="RY1" t="inlineStr">
        <is>
          <t>BBG00X9B2R38 Equity (TSLA US 09/16/22 P250)</t>
        </is>
      </c>
      <c r="SC1" t="inlineStr">
        <is>
          <t>BBG00WVD0QJ8 Equity (TSLA US 09/16/22 P253.33)</t>
        </is>
      </c>
      <c r="SG1" t="inlineStr">
        <is>
          <t>BBG00Y9SJYT8 Equity (TSLA US 09/16/22 P256.67)</t>
        </is>
      </c>
      <c r="SK1" t="inlineStr">
        <is>
          <t>BBG00WYDFDC5 Equity (TSLA US 09/16/22 P260)</t>
        </is>
      </c>
      <c r="SO1" t="inlineStr">
        <is>
          <t>BBG00Y9SJZY9 Equity (TSLA US 09/16/22 P263.33)</t>
        </is>
      </c>
      <c r="SS1" t="inlineStr">
        <is>
          <t>BBG00WYDFFG6 Equity (TSLA US 09/16/22 P266.67)</t>
        </is>
      </c>
      <c r="SW1" t="inlineStr">
        <is>
          <t>BBG00Y9SK118 Equity (TSLA US 09/16/22 P270)</t>
        </is>
      </c>
      <c r="TA1" t="inlineStr">
        <is>
          <t>BBG00WYDFGK9 Equity (TSLA US 09/16/22 P273.33)</t>
        </is>
      </c>
      <c r="TE1" t="inlineStr">
        <is>
          <t>BBG00Y9SK243 Equity (TSLA US 09/16/22 P276.67)</t>
        </is>
      </c>
      <c r="TI1" t="inlineStr">
        <is>
          <t>BBG00WYDFHQ1 Equity (TSLA US 09/16/22 P280)</t>
        </is>
      </c>
      <c r="TM1" t="inlineStr">
        <is>
          <t>BBG00X2R2RS3 Equity (TSLA US 09/16/22 P283.33)</t>
        </is>
      </c>
      <c r="TQ1" t="inlineStr">
        <is>
          <t>BBG00Y9SK387 Equity (TSLA US 09/16/22 P286.67)</t>
        </is>
      </c>
      <c r="TU1" t="inlineStr">
        <is>
          <t>BBG00X4L4JW5 Equity (TSLA US 09/16/22 P290)</t>
        </is>
      </c>
      <c r="TY1" t="inlineStr">
        <is>
          <t>BBG00X4L4L05 Equity (TSLA US 09/16/22 P293.33)</t>
        </is>
      </c>
      <c r="UC1" t="inlineStr">
        <is>
          <t>BBG00X4L4M30 Equity (TSLA US 09/16/22 P296.67)</t>
        </is>
      </c>
      <c r="UG1" t="inlineStr">
        <is>
          <t>BBG00X2R2SW6 Equity (TSLA US 09/16/22 P300)</t>
        </is>
      </c>
      <c r="UK1" t="inlineStr">
        <is>
          <t>BBG00X4L4N65 Equity (TSLA US 09/16/22 P303.33)</t>
        </is>
      </c>
      <c r="UO1" t="inlineStr">
        <is>
          <t>BBG00X4L4PB4 Equity (TSLA US 09/16/22 P306.67)</t>
        </is>
      </c>
      <c r="US1" t="inlineStr">
        <is>
          <t>BBG00X4L4QF8 Equity (TSLA US 09/16/22 P310)</t>
        </is>
      </c>
      <c r="UW1" t="inlineStr">
        <is>
          <t>BBG014PYR0M4 Equity (TSLA US 09/16/22 P311.67)</t>
        </is>
      </c>
      <c r="VA1" t="inlineStr">
        <is>
          <t>BBG014PYR1Q8 Equity (TSLA US 09/16/22 P313.33)</t>
        </is>
      </c>
      <c r="VE1" t="inlineStr">
        <is>
          <t>BBG014PYR2T3 Equity (TSLA US 09/16/22 P315)</t>
        </is>
      </c>
      <c r="VI1" t="inlineStr">
        <is>
          <t>BBG00X2R2TZ1 Equity (TSLA US 09/16/22 P316.67)</t>
        </is>
      </c>
      <c r="VM1" t="inlineStr">
        <is>
          <t>BBG014PYR3Y5 Equity (TSLA US 09/16/22 P318.33)</t>
        </is>
      </c>
      <c r="VQ1" t="inlineStr">
        <is>
          <t>BBG014PYR516 Equity (TSLA US 09/16/22 P320)</t>
        </is>
      </c>
      <c r="VU1" t="inlineStr">
        <is>
          <t>BBG014PYR669 Equity (TSLA US 09/16/22 P321.67)</t>
        </is>
      </c>
      <c r="VY1" t="inlineStr">
        <is>
          <t>BBG014PYR794 Equity (TSLA US 09/16/22 P323.33)</t>
        </is>
      </c>
      <c r="WC1" t="inlineStr">
        <is>
          <t>BBG00YD3YQ27 Equity (TSLA US 09/16/22 P325)</t>
        </is>
      </c>
      <c r="WG1" t="inlineStr">
        <is>
          <t>BBG014PYR8D7 Equity (TSLA US 09/16/22 P326.67)</t>
        </is>
      </c>
      <c r="WK1" t="inlineStr">
        <is>
          <t>BBG014PYR9K7 Equity (TSLA US 09/16/22 P328.33)</t>
        </is>
      </c>
      <c r="WO1" t="inlineStr">
        <is>
          <t>BBG014PYRBN9 Equity (TSLA US 09/16/22 P330)</t>
        </is>
      </c>
      <c r="WS1" t="inlineStr">
        <is>
          <t>BBG014PYRCR3 Equity (TSLA US 09/16/22 P331.67)</t>
        </is>
      </c>
      <c r="WW1" t="inlineStr">
        <is>
          <t>BBG00X2R2W48 Equity (TSLA US 09/16/22 P333.33)</t>
        </is>
      </c>
      <c r="XA1" t="inlineStr">
        <is>
          <t>BBG014PYRDY3 Equity (TSLA US 09/16/22 P335)</t>
        </is>
      </c>
      <c r="XE1" t="inlineStr">
        <is>
          <t>BBG014PYRG12 Equity (TSLA US 09/16/22 P336.67)</t>
        </is>
      </c>
      <c r="XI1" t="inlineStr">
        <is>
          <t>BBG014PYRH47 Equity (TSLA US 09/16/22 P338.33)</t>
        </is>
      </c>
      <c r="XM1" t="inlineStr">
        <is>
          <t>BBG014PYRJB5 Equity (TSLA US 09/16/22 P340)</t>
        </is>
      </c>
      <c r="XQ1" t="inlineStr">
        <is>
          <t>BBG00YB60WT7 Equity (TSLA US 09/16/22 P341.67)</t>
        </is>
      </c>
      <c r="XU1" t="inlineStr">
        <is>
          <t>BBG014PYRKF8 Equity (TSLA US 09/16/22 P343.33)</t>
        </is>
      </c>
      <c r="XY1" t="inlineStr">
        <is>
          <t>BBG014PYRLJ2 Equity (TSLA US 09/16/22 P345)</t>
        </is>
      </c>
      <c r="YC1" t="inlineStr">
        <is>
          <t>BBG014PYRMN5 Equity (TSLA US 09/16/22 P346.67)</t>
        </is>
      </c>
      <c r="YG1" t="inlineStr">
        <is>
          <t>BBG014PYRNR9 Equity (TSLA US 09/16/22 P348.33)</t>
        </is>
      </c>
      <c r="YK1" t="inlineStr">
        <is>
          <t>BBG00YB60XY9 Equity (TSLA US 09/16/22 P350)</t>
        </is>
      </c>
      <c r="YO1" t="inlineStr">
        <is>
          <t>BBG014PYRPV9 Equity (TSLA US 09/16/22 P351.67)</t>
        </is>
      </c>
      <c r="YS1" t="inlineStr">
        <is>
          <t>BBG014PYRQZ3 Equity (TSLA US 09/16/22 P353.33)</t>
        </is>
      </c>
      <c r="YW1" t="inlineStr">
        <is>
          <t>BBG014PYRS25 Equity (TSLA US 09/16/22 P355)</t>
        </is>
      </c>
      <c r="ZA1" t="inlineStr">
        <is>
          <t>BBG014PYRT50 Equity (TSLA US 09/16/22 P356.67)</t>
        </is>
      </c>
      <c r="ZE1" t="inlineStr">
        <is>
          <t>BBG00YCFH1T6 Equity (TSLA US 09/16/22 P358.33)</t>
        </is>
      </c>
      <c r="ZI1" t="inlineStr">
        <is>
          <t>BBG014PYRV91 Equity (TSLA US 09/16/22 P360)</t>
        </is>
      </c>
      <c r="ZM1" t="inlineStr">
        <is>
          <t>BBG014PYRWD4 Equity (TSLA US 09/16/22 P361.67)</t>
        </is>
      </c>
      <c r="ZQ1" t="inlineStr">
        <is>
          <t>BBG014PYRXH8 Equity (TSLA US 09/16/22 P363.33)</t>
        </is>
      </c>
      <c r="ZU1" t="inlineStr">
        <is>
          <t>BBG014PYRYM0 Equity (TSLA US 09/16/22 P365)</t>
        </is>
      </c>
      <c r="ZY1" t="inlineStr">
        <is>
          <t>BBG00YCFH2X9 Equity (TSLA US 09/16/22 P366.67)</t>
        </is>
      </c>
      <c r="AAC1" t="inlineStr">
        <is>
          <t>BBG014PYRZQ3 Equity (TSLA US 09/16/22 P368.33)</t>
        </is>
      </c>
      <c r="AAG1" t="inlineStr">
        <is>
          <t>BBG014PYS0T6 Equity (TSLA US 09/16/22 P370)</t>
        </is>
      </c>
      <c r="AAK1" t="inlineStr">
        <is>
          <t>BBG014PYS1Y8 Equity (TSLA US 09/16/22 P371.67)</t>
        </is>
      </c>
      <c r="AAO1" t="inlineStr">
        <is>
          <t>BBG014PYS310 Equity (TSLA US 09/16/22 P373.33)</t>
        </is>
      </c>
      <c r="AAS1" t="inlineStr">
        <is>
          <t>BBG00YD3YR52 Equity (TSLA US 09/16/22 P375)</t>
        </is>
      </c>
      <c r="AAW1" t="inlineStr">
        <is>
          <t>BBG014PYS445 Equity (TSLA US 09/16/22 P376.67)</t>
        </is>
      </c>
      <c r="ABA1" t="inlineStr">
        <is>
          <t>BBG014PYS597 Equity (TSLA US 09/16/22 P378.33)</t>
        </is>
      </c>
      <c r="ABE1" t="inlineStr">
        <is>
          <t>BBG014PYS6D0 Equity (TSLA US 09/16/22 P380)</t>
        </is>
      </c>
      <c r="ABI1" t="inlineStr">
        <is>
          <t>BBG014PYS7H4 Equity (TSLA US 09/16/22 P381.67)</t>
        </is>
      </c>
      <c r="ABM1" t="inlineStr">
        <is>
          <t>BBG00YD3YS96 Equity (TSLA US 09/16/22 P383.33)</t>
        </is>
      </c>
      <c r="ABQ1" t="inlineStr">
        <is>
          <t>BBG00YD3YTD9 Equity (TSLA US 09/16/22 P391.67)</t>
        </is>
      </c>
      <c r="ABU1" t="inlineStr">
        <is>
          <t>BBG00YD3YVH0 Equity (TSLA US 09/16/22 P400)</t>
        </is>
      </c>
      <c r="ABY1" t="inlineStr">
        <is>
          <t>BBG00YGHZQS4 Equity (TSLA US 09/16/22 P408.33)</t>
        </is>
      </c>
      <c r="ACC1" t="inlineStr">
        <is>
          <t>BBG00YGHZRW7 Equity (TSLA US 09/16/22 P416.67)</t>
        </is>
      </c>
      <c r="ACG1" t="inlineStr">
        <is>
          <t>BBG00YGHZT26 Equity (TSLA US 09/16/22 P425)</t>
        </is>
      </c>
      <c r="ACK1" t="inlineStr">
        <is>
          <t>BBG00YGHZV58 Equity (TSLA US 09/16/22 P433.33)</t>
        </is>
      </c>
      <c r="ACO1" t="inlineStr">
        <is>
          <t>BBG00YR942P0 Equity (TSLA US 09/16/22 P441.67)</t>
        </is>
      </c>
      <c r="ACS1" t="inlineStr">
        <is>
          <t>BBG00YR943S5 Equity (TSLA US 09/16/22 P450)</t>
        </is>
      </c>
      <c r="ACW1" t="inlineStr">
        <is>
          <t>BBG00YR944W8 Equity (TSLA US 09/16/22 P458.33)</t>
        </is>
      </c>
      <c r="ADA1" t="inlineStr">
        <is>
          <t>BBG00YR94608 Equity (TSLA US 09/16/22 P466.67)</t>
        </is>
      </c>
      <c r="ADE1" t="inlineStr">
        <is>
          <t>BBG014D1QSC0 Equity (TSLA US 10/21/22 P183.33)</t>
        </is>
      </c>
      <c r="ADI1" t="inlineStr">
        <is>
          <t>BBG017FXF677 Equity (TSLA US 10/21/22 P186.67)</t>
        </is>
      </c>
      <c r="ADM1" t="inlineStr">
        <is>
          <t>BBG017R3L1P4 Equity (TSLA US 10/21/22 P190)</t>
        </is>
      </c>
      <c r="ADQ1" t="inlineStr">
        <is>
          <t>BBG017FXF7G5 Equity (TSLA US 10/21/22 P193.33)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BDH("BBG0129LBVS7 Equity","PX_LAST,PX_VOLUME","1/1/2020","6/10/2026")</f>
        <v/>
      </c>
      <c r="E3">
        <f>BDH("BBG0129LBWW0 Equity","PX_LAST,PX_VOLUME","1/1/2020","6/10/2026")</f>
        <v/>
      </c>
      <c r="I3">
        <f>BDH("BBG0129LBY01 Equity","PX_LAST,PX_VOLUME","1/1/2020","6/10/2026")</f>
        <v/>
      </c>
      <c r="M3">
        <f>BDH("BBG0129LBZ35 Equity","PX_LAST,PX_VOLUME","1/1/2020","6/10/2026")</f>
        <v/>
      </c>
      <c r="Q3">
        <f>BDH("BBG0129LC068 Equity","PX_LAST,PX_VOLUME","1/1/2020","6/10/2026")</f>
        <v/>
      </c>
      <c r="U3">
        <f>BDH("BBG0129LC1B0 Equity","PX_LAST,PX_VOLUME","1/1/2020","6/10/2026")</f>
        <v/>
      </c>
      <c r="Y3">
        <f>BDH("BBG0129LC2F4 Equity","PX_LAST,PX_VOLUME","1/1/2020","6/10/2026")</f>
        <v/>
      </c>
      <c r="AC3">
        <f>BDH("BBG0129LC3J8 Equity","PX_LAST,PX_VOLUME","1/1/2020","6/10/2026")</f>
        <v/>
      </c>
      <c r="AG3">
        <f>BDH("BBG0129LC4N1 Equity","PX_LAST,PX_VOLUME","1/1/2020","6/10/2026")</f>
        <v/>
      </c>
      <c r="AK3">
        <f>BDH("BBG0129LC5R4 Equity","PX_LAST,PX_VOLUME","1/1/2020","6/10/2026")</f>
        <v/>
      </c>
      <c r="AO3">
        <f>BDH("BBG00RMPLRK5 Equity","PX_LAST,PX_VOLUME","1/1/2020","6/10/2026")</f>
        <v/>
      </c>
      <c r="AS3">
        <f>BDH("BBG00VXXV6V0 Equity","PX_LAST,PX_VOLUME","1/1/2020","6/10/2026")</f>
        <v/>
      </c>
      <c r="AW3">
        <f>BDH("BBG00VXXV7Y5 Equity","PX_LAST,PX_VOLUME","1/1/2020","6/10/2026")</f>
        <v/>
      </c>
      <c r="BA3">
        <f>BDH("BBG00VXXV917 Equity","PX_LAST,PX_VOLUME","1/1/2020","6/10/2026")</f>
        <v/>
      </c>
      <c r="BE3">
        <f>BDH("BBG00VXXVB58 Equity","PX_LAST,PX_VOLUME","1/1/2020","6/10/2026")</f>
        <v/>
      </c>
      <c r="BI3">
        <f>BDH("BBG00RMPLSN0 Equity","PX_LAST,PX_VOLUME","1/1/2020","6/10/2026")</f>
        <v/>
      </c>
      <c r="BM3">
        <f>BDH("BBG00VXXVC83 Equity","PX_LAST,PX_VOLUME","1/1/2020","6/10/2026")</f>
        <v/>
      </c>
      <c r="BQ3">
        <f>BDH("BBG00VXXVDC6 Equity","PX_LAST,PX_VOLUME","1/1/2020","6/10/2026")</f>
        <v/>
      </c>
      <c r="BU3">
        <f>BDH("BBG00VXXVFH6 Equity","PX_LAST,PX_VOLUME","1/1/2020","6/10/2026")</f>
        <v/>
      </c>
      <c r="BY3">
        <f>BDH("BBG00VXXVGL9 Equity","PX_LAST,PX_VOLUME","1/1/2020","6/10/2026")</f>
        <v/>
      </c>
      <c r="CC3">
        <f>BDH("BBG00RPR6ZD5 Equity","PX_LAST,PX_VOLUME","1/1/2020","6/10/2026")</f>
        <v/>
      </c>
      <c r="CG3">
        <f>BDH("BBG00VXXVHP3 Equity","PX_LAST,PX_VOLUME","1/1/2020","6/10/2026")</f>
        <v/>
      </c>
      <c r="CK3">
        <f>BDH("BBG00VXXVJT5 Equity","PX_LAST,PX_VOLUME","1/1/2020","6/10/2026")</f>
        <v/>
      </c>
      <c r="CO3">
        <f>BDH("BBG00VXXVKX7 Equity","PX_LAST,PX_VOLUME","1/1/2020","6/10/2026")</f>
        <v/>
      </c>
      <c r="CS3">
        <f>BDH("BBG00VXXVM18 Equity","PX_LAST,PX_VOLUME","1/1/2020","6/10/2026")</f>
        <v/>
      </c>
      <c r="CW3">
        <f>BDH("BBG00RPR70H7 Equity","PX_LAST,PX_VOLUME","1/1/2020","6/10/2026")</f>
        <v/>
      </c>
      <c r="DA3">
        <f>BDH("BBG00VXXVN43 Equity","PX_LAST,PX_VOLUME","1/1/2020","6/10/2026")</f>
        <v/>
      </c>
      <c r="DE3">
        <f>BDH("BBG00VXXVP75 Equity","PX_LAST,PX_VOLUME","1/1/2020","6/10/2026")</f>
        <v/>
      </c>
      <c r="DI3">
        <f>BDH("BBG00RVBYWL0 Equity","PX_LAST,PX_VOLUME","1/1/2020","6/10/2026")</f>
        <v/>
      </c>
      <c r="DM3">
        <f>BDH("BBG00VXXVQC7 Equity","PX_LAST,PX_VOLUME","1/1/2020","6/10/2026")</f>
        <v/>
      </c>
      <c r="DQ3">
        <f>BDH("BBG00VXXVRG1 Equity","PX_LAST,PX_VOLUME","1/1/2020","6/10/2026")</f>
        <v/>
      </c>
      <c r="DU3">
        <f>BDH("BBG00RVBYXP4 Equity","PX_LAST,PX_VOLUME","1/1/2020","6/10/2026")</f>
        <v/>
      </c>
      <c r="DY3">
        <f>BDH("BBG00VXXVSK4 Equity","PX_LAST,PX_VOLUME","1/1/2020","6/10/2026")</f>
        <v/>
      </c>
      <c r="EC3">
        <f>BDH("BBG00VXXVTP7 Equity","PX_LAST,PX_VOLUME","1/1/2020","6/10/2026")</f>
        <v/>
      </c>
      <c r="EG3">
        <f>BDH("BBG00RVBYYT8 Equity","PX_LAST,PX_VOLUME","1/1/2020","6/10/2026")</f>
        <v/>
      </c>
      <c r="EK3">
        <f>BDH("BBG00VXXVVS9 Equity","PX_LAST,PX_VOLUME","1/1/2020","6/10/2026")</f>
        <v/>
      </c>
      <c r="EO3">
        <f>BDH("BBG00VXXVWW2 Equity","PX_LAST,PX_VOLUME","1/1/2020","6/10/2026")</f>
        <v/>
      </c>
      <c r="ES3">
        <f>BDH("BBG00RVBYZX0 Equity","PX_LAST,PX_VOLUME","1/1/2020","6/10/2026")</f>
        <v/>
      </c>
      <c r="EW3">
        <f>BDH("BBG00VXXVY03 Equity","PX_LAST,PX_VOLUME","1/1/2020","6/10/2026")</f>
        <v/>
      </c>
      <c r="FA3">
        <f>BDH("BBG00VXXVZ37 Equity","PX_LAST,PX_VOLUME","1/1/2020","6/10/2026")</f>
        <v/>
      </c>
      <c r="FE3">
        <f>BDH("BBG00VXXW060 Equity","PX_LAST,PX_VOLUME","1/1/2020","6/10/2026")</f>
        <v/>
      </c>
      <c r="FI3">
        <f>BDH("BBG00VXXW1B2 Equity","PX_LAST,PX_VOLUME","1/1/2020","6/10/2026")</f>
        <v/>
      </c>
      <c r="FM3">
        <f>BDH("BBG00VXXW2F6 Equity","PX_LAST,PX_VOLUME","1/1/2020","6/10/2026")</f>
        <v/>
      </c>
      <c r="FQ3">
        <f>BDH("BBG00VXXW3J0 Equity","PX_LAST,PX_VOLUME","1/1/2020","6/10/2026")</f>
        <v/>
      </c>
      <c r="FU3">
        <f>BDH("BBG00VXXW4N3 Equity","PX_LAST,PX_VOLUME","1/1/2020","6/10/2026")</f>
        <v/>
      </c>
      <c r="FY3">
        <f>BDH("BBG00VXXW5R6 Equity","PX_LAST,PX_VOLUME","1/1/2020","6/10/2026")</f>
        <v/>
      </c>
      <c r="GC3">
        <f>BDH("BBG00VXXW6V9 Equity","PX_LAST,PX_VOLUME","1/1/2020","6/10/2026")</f>
        <v/>
      </c>
      <c r="GG3">
        <f>BDH("BBG00VFDY927 Equity","PX_LAST,PX_VOLUME","1/1/2020","6/10/2026")</f>
        <v/>
      </c>
      <c r="GK3">
        <f>BDH("BBG00VYH67K2 Equity","PX_LAST,PX_VOLUME","1/1/2020","6/10/2026")</f>
        <v/>
      </c>
      <c r="GO3">
        <f>BDH("BBG00VTDQ3M2 Equity","PX_LAST,PX_VOLUME","1/1/2020","6/10/2026")</f>
        <v/>
      </c>
      <c r="GS3">
        <f>BDH("BBG00VYH68N7 Equity","PX_LAST,PX_VOLUME","1/1/2020","6/10/2026")</f>
        <v/>
      </c>
      <c r="GW3">
        <f>BDH("BBG00VYH69S0 Equity","PX_LAST,PX_VOLUME","1/1/2020","6/10/2026")</f>
        <v/>
      </c>
      <c r="HA3">
        <f>BDH("BBG00VYH6BW0 Equity","PX_LAST,PX_VOLUME","1/1/2020","6/10/2026")</f>
        <v/>
      </c>
      <c r="HE3">
        <f>BDH("BBG00VYH6CZ5 Equity","PX_LAST,PX_VOLUME","1/1/2020","6/10/2026")</f>
        <v/>
      </c>
      <c r="HI3">
        <f>BDH("BBG00VYH6F33 Equity","PX_LAST,PX_VOLUME","1/1/2020","6/10/2026")</f>
        <v/>
      </c>
      <c r="HM3">
        <f>BDH("BBG00VYH6G68 Equity","PX_LAST,PX_VOLUME","1/1/2020","6/10/2026")</f>
        <v/>
      </c>
      <c r="HQ3">
        <f>BDH("BBG00VYH6H93 Equity","PX_LAST,PX_VOLUME","1/1/2020","6/10/2026")</f>
        <v/>
      </c>
      <c r="HU3">
        <f>BDH("BBG00VYH6JF2 Equity","PX_LAST,PX_VOLUME","1/1/2020","6/10/2026")</f>
        <v/>
      </c>
      <c r="HY3">
        <f>BDH("BBG00VYH6KJ5 Equity","PX_LAST,PX_VOLUME","1/1/2020","6/10/2026")</f>
        <v/>
      </c>
      <c r="IC3">
        <f>BDH("BBG017Q4D0B9 Equity","PX_LAST,PX_VOLUME","1/1/2020","6/10/2026")</f>
        <v/>
      </c>
      <c r="IG3">
        <f>BDH("BBG017Q4D1F3 Equity","PX_LAST,PX_VOLUME","1/1/2020","6/10/2026")</f>
        <v/>
      </c>
      <c r="IK3">
        <f>BDH("BBG017Q4D2K5 Equity","PX_LAST,PX_VOLUME","1/1/2020","6/10/2026")</f>
        <v/>
      </c>
      <c r="IO3">
        <f>BDH("BBG017Q4D3N0 Equity","PX_LAST,PX_VOLUME","1/1/2020","6/10/2026")</f>
        <v/>
      </c>
      <c r="IS3">
        <f>BDH("BBG017Q4D4R4 Equity","PX_LAST,PX_VOLUME","1/1/2020","6/10/2026")</f>
        <v/>
      </c>
      <c r="IW3">
        <f>BDH("BBG017Q4D5W5 Equity","PX_LAST,PX_VOLUME","1/1/2020","6/10/2026")</f>
        <v/>
      </c>
      <c r="JA3">
        <f>BDH("BBG017Q4D6Z0 Equity","PX_LAST,PX_VOLUME","1/1/2020","6/10/2026")</f>
        <v/>
      </c>
      <c r="JE3">
        <f>BDH("BBG017Q4D822 Equity","PX_LAST,PX_VOLUME","1/1/2020","6/10/2026")</f>
        <v/>
      </c>
      <c r="JI3">
        <f>BDH("BBG017FX7M35 Equity","PX_LAST,PX_VOLUME","1/1/2020","6/10/2026")</f>
        <v/>
      </c>
      <c r="JM3">
        <f>BDH("BBG017FX7N60 Equity","PX_LAST,PX_VOLUME","1/1/2020","6/10/2026")</f>
        <v/>
      </c>
      <c r="JQ3">
        <f>BDH("BBG017FX7P92 Equity","PX_LAST,PX_VOLUME","1/1/2020","6/10/2026")</f>
        <v/>
      </c>
      <c r="JU3">
        <f>BDH("BBG017FX7QF3 Equity","PX_LAST,PX_VOLUME","1/1/2020","6/10/2026")</f>
        <v/>
      </c>
      <c r="JY3">
        <f>BDH("BBG017FX7RJ7 Equity","PX_LAST,PX_VOLUME","1/1/2020","6/10/2026")</f>
        <v/>
      </c>
      <c r="KC3">
        <f>BDH("BBG017FX7SM1 Equity","PX_LAST,PX_VOLUME","1/1/2020","6/10/2026")</f>
        <v/>
      </c>
      <c r="KG3">
        <f>BDH("BBG0174KL732 Equity","PX_LAST,PX_VOLUME","1/1/2020","6/10/2026")</f>
        <v/>
      </c>
      <c r="KK3">
        <f>BDH("BBG017FX7TR4 Equity","PX_LAST,PX_VOLUME","1/1/2020","6/10/2026")</f>
        <v/>
      </c>
      <c r="KO3">
        <f>BDH("BBG017FX7VV4 Equity","PX_LAST,PX_VOLUME","1/1/2020","6/10/2026")</f>
        <v/>
      </c>
      <c r="KS3">
        <f>BDH("BBG017FX7WY9 Equity","PX_LAST,PX_VOLUME","1/1/2020","6/10/2026")</f>
        <v/>
      </c>
      <c r="KW3">
        <f>BDH("BBG017FX7Y20 Equity","PX_LAST,PX_VOLUME","1/1/2020","6/10/2026")</f>
        <v/>
      </c>
      <c r="LA3">
        <f>BDH("BBG0174KL867 Equity","PX_LAST,PX_VOLUME","1/1/2020","6/10/2026")</f>
        <v/>
      </c>
      <c r="LE3">
        <f>BDH("BBG017FX7Z54 Equity","PX_LAST,PX_VOLUME","1/1/2020","6/10/2026")</f>
        <v/>
      </c>
      <c r="LI3">
        <f>BDH("BBG017FX8087 Equity","PX_LAST,PX_VOLUME","1/1/2020","6/10/2026")</f>
        <v/>
      </c>
      <c r="LM3">
        <f>BDH("BBG017FX81D9 Equity","PX_LAST,PX_VOLUME","1/1/2020","6/10/2026")</f>
        <v/>
      </c>
      <c r="LQ3">
        <f>BDH("BBG017FX82H3 Equity","PX_LAST,PX_VOLUME","1/1/2020","6/10/2026")</f>
        <v/>
      </c>
      <c r="LU3">
        <f>BDH("BBG0174KL992 Equity","PX_LAST,PX_VOLUME","1/1/2020","6/10/2026")</f>
        <v/>
      </c>
      <c r="LY3">
        <f>BDH("BBG017FX83L6 Equity","PX_LAST,PX_VOLUME","1/1/2020","6/10/2026")</f>
        <v/>
      </c>
      <c r="MC3">
        <f>BDH("BBG017FX84S7 Equity","PX_LAST,PX_VOLUME","1/1/2020","6/10/2026")</f>
        <v/>
      </c>
      <c r="MG3">
        <f>BDH("BBG017FX85W9 Equity","PX_LAST,PX_VOLUME","1/1/2020","6/10/2026")</f>
        <v/>
      </c>
      <c r="MK3">
        <f>BDH("BBG014D1NT59 Equity","PX_LAST,PX_VOLUME","1/1/2020","6/10/2026")</f>
        <v/>
      </c>
      <c r="MO3">
        <f>BDH("BBG014D1NV81 Equity","PX_LAST,PX_VOLUME","1/1/2020","6/10/2026")</f>
        <v/>
      </c>
      <c r="MS3">
        <f>BDH("BBG014D1NWG0 Equity","PX_LAST,PX_VOLUME","1/1/2020","6/10/2026")</f>
        <v/>
      </c>
      <c r="MW3">
        <f>BDH("BBG018DFBYJ6 Equity","PX_LAST,PX_VOLUME","1/1/2020","6/10/2026")</f>
        <v/>
      </c>
      <c r="NA3">
        <f>BDH("BBG014D1NXK3 Equity","PX_LAST,PX_VOLUME","1/1/2020","6/10/2026")</f>
        <v/>
      </c>
      <c r="NE3">
        <f>BDH("BBG018DFBZM9 Equity","PX_LAST,PX_VOLUME","1/1/2020","6/10/2026")</f>
        <v/>
      </c>
      <c r="NI3">
        <f>BDH("BBG017FXCFG0 Equity","PX_LAST,PX_VOLUME","1/1/2020","6/10/2026")</f>
        <v/>
      </c>
      <c r="NM3">
        <f>BDH("BBG017FXCGK3 Equity","PX_LAST,PX_VOLUME","1/1/2020","6/10/2026")</f>
        <v/>
      </c>
      <c r="NQ3">
        <f>BDH("BBG017FXCHQ5 Equity","PX_LAST,PX_VOLUME","1/1/2020","6/10/2026")</f>
        <v/>
      </c>
      <c r="NU3">
        <f>BDH("BBG014D1NYN8 Equity","PX_LAST,PX_VOLUME","1/1/2020","6/10/2026")</f>
        <v/>
      </c>
      <c r="NY3">
        <f>BDH("BBG017FXCJT8 Equity","PX_LAST,PX_VOLUME","1/1/2020","6/10/2026")</f>
        <v/>
      </c>
      <c r="OC3">
        <f>BDH("BBG017FXCKX0 Equity","PX_LAST,PX_VOLUME","1/1/2020","6/10/2026")</f>
        <v/>
      </c>
      <c r="OG3">
        <f>BDH("BBG017FXCM20 Equity","PX_LAST,PX_VOLUME","1/1/2020","6/10/2026")</f>
        <v/>
      </c>
      <c r="OK3">
        <f>BDH("BBG017FXCN55 Equity","PX_LAST,PX_VOLUME","1/1/2020","6/10/2026")</f>
        <v/>
      </c>
      <c r="OO3">
        <f>BDH("BBG014D1NZS0 Equity","PX_LAST,PX_VOLUME","1/1/2020","6/10/2026")</f>
        <v/>
      </c>
      <c r="OS3">
        <f>BDH("BBG017FXCP87 Equity","PX_LAST,PX_VOLUME","1/1/2020","6/10/2026")</f>
        <v/>
      </c>
      <c r="OW3">
        <f>BDH("BBG00W5BLM52 Equity","PX_LAST,PX_VOLUME","1/1/2020","6/10/2026")</f>
        <v/>
      </c>
      <c r="PA3">
        <f>BDH("BBG00W5BLN87 Equity","PX_LAST,PX_VOLUME","1/1/2020","6/10/2026")</f>
        <v/>
      </c>
      <c r="PE3">
        <f>BDH("BBG00W5BLPD6 Equity","PX_LAST,PX_VOLUME","1/1/2020","6/10/2026")</f>
        <v/>
      </c>
      <c r="PI3">
        <f>BDH("BBG00W5BLQH0 Equity","PX_LAST,PX_VOLUME","1/1/2020","6/10/2026")</f>
        <v/>
      </c>
      <c r="PM3">
        <f>BDH("BBG00W5BLRL3 Equity","PX_LAST,PX_VOLUME","1/1/2020","6/10/2026")</f>
        <v/>
      </c>
      <c r="PQ3">
        <f>BDH("BBG00W5BLSQ6 Equity","PX_LAST,PX_VOLUME","1/1/2020","6/10/2026")</f>
        <v/>
      </c>
      <c r="PU3">
        <f>BDH("BBG00W5BLTT1 Equity","PX_LAST,PX_VOLUME","1/1/2020","6/10/2026")</f>
        <v/>
      </c>
      <c r="PY3">
        <f>BDH("BBG00WVD0GR1 Equity","PX_LAST,PX_VOLUME","1/1/2020","6/10/2026")</f>
        <v/>
      </c>
      <c r="QC3">
        <f>BDH("BBG00YD3YNY9 Equity","PX_LAST,PX_VOLUME","1/1/2020","6/10/2026")</f>
        <v/>
      </c>
      <c r="QG3">
        <f>BDH("BBG00WVD0HV4 Equity","PX_LAST,PX_VOLUME","1/1/2020","6/10/2026")</f>
        <v/>
      </c>
      <c r="QK3">
        <f>BDH("BBG00X9B2PZ7 Equity","PX_LAST,PX_VOLUME","1/1/2020","6/10/2026")</f>
        <v/>
      </c>
      <c r="QO3">
        <f>BDH("BBG00WVD0JY7 Equity","PX_LAST,PX_VOLUME","1/1/2020","6/10/2026")</f>
        <v/>
      </c>
      <c r="QS3">
        <f>BDH("BBG00Y2FFZC2 Equity","PX_LAST,PX_VOLUME","1/1/2020","6/10/2026")</f>
        <v/>
      </c>
      <c r="QW3">
        <f>BDH("BBG00WVD0L36 Equity","PX_LAST,PX_VOLUME","1/1/2020","6/10/2026")</f>
        <v/>
      </c>
      <c r="RA3">
        <f>BDH("BBG00Y2FG0G4 Equity","PX_LAST,PX_VOLUME","1/1/2020","6/10/2026")</f>
        <v/>
      </c>
      <c r="RE3">
        <f>BDH("BBG00WVD0M61 Equity","PX_LAST,PX_VOLUME","1/1/2020","6/10/2026")</f>
        <v/>
      </c>
      <c r="RI3">
        <f>BDH("BBG00Y2M2555 Equity","PX_LAST,PX_VOLUME","1/1/2020","6/10/2026")</f>
        <v/>
      </c>
      <c r="RM3">
        <f>BDH("BBG00WVD0N96 Equity","PX_LAST,PX_VOLUME","1/1/2020","6/10/2026")</f>
        <v/>
      </c>
      <c r="RQ3">
        <f>BDH("BBG00Y2M2680 Equity","PX_LAST,PX_VOLUME","1/1/2020","6/10/2026")</f>
        <v/>
      </c>
      <c r="RU3">
        <f>BDH("BBG00WVD0PF4 Equity","PX_LAST,PX_VOLUME","1/1/2020","6/10/2026")</f>
        <v/>
      </c>
      <c r="RY3">
        <f>BDH("BBG00X9B2R38 Equity","PX_LAST,PX_VOLUME","1/1/2020","6/10/2026")</f>
        <v/>
      </c>
      <c r="SC3">
        <f>BDH("BBG00WVD0QJ8 Equity","PX_LAST,PX_VOLUME","1/1/2020","6/10/2026")</f>
        <v/>
      </c>
      <c r="SG3">
        <f>BDH("BBG00Y9SJYT8 Equity","PX_LAST,PX_VOLUME","1/1/2020","6/10/2026")</f>
        <v/>
      </c>
      <c r="SK3">
        <f>BDH("BBG00WYDFDC5 Equity","PX_LAST,PX_VOLUME","1/1/2020","6/10/2026")</f>
        <v/>
      </c>
      <c r="SO3">
        <f>BDH("BBG00Y9SJZY9 Equity","PX_LAST,PX_VOLUME","1/1/2020","6/10/2026")</f>
        <v/>
      </c>
      <c r="SS3">
        <f>BDH("BBG00WYDFFG6 Equity","PX_LAST,PX_VOLUME","1/1/2020","6/10/2026")</f>
        <v/>
      </c>
      <c r="SW3">
        <f>BDH("BBG00Y9SK118 Equity","PX_LAST,PX_VOLUME","1/1/2020","6/10/2026")</f>
        <v/>
      </c>
      <c r="TA3">
        <f>BDH("BBG00WYDFGK9 Equity","PX_LAST,PX_VOLUME","1/1/2020","6/10/2026")</f>
        <v/>
      </c>
      <c r="TE3">
        <f>BDH("BBG00Y9SK243 Equity","PX_LAST,PX_VOLUME","1/1/2020","6/10/2026")</f>
        <v/>
      </c>
      <c r="TI3">
        <f>BDH("BBG00WYDFHQ1 Equity","PX_LAST,PX_VOLUME","1/1/2020","6/10/2026")</f>
        <v/>
      </c>
      <c r="TM3">
        <f>BDH("BBG00X2R2RS3 Equity","PX_LAST,PX_VOLUME","1/1/2020","6/10/2026")</f>
        <v/>
      </c>
      <c r="TQ3">
        <f>BDH("BBG00Y9SK387 Equity","PX_LAST,PX_VOLUME","1/1/2020","6/10/2026")</f>
        <v/>
      </c>
      <c r="TU3">
        <f>BDH("BBG00X4L4JW5 Equity","PX_LAST,PX_VOLUME","1/1/2020","6/10/2026")</f>
        <v/>
      </c>
      <c r="TY3">
        <f>BDH("BBG00X4L4L05 Equity","PX_LAST,PX_VOLUME","1/1/2020","6/10/2026")</f>
        <v/>
      </c>
      <c r="UC3">
        <f>BDH("BBG00X4L4M30 Equity","PX_LAST,PX_VOLUME","1/1/2020","6/10/2026")</f>
        <v/>
      </c>
      <c r="UG3">
        <f>BDH("BBG00X2R2SW6 Equity","PX_LAST,PX_VOLUME","1/1/2020","6/10/2026")</f>
        <v/>
      </c>
      <c r="UK3">
        <f>BDH("BBG00X4L4N65 Equity","PX_LAST,PX_VOLUME","1/1/2020","6/10/2026")</f>
        <v/>
      </c>
      <c r="UO3">
        <f>BDH("BBG00X4L4PB4 Equity","PX_LAST,PX_VOLUME","1/1/2020","6/10/2026")</f>
        <v/>
      </c>
      <c r="US3">
        <f>BDH("BBG00X4L4QF8 Equity","PX_LAST,PX_VOLUME","1/1/2020","6/10/2026")</f>
        <v/>
      </c>
      <c r="UW3">
        <f>BDH("BBG014PYR0M4 Equity","PX_LAST,PX_VOLUME","1/1/2020","6/10/2026")</f>
        <v/>
      </c>
      <c r="VA3">
        <f>BDH("BBG014PYR1Q8 Equity","PX_LAST,PX_VOLUME","1/1/2020","6/10/2026")</f>
        <v/>
      </c>
      <c r="VE3">
        <f>BDH("BBG014PYR2T3 Equity","PX_LAST,PX_VOLUME","1/1/2020","6/10/2026")</f>
        <v/>
      </c>
      <c r="VI3">
        <f>BDH("BBG00X2R2TZ1 Equity","PX_LAST,PX_VOLUME","1/1/2020","6/10/2026")</f>
        <v/>
      </c>
      <c r="VM3">
        <f>BDH("BBG014PYR3Y5 Equity","PX_LAST,PX_VOLUME","1/1/2020","6/10/2026")</f>
        <v/>
      </c>
      <c r="VQ3">
        <f>BDH("BBG014PYR516 Equity","PX_LAST,PX_VOLUME","1/1/2020","6/10/2026")</f>
        <v/>
      </c>
      <c r="VU3">
        <f>BDH("BBG014PYR669 Equity","PX_LAST,PX_VOLUME","1/1/2020","6/10/2026")</f>
        <v/>
      </c>
      <c r="VY3">
        <f>BDH("BBG014PYR794 Equity","PX_LAST,PX_VOLUME","1/1/2020","6/10/2026")</f>
        <v/>
      </c>
      <c r="WC3">
        <f>BDH("BBG00YD3YQ27 Equity","PX_LAST,PX_VOLUME","1/1/2020","6/10/2026")</f>
        <v/>
      </c>
      <c r="WG3">
        <f>BDH("BBG014PYR8D7 Equity","PX_LAST,PX_VOLUME","1/1/2020","6/10/2026")</f>
        <v/>
      </c>
      <c r="WK3">
        <f>BDH("BBG014PYR9K7 Equity","PX_LAST,PX_VOLUME","1/1/2020","6/10/2026")</f>
        <v/>
      </c>
      <c r="WO3">
        <f>BDH("BBG014PYRBN9 Equity","PX_LAST,PX_VOLUME","1/1/2020","6/10/2026")</f>
        <v/>
      </c>
      <c r="WS3">
        <f>BDH("BBG014PYRCR3 Equity","PX_LAST,PX_VOLUME","1/1/2020","6/10/2026")</f>
        <v/>
      </c>
      <c r="WW3">
        <f>BDH("BBG00X2R2W48 Equity","PX_LAST,PX_VOLUME","1/1/2020","6/10/2026")</f>
        <v/>
      </c>
      <c r="XA3">
        <f>BDH("BBG014PYRDY3 Equity","PX_LAST,PX_VOLUME","1/1/2020","6/10/2026")</f>
        <v/>
      </c>
      <c r="XE3">
        <f>BDH("BBG014PYRG12 Equity","PX_LAST,PX_VOLUME","1/1/2020","6/10/2026")</f>
        <v/>
      </c>
      <c r="XI3">
        <f>BDH("BBG014PYRH47 Equity","PX_LAST,PX_VOLUME","1/1/2020","6/10/2026")</f>
        <v/>
      </c>
      <c r="XM3">
        <f>BDH("BBG014PYRJB5 Equity","PX_LAST,PX_VOLUME","1/1/2020","6/10/2026")</f>
        <v/>
      </c>
      <c r="XQ3">
        <f>BDH("BBG00YB60WT7 Equity","PX_LAST,PX_VOLUME","1/1/2020","6/10/2026")</f>
        <v/>
      </c>
      <c r="XU3">
        <f>BDH("BBG014PYRKF8 Equity","PX_LAST,PX_VOLUME","1/1/2020","6/10/2026")</f>
        <v/>
      </c>
      <c r="XY3">
        <f>BDH("BBG014PYRLJ2 Equity","PX_LAST,PX_VOLUME","1/1/2020","6/10/2026")</f>
        <v/>
      </c>
      <c r="YC3">
        <f>BDH("BBG014PYRMN5 Equity","PX_LAST,PX_VOLUME","1/1/2020","6/10/2026")</f>
        <v/>
      </c>
      <c r="YG3">
        <f>BDH("BBG014PYRNR9 Equity","PX_LAST,PX_VOLUME","1/1/2020","6/10/2026")</f>
        <v/>
      </c>
      <c r="YK3">
        <f>BDH("BBG00YB60XY9 Equity","PX_LAST,PX_VOLUME","1/1/2020","6/10/2026")</f>
        <v/>
      </c>
      <c r="YO3">
        <f>BDH("BBG014PYRPV9 Equity","PX_LAST,PX_VOLUME","1/1/2020","6/10/2026")</f>
        <v/>
      </c>
      <c r="YS3">
        <f>BDH("BBG014PYRQZ3 Equity","PX_LAST,PX_VOLUME","1/1/2020","6/10/2026")</f>
        <v/>
      </c>
      <c r="YW3">
        <f>BDH("BBG014PYRS25 Equity","PX_LAST,PX_VOLUME","1/1/2020","6/10/2026")</f>
        <v/>
      </c>
      <c r="ZA3">
        <f>BDH("BBG014PYRT50 Equity","PX_LAST,PX_VOLUME","1/1/2020","6/10/2026")</f>
        <v/>
      </c>
      <c r="ZE3">
        <f>BDH("BBG00YCFH1T6 Equity","PX_LAST,PX_VOLUME","1/1/2020","6/10/2026")</f>
        <v/>
      </c>
      <c r="ZI3">
        <f>BDH("BBG014PYRV91 Equity","PX_LAST,PX_VOLUME","1/1/2020","6/10/2026")</f>
        <v/>
      </c>
      <c r="ZM3">
        <f>BDH("BBG014PYRWD4 Equity","PX_LAST,PX_VOLUME","1/1/2020","6/10/2026")</f>
        <v/>
      </c>
      <c r="ZQ3">
        <f>BDH("BBG014PYRXH8 Equity","PX_LAST,PX_VOLUME","1/1/2020","6/10/2026")</f>
        <v/>
      </c>
      <c r="ZU3">
        <f>BDH("BBG014PYRYM0 Equity","PX_LAST,PX_VOLUME","1/1/2020","6/10/2026")</f>
        <v/>
      </c>
      <c r="ZY3">
        <f>BDH("BBG00YCFH2X9 Equity","PX_LAST,PX_VOLUME","1/1/2020","6/10/2026")</f>
        <v/>
      </c>
      <c r="AAC3">
        <f>BDH("BBG014PYRZQ3 Equity","PX_LAST,PX_VOLUME","1/1/2020","6/10/2026")</f>
        <v/>
      </c>
      <c r="AAG3">
        <f>BDH("BBG014PYS0T6 Equity","PX_LAST,PX_VOLUME","1/1/2020","6/10/2026")</f>
        <v/>
      </c>
      <c r="AAK3">
        <f>BDH("BBG014PYS1Y8 Equity","PX_LAST,PX_VOLUME","1/1/2020","6/10/2026")</f>
        <v/>
      </c>
      <c r="AAO3">
        <f>BDH("BBG014PYS310 Equity","PX_LAST,PX_VOLUME","1/1/2020","6/10/2026")</f>
        <v/>
      </c>
      <c r="AAS3">
        <f>BDH("BBG00YD3YR52 Equity","PX_LAST,PX_VOLUME","1/1/2020","6/10/2026")</f>
        <v/>
      </c>
      <c r="AAW3">
        <f>BDH("BBG014PYS445 Equity","PX_LAST,PX_VOLUME","1/1/2020","6/10/2026")</f>
        <v/>
      </c>
      <c r="ABA3">
        <f>BDH("BBG014PYS597 Equity","PX_LAST,PX_VOLUME","1/1/2020","6/10/2026")</f>
        <v/>
      </c>
      <c r="ABE3">
        <f>BDH("BBG014PYS6D0 Equity","PX_LAST,PX_VOLUME","1/1/2020","6/10/2026")</f>
        <v/>
      </c>
      <c r="ABI3">
        <f>BDH("BBG014PYS7H4 Equity","PX_LAST,PX_VOLUME","1/1/2020","6/10/2026")</f>
        <v/>
      </c>
      <c r="ABM3">
        <f>BDH("BBG00YD3YS96 Equity","PX_LAST,PX_VOLUME","1/1/2020","6/10/2026")</f>
        <v/>
      </c>
      <c r="ABQ3">
        <f>BDH("BBG00YD3YTD9 Equity","PX_LAST,PX_VOLUME","1/1/2020","6/10/2026")</f>
        <v/>
      </c>
      <c r="ABU3">
        <f>BDH("BBG00YD3YVH0 Equity","PX_LAST,PX_VOLUME","1/1/2020","6/10/2026")</f>
        <v/>
      </c>
      <c r="ABY3">
        <f>BDH("BBG00YGHZQS4 Equity","PX_LAST,PX_VOLUME","1/1/2020","6/10/2026")</f>
        <v/>
      </c>
      <c r="ACC3">
        <f>BDH("BBG00YGHZRW7 Equity","PX_LAST,PX_VOLUME","1/1/2020","6/10/2026")</f>
        <v/>
      </c>
      <c r="ACG3">
        <f>BDH("BBG00YGHZT26 Equity","PX_LAST,PX_VOLUME","1/1/2020","6/10/2026")</f>
        <v/>
      </c>
      <c r="ACK3">
        <f>BDH("BBG00YGHZV58 Equity","PX_LAST,PX_VOLUME","1/1/2020","6/10/2026")</f>
        <v/>
      </c>
      <c r="ACO3">
        <f>BDH("BBG00YR942P0 Equity","PX_LAST,PX_VOLUME","1/1/2020","6/10/2026")</f>
        <v/>
      </c>
      <c r="ACS3">
        <f>BDH("BBG00YR943S5 Equity","PX_LAST,PX_VOLUME","1/1/2020","6/10/2026")</f>
        <v/>
      </c>
      <c r="ACW3">
        <f>BDH("BBG00YR944W8 Equity","PX_LAST,PX_VOLUME","1/1/2020","6/10/2026")</f>
        <v/>
      </c>
      <c r="ADA3">
        <f>BDH("BBG00YR94608 Equity","PX_LAST,PX_VOLUME","1/1/2020","6/10/2026")</f>
        <v/>
      </c>
      <c r="ADE3">
        <f>BDH("BBG014D1QSC0 Equity","PX_LAST,PX_VOLUME","1/1/2020","6/10/2026")</f>
        <v/>
      </c>
      <c r="ADI3">
        <f>BDH("BBG017FXF677 Equity","PX_LAST,PX_VOLUME","1/1/2020","6/10/2026")</f>
        <v/>
      </c>
      <c r="ADM3">
        <f>BDH("BBG017R3L1P4 Equity","PX_LAST,PX_VOLUME","1/1/2020","6/10/2026")</f>
        <v/>
      </c>
      <c r="ADQ3">
        <f>BDH("BBG017FXF7G5 Equity","PX_LAST,PX_VOLUME","1/1/2020","6/10/2026")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BBG017R3L2S9 Equity (TSLA US 10/21/22 P196.67)</t>
        </is>
      </c>
      <c r="E1" t="inlineStr">
        <is>
          <t>BBG014D1QTG4 Equity (TSLA US 10/21/22 P200)</t>
        </is>
      </c>
      <c r="I1" t="inlineStr">
        <is>
          <t>BBG017R3L3W2 Equity (TSLA US 10/21/22 P203.33)</t>
        </is>
      </c>
      <c r="M1" t="inlineStr">
        <is>
          <t>BBG019QN4ZG1 Equity (TSLA US 10/21/22 P205)</t>
        </is>
      </c>
      <c r="Q1" t="inlineStr">
        <is>
          <t>BBG017FXF8K8 Equity (TSLA US 10/21/22 P206.67)</t>
        </is>
      </c>
      <c r="U1" t="inlineStr">
        <is>
          <t>BBG017R3L511 Equity (TSLA US 10/21/22 P210)</t>
        </is>
      </c>
      <c r="Y1" t="inlineStr">
        <is>
          <t>BBG017FXF9N3 Equity (TSLA US 10/21/22 P213.33)</t>
        </is>
      </c>
      <c r="AC1" t="inlineStr">
        <is>
          <t>BBG019QN50K2 Equity (TSLA US 10/21/22 P215)</t>
        </is>
      </c>
      <c r="AG1" t="inlineStr">
        <is>
          <t>BBG014D1QVL3 Equity (TSLA US 10/21/22 P216.67)</t>
        </is>
      </c>
      <c r="AK1" t="inlineStr">
        <is>
          <t>BBG017FXFBW8 Equity (TSLA US 10/21/22 P220)</t>
        </is>
      </c>
      <c r="AO1" t="inlineStr">
        <is>
          <t>BBG017R3L646 Equity (TSLA US 10/21/22 P223.33)</t>
        </is>
      </c>
      <c r="AS1" t="inlineStr">
        <is>
          <t>BBG019QN51N7 Equity (TSLA US 10/21/22 P225)</t>
        </is>
      </c>
      <c r="AW1" t="inlineStr">
        <is>
          <t>BBG017FXFCZ3 Equity (TSLA US 10/21/22 P226.67)</t>
        </is>
      </c>
      <c r="BA1" t="inlineStr">
        <is>
          <t>BBG017R3L771 Equity (TSLA US 10/21/22 P230)</t>
        </is>
      </c>
      <c r="BE1" t="inlineStr">
        <is>
          <t>BBG014D1QWP7 Equity (TSLA US 10/21/22 P233.33)</t>
        </is>
      </c>
      <c r="BI1" t="inlineStr">
        <is>
          <t>BBG019QN52S0 Equity (TSLA US 10/21/22 P235)</t>
        </is>
      </c>
      <c r="BM1" t="inlineStr">
        <is>
          <t>BBG017R3L8F0 Equity (TSLA US 10/21/22 P236.67)</t>
        </is>
      </c>
      <c r="BQ1" t="inlineStr">
        <is>
          <t>BBG017FXFF22 Equity (TSLA US 10/21/22 P240)</t>
        </is>
      </c>
      <c r="BU1" t="inlineStr">
        <is>
          <t>BBG017R3L9J4 Equity (TSLA US 10/21/22 P243.33)</t>
        </is>
      </c>
      <c r="BY1" t="inlineStr">
        <is>
          <t>BBG019QN53W3 Equity (TSLA US 10/21/22 P245)</t>
        </is>
      </c>
      <c r="CC1" t="inlineStr">
        <is>
          <t>BBG017FXFGB0 Equity (TSLA US 10/21/22 P246.67)</t>
        </is>
      </c>
      <c r="CG1" t="inlineStr">
        <is>
          <t>BBG014D1QXS2 Equity (TSLA US 10/21/22 P250)</t>
        </is>
      </c>
      <c r="CK1" t="inlineStr">
        <is>
          <t>BBG017FXFHF4 Equity (TSLA US 10/21/22 P253.33)</t>
        </is>
      </c>
      <c r="CO1" t="inlineStr">
        <is>
          <t>BBG019QN54Z8 Equity (TSLA US 10/21/22 P255)</t>
        </is>
      </c>
      <c r="CS1" t="inlineStr">
        <is>
          <t>BBG017R3LBM5 Equity (TSLA US 10/21/22 P256.67)</t>
        </is>
      </c>
      <c r="CW1" t="inlineStr">
        <is>
          <t>BBG017FXFJP9 Equity (TSLA US 10/21/22 P260)</t>
        </is>
      </c>
      <c r="DA1" t="inlineStr">
        <is>
          <t>BBG017R3LCS7 Equity (TSLA US 10/21/22 P263.33)</t>
        </is>
      </c>
      <c r="DE1" t="inlineStr">
        <is>
          <t>BBG019QN5638 Equity (TSLA US 10/21/22 P265)</t>
        </is>
      </c>
      <c r="DI1" t="inlineStr">
        <is>
          <t>BBG014D1QYX4 Equity (TSLA US 10/21/22 P266.67)</t>
        </is>
      </c>
      <c r="DM1" t="inlineStr">
        <is>
          <t>BBG019CD70K7 Equity (TSLA US 10/21/22 P270)</t>
        </is>
      </c>
      <c r="DQ1" t="inlineStr">
        <is>
          <t>BBG017FXFKS3 Equity (TSLA US 10/21/22 P273.33)</t>
        </is>
      </c>
      <c r="DU1" t="inlineStr">
        <is>
          <t>BBG019QN5763 Equity (TSLA US 10/21/22 P275)</t>
        </is>
      </c>
      <c r="DY1" t="inlineStr">
        <is>
          <t>BBG0198P5SN3 Equity (TSLA US 10/21/22 P276.67)</t>
        </is>
      </c>
      <c r="EC1" t="inlineStr">
        <is>
          <t>BBG0198P5TS6 Equity (TSLA US 10/21/22 P278.33)</t>
        </is>
      </c>
      <c r="EG1" t="inlineStr">
        <is>
          <t>BBG017FXFLW6 Equity (TSLA US 10/21/22 P280)</t>
        </is>
      </c>
      <c r="EK1" t="inlineStr">
        <is>
          <t>BBG0198P5VW6 Equity (TSLA US 10/21/22 P281.67)</t>
        </is>
      </c>
      <c r="EO1" t="inlineStr">
        <is>
          <t>BBG014D1R003 Equity (TSLA US 10/21/22 P283.33)</t>
        </is>
      </c>
      <c r="ES1" t="inlineStr">
        <is>
          <t>BBG0198P5WZ1 Equity (TSLA US 10/21/22 P285)</t>
        </is>
      </c>
      <c r="EW1" t="inlineStr">
        <is>
          <t>BBG017FXFN43 Equity (TSLA US 10/21/22 P286.67)</t>
        </is>
      </c>
      <c r="FA1" t="inlineStr">
        <is>
          <t>BBG0198P5Y32 Equity (TSLA US 10/21/22 P288.33)</t>
        </is>
      </c>
      <c r="FE1" t="inlineStr">
        <is>
          <t>BBG0198P5Z66 Equity (TSLA US 10/21/22 P290)</t>
        </is>
      </c>
      <c r="FI1" t="inlineStr">
        <is>
          <t>BBG0198P6099 Equity (TSLA US 10/21/22 P291.67)</t>
        </is>
      </c>
      <c r="FM1" t="inlineStr">
        <is>
          <t>BBG019QN5898 Equity (TSLA US 10/21/22 P292.5)</t>
        </is>
      </c>
      <c r="FQ1" t="inlineStr">
        <is>
          <t>BBG017FXFP75 Equity (TSLA US 10/21/22 P293.33)</t>
        </is>
      </c>
      <c r="FU1" t="inlineStr">
        <is>
          <t>BBG0198P61F0 Equity (TSLA US 10/21/22 P295)</t>
        </is>
      </c>
      <c r="FY1" t="inlineStr">
        <is>
          <t>BBG0198P62J4 Equity (TSLA US 10/21/22 P296.67)</t>
        </is>
      </c>
      <c r="GC1" t="inlineStr">
        <is>
          <t>BBG0198P63M8 Equity (TSLA US 10/21/22 P298.33)</t>
        </is>
      </c>
      <c r="GG1" t="inlineStr">
        <is>
          <t>BBG014D1R138 Equity (TSLA US 10/21/22 P300)</t>
        </is>
      </c>
      <c r="GK1" t="inlineStr">
        <is>
          <t>BBG0198P64R1 Equity (TSLA US 10/21/22 P301.67)</t>
        </is>
      </c>
      <c r="GO1" t="inlineStr">
        <is>
          <t>BBG0198P65V3 Equity (TSLA US 10/21/22 P303.33)</t>
        </is>
      </c>
      <c r="GS1" t="inlineStr">
        <is>
          <t>BBG0198P66Y8 Equity (TSLA US 10/21/22 P305)</t>
        </is>
      </c>
      <c r="GW1" t="inlineStr">
        <is>
          <t>BBG017FXFQB8 Equity (TSLA US 10/21/22 P306.67)</t>
        </is>
      </c>
      <c r="HA1" t="inlineStr">
        <is>
          <t>BBG0198P6829 Equity (TSLA US 10/21/22 P308.33)</t>
        </is>
      </c>
      <c r="HE1" t="inlineStr">
        <is>
          <t>BBG0198P6954 Equity (TSLA US 10/21/22 P310)</t>
        </is>
      </c>
      <c r="HI1" t="inlineStr">
        <is>
          <t>BBG0198P6B86 Equity (TSLA US 10/21/22 P311.67)</t>
        </is>
      </c>
      <c r="HM1" t="inlineStr">
        <is>
          <t>BBG017FXFRK6 Equity (TSLA US 10/21/22 P313.33)</t>
        </is>
      </c>
      <c r="HQ1" t="inlineStr">
        <is>
          <t>BBG0198P6CD8 Equity (TSLA US 10/21/22 P315)</t>
        </is>
      </c>
      <c r="HU1" t="inlineStr">
        <is>
          <t>BBG014D1SHN0 Equity (TSLA US 11/18/22 P183.33)</t>
        </is>
      </c>
      <c r="HY1" t="inlineStr">
        <is>
          <t>BBG017FXGHM5 Equity (TSLA US 11/18/22 P186.67)</t>
        </is>
      </c>
      <c r="IC1" t="inlineStr">
        <is>
          <t>BBG017R3LH51 Equity (TSLA US 11/18/22 P190)</t>
        </is>
      </c>
      <c r="IG1" t="inlineStr">
        <is>
          <t>BBG017FXGJV1 Equity (TSLA US 11/18/22 P193.33)</t>
        </is>
      </c>
      <c r="IK1" t="inlineStr">
        <is>
          <t>BBG019P3SW59 Equity (TSLA US 11/18/22 P195)</t>
        </is>
      </c>
      <c r="IO1" t="inlineStr">
        <is>
          <t>BBG017R3LJ84 Equity (TSLA US 11/18/22 P196.67)</t>
        </is>
      </c>
      <c r="IS1" t="inlineStr">
        <is>
          <t>BBG014D1SJV7 Equity (TSLA US 11/18/22 P200)</t>
        </is>
      </c>
      <c r="IW1" t="inlineStr">
        <is>
          <t>BBG017R3LKC6 Equity (TSLA US 11/18/22 P203.33)</t>
        </is>
      </c>
      <c r="JA1" t="inlineStr">
        <is>
          <t>BBG019P3SX93 Equity (TSLA US 11/18/22 P205)</t>
        </is>
      </c>
      <c r="JE1" t="inlineStr">
        <is>
          <t>BBG017FXGKY5 Equity (TSLA US 11/18/22 P206.67)</t>
        </is>
      </c>
      <c r="JI1" t="inlineStr">
        <is>
          <t>BBG017R3LLK5 Equity (TSLA US 11/18/22 P210)</t>
        </is>
      </c>
      <c r="JM1" t="inlineStr">
        <is>
          <t>BBG017FXGM17 Equity (TSLA US 11/18/22 P213.33)</t>
        </is>
      </c>
      <c r="JQ1" t="inlineStr">
        <is>
          <t>BBG019P3SYD6 Equity (TSLA US 11/18/22 P215)</t>
        </is>
      </c>
      <c r="JU1" t="inlineStr">
        <is>
          <t>BBG014D1SKY1 Equity (TSLA US 11/18/22 P216.67)</t>
        </is>
      </c>
      <c r="JY1" t="inlineStr">
        <is>
          <t>BBG017FXGN60 Equity (TSLA US 11/18/22 P220)</t>
        </is>
      </c>
      <c r="KC1" t="inlineStr">
        <is>
          <t>BBG017R3LMN0 Equity (TSLA US 11/18/22 P223.33)</t>
        </is>
      </c>
      <c r="KG1" t="inlineStr">
        <is>
          <t>BBG019P3SZH9 Equity (TSLA US 11/18/22 P225)</t>
        </is>
      </c>
      <c r="KK1" t="inlineStr">
        <is>
          <t>BBG017FXGP92 Equity (TSLA US 11/18/22 P226.67)</t>
        </is>
      </c>
      <c r="KO1" t="inlineStr">
        <is>
          <t>BBG017R3LNR4 Equity (TSLA US 11/18/22 P230)</t>
        </is>
      </c>
      <c r="KS1" t="inlineStr">
        <is>
          <t>BBG014D1SM13 Equity (TSLA US 11/18/22 P233.33)</t>
        </is>
      </c>
      <c r="KW1" t="inlineStr">
        <is>
          <t>BBG019P3T0M9 Equity (TSLA US 11/18/22 P235)</t>
        </is>
      </c>
      <c r="LA1" t="inlineStr">
        <is>
          <t>BBG017R3LPX2 Equity (TSLA US 11/18/22 P236.67)</t>
        </is>
      </c>
      <c r="LE1" t="inlineStr">
        <is>
          <t>BBG017FXGQD5 Equity (TSLA US 11/18/22 P240)</t>
        </is>
      </c>
      <c r="LI1" t="inlineStr">
        <is>
          <t>BBG017R3LR04 Equity (TSLA US 11/18/22 P243.33)</t>
        </is>
      </c>
      <c r="LM1" t="inlineStr">
        <is>
          <t>BBG019P3T1Q3 Equity (TSLA US 11/18/22 P245)</t>
        </is>
      </c>
      <c r="LQ1" t="inlineStr">
        <is>
          <t>BBG017FXGRM3 Equity (TSLA US 11/18/22 P246.67)</t>
        </is>
      </c>
      <c r="LU1" t="inlineStr">
        <is>
          <t>BBG014D1SN66 Equity (TSLA US 11/18/22 P250)</t>
        </is>
      </c>
      <c r="LY1" t="inlineStr">
        <is>
          <t>BBG017FXGSQ7 Equity (TSLA US 11/18/22 P253.33)</t>
        </is>
      </c>
      <c r="MC1" t="inlineStr">
        <is>
          <t>BBG019P3T2T8 Equity (TSLA US 11/18/22 P255)</t>
        </is>
      </c>
      <c r="MG1" t="inlineStr">
        <is>
          <t>BBG017R3LS39 Equity (TSLA US 11/18/22 P256.67)</t>
        </is>
      </c>
      <c r="MK1" t="inlineStr">
        <is>
          <t>BBG017FXGTZ5 Equity (TSLA US 11/18/22 P260)</t>
        </is>
      </c>
      <c r="MO1" t="inlineStr">
        <is>
          <t>BBG017R3LT91 Equity (TSLA US 11/18/22 P263.33)</t>
        </is>
      </c>
      <c r="MS1" t="inlineStr">
        <is>
          <t>BBG019P3T3Y0 Equity (TSLA US 11/18/22 P265)</t>
        </is>
      </c>
      <c r="MW1" t="inlineStr">
        <is>
          <t>BBG014D1SP98 Equity (TSLA US 11/18/22 P266.67)</t>
        </is>
      </c>
      <c r="NA1" t="inlineStr">
        <is>
          <t>BBG019P3T511 Equity (TSLA US 11/18/22 P270)</t>
        </is>
      </c>
      <c r="NE1" t="inlineStr">
        <is>
          <t>BBG017FXGW24 Equity (TSLA US 11/18/22 P273.33)</t>
        </is>
      </c>
      <c r="NI1" t="inlineStr">
        <is>
          <t>BBG019P3T646 Equity (TSLA US 11/18/22 P275)</t>
        </is>
      </c>
      <c r="NM1" t="inlineStr">
        <is>
          <t>BBG017FXGX59 Equity (TSLA US 11/18/22 P280)</t>
        </is>
      </c>
      <c r="NQ1" t="inlineStr">
        <is>
          <t>BBG014D1SQG8 Equity (TSLA US 11/18/22 P283.33)</t>
        </is>
      </c>
      <c r="NU1" t="inlineStr">
        <is>
          <t>BBG019P3T780 Equity (TSLA US 11/18/22 P285)</t>
        </is>
      </c>
      <c r="NY1" t="inlineStr">
        <is>
          <t>BBG017FXGYC9 Equity (TSLA US 11/18/22 P286.67)</t>
        </is>
      </c>
      <c r="OC1" t="inlineStr">
        <is>
          <t>BBG019P3T8C3 Equity (TSLA US 11/18/22 P290)</t>
        </is>
      </c>
      <c r="OG1" t="inlineStr">
        <is>
          <t>BBG017FXGZG2 Equity (TSLA US 11/18/22 P293.33)</t>
        </is>
      </c>
      <c r="OK1" t="inlineStr">
        <is>
          <t>BBG019P3T9G7 Equity (TSLA US 11/18/22 P295)</t>
        </is>
      </c>
      <c r="OO1" t="inlineStr">
        <is>
          <t>BBG014D1SRK1 Equity (TSLA US 11/18/22 P300)</t>
        </is>
      </c>
      <c r="OS1" t="inlineStr">
        <is>
          <t>BBG019P3TBL6 Equity (TSLA US 11/18/22 P305)</t>
        </is>
      </c>
      <c r="OW1" t="inlineStr">
        <is>
          <t>BBG017FXH0K3 Equity (TSLA US 11/18/22 P306.67)</t>
        </is>
      </c>
      <c r="PA1" t="inlineStr">
        <is>
          <t>BBG019P3TCP0 Equity (TSLA US 11/18/22 P310)</t>
        </is>
      </c>
      <c r="PE1" t="inlineStr">
        <is>
          <t>BBG017FXH1V9 Equity (TSLA US 11/18/22 P313.33)</t>
        </is>
      </c>
      <c r="PI1" t="inlineStr">
        <is>
          <t>BBG019P3TDT4 Equity (TSLA US 11/18/22 P315)</t>
        </is>
      </c>
      <c r="PM1" t="inlineStr">
        <is>
          <t>BBG014D1V829 Equity (TSLA US 12/16/22 P183.33)</t>
        </is>
      </c>
      <c r="PQ1" t="inlineStr">
        <is>
          <t>BBG016WQNGH3 Equity (TSLA US 12/16/22 P186.67)</t>
        </is>
      </c>
      <c r="PU1" t="inlineStr">
        <is>
          <t>BBG016WQNHL6 Equity (TSLA US 12/16/22 P190)</t>
        </is>
      </c>
      <c r="PY1" t="inlineStr">
        <is>
          <t>BBG016WQNJS5 Equity (TSLA US 12/16/22 P193.33)</t>
        </is>
      </c>
      <c r="QC1" t="inlineStr">
        <is>
          <t>BBG016WQNKW7 Equity (TSLA US 12/16/22 P196.67)</t>
        </is>
      </c>
      <c r="QG1" t="inlineStr">
        <is>
          <t>BBG014D1V954 Equity (TSLA US 12/16/22 P200)</t>
        </is>
      </c>
      <c r="QK1" t="inlineStr">
        <is>
          <t>BBG016WQNLZ2 Equity (TSLA US 12/16/22 P203.33)</t>
        </is>
      </c>
      <c r="QO1" t="inlineStr">
        <is>
          <t>BBG016WQNN42 Equity (TSLA US 12/16/22 P206.67)</t>
        </is>
      </c>
      <c r="QS1" t="inlineStr">
        <is>
          <t>BBG016WQNP74 Equity (TSLA US 12/16/22 P210)</t>
        </is>
      </c>
      <c r="QW1" t="inlineStr">
        <is>
          <t>BBG016WQNQB7 Equity (TSLA US 12/16/22 P213.33)</t>
        </is>
      </c>
      <c r="RA1" t="inlineStr">
        <is>
          <t>BBG014D1VBD0 Equity (TSLA US 12/16/22 P216.67)</t>
        </is>
      </c>
      <c r="RE1" t="inlineStr">
        <is>
          <t>BBG016WQNRH9 Equity (TSLA US 12/16/22 P220)</t>
        </is>
      </c>
      <c r="RI1" t="inlineStr">
        <is>
          <t>BBG016WQNSL2 Equity (TSLA US 12/16/22 P223.33)</t>
        </is>
      </c>
      <c r="RM1" t="inlineStr">
        <is>
          <t>BBG016WQNTP6 Equity (TSLA US 12/16/22 P226.67)</t>
        </is>
      </c>
      <c r="RQ1" t="inlineStr">
        <is>
          <t>BBG016WQNVV4 Equity (TSLA US 12/16/22 P230)</t>
        </is>
      </c>
      <c r="RU1" t="inlineStr">
        <is>
          <t>BBG014D1VCH4 Equity (TSLA US 12/16/22 P233.33)</t>
        </is>
      </c>
      <c r="RY1" t="inlineStr">
        <is>
          <t>BBG016WQNWY9 Equity (TSLA US 12/16/22 P236.67)</t>
        </is>
      </c>
      <c r="SC1" t="inlineStr">
        <is>
          <t>BBG016WQNY11 Equity (TSLA US 12/16/22 P240)</t>
        </is>
      </c>
      <c r="SG1" t="inlineStr">
        <is>
          <t>BBG016WQNZ63 Equity (TSLA US 12/16/22 P243.33)</t>
        </is>
      </c>
      <c r="SK1" t="inlineStr">
        <is>
          <t>BBG016WQP095 Equity (TSLA US 12/16/22 P246.67)</t>
        </is>
      </c>
      <c r="SO1" t="inlineStr">
        <is>
          <t>BBG014D1VDL7 Equity (TSLA US 12/16/22 P250)</t>
        </is>
      </c>
      <c r="SS1" t="inlineStr">
        <is>
          <t>BBG016WQP1D8 Equity (TSLA US 12/16/22 P253.33)</t>
        </is>
      </c>
      <c r="SW1" t="inlineStr">
        <is>
          <t>BBG016WQP2K8 Equity (TSLA US 12/16/22 P256.67)</t>
        </is>
      </c>
      <c r="TA1" t="inlineStr">
        <is>
          <t>BBG016WQP3N3 Equity (TSLA US 12/16/22 P260)</t>
        </is>
      </c>
      <c r="TE1" t="inlineStr">
        <is>
          <t>BBG016WQP4R7 Equity (TSLA US 12/16/22 P263.33)</t>
        </is>
      </c>
      <c r="TI1" t="inlineStr">
        <is>
          <t>BBG014D1VFT4 Equity (TSLA US 12/16/22 P266.67)</t>
        </is>
      </c>
      <c r="TM1" t="inlineStr">
        <is>
          <t>BBG016WQP5W8 Equity (TSLA US 12/16/22 P270)</t>
        </is>
      </c>
      <c r="TQ1" t="inlineStr">
        <is>
          <t>BBG016WQP6Z3 Equity (TSLA US 12/16/22 P273.33)</t>
        </is>
      </c>
      <c r="TU1" t="inlineStr">
        <is>
          <t>BBG016WQP825 Equity (TSLA US 12/16/22 P276.67)</t>
        </is>
      </c>
      <c r="TY1" t="inlineStr">
        <is>
          <t>BBG016WQP969 Equity (TSLA US 12/16/22 P280)</t>
        </is>
      </c>
      <c r="UC1" t="inlineStr">
        <is>
          <t>BBG014D1VGX7 Equity (TSLA US 12/16/22 P283.33)</t>
        </is>
      </c>
      <c r="UG1" t="inlineStr">
        <is>
          <t>BBG016WQPB91 Equity (TSLA US 12/16/22 P286.67)</t>
        </is>
      </c>
      <c r="UK1" t="inlineStr">
        <is>
          <t>BBG016WQPCD4 Equity (TSLA US 12/16/22 P290)</t>
        </is>
      </c>
      <c r="UO1" t="inlineStr">
        <is>
          <t>BBG016WQPDJ6 Equity (TSLA US 12/16/22 P293.33)</t>
        </is>
      </c>
      <c r="US1" t="inlineStr">
        <is>
          <t>BBG016TKZM66 Equity (TSLA US 12/16/22 P295)</t>
        </is>
      </c>
      <c r="UW1" t="inlineStr">
        <is>
          <t>BBG016TKZN91 Equity (TSLA US 12/16/22 P296.67)</t>
        </is>
      </c>
      <c r="VA1" t="inlineStr">
        <is>
          <t>BBG016TKZPZ7 Equity (TSLA US 12/16/22 P298.33)</t>
        </is>
      </c>
      <c r="VE1" t="inlineStr">
        <is>
          <t>BBG014D1VJ07 Equity (TSLA US 12/16/22 P300)</t>
        </is>
      </c>
      <c r="VI1" t="inlineStr">
        <is>
          <t>BBG016TKZR29 Equity (TSLA US 12/16/22 P301.67)</t>
        </is>
      </c>
      <c r="VM1" t="inlineStr">
        <is>
          <t>BBG016TKZS54 Equity (TSLA US 12/16/22 P303.33)</t>
        </is>
      </c>
      <c r="VQ1" t="inlineStr">
        <is>
          <t>BBG016TKZTB5 Equity (TSLA US 12/16/22 P305)</t>
        </is>
      </c>
      <c r="VU1" t="inlineStr">
        <is>
          <t>BBG016TKZVF6 Equity (TSLA US 12/16/22 P306.67)</t>
        </is>
      </c>
      <c r="VY1" t="inlineStr">
        <is>
          <t>BBG016TKZWJ0 Equity (TSLA US 12/16/22 P308.33)</t>
        </is>
      </c>
      <c r="WC1" t="inlineStr">
        <is>
          <t>BBG016TKZXQ0 Equity (TSLA US 12/16/22 P310)</t>
        </is>
      </c>
      <c r="WG1" t="inlineStr">
        <is>
          <t>BBG016TKZYT5 Equity (TSLA US 12/16/22 P311.67)</t>
        </is>
      </c>
      <c r="WK1" t="inlineStr">
        <is>
          <t>BBG016TKZZX7 Equity (TSLA US 12/16/22 P313.33)</t>
        </is>
      </c>
      <c r="WO1" t="inlineStr">
        <is>
          <t>BBG016TL0122 Equity (TSLA US 12/16/22 P315)</t>
        </is>
      </c>
      <c r="WS1" t="inlineStr">
        <is>
          <t>BBG01C5CKX96 Equity (TSLA US 01/20/23 P99)</t>
        </is>
      </c>
      <c r="WW1" t="inlineStr">
        <is>
          <t>BBG00XBC1989 Equity (TSLA US 01/20/23 P100)</t>
        </is>
      </c>
      <c r="XA1" t="inlineStr">
        <is>
          <t>BBG01C5CKYF7 Equity (TSLA US 01/20/23 P101)</t>
        </is>
      </c>
      <c r="XE1" t="inlineStr">
        <is>
          <t>BBG01C5CKZJ0 Equity (TSLA US 01/20/23 P102)</t>
        </is>
      </c>
      <c r="XI1" t="inlineStr">
        <is>
          <t>BBG01C5CL0M2 Equity (TSLA US 01/20/23 P103)</t>
        </is>
      </c>
      <c r="XM1" t="inlineStr">
        <is>
          <t>BBG00XBC1BC9 Equity (TSLA US 01/20/23 P103.33)</t>
        </is>
      </c>
      <c r="XQ1" t="inlineStr">
        <is>
          <t>BBG01C5CL1R5 Equity (TSLA US 01/20/23 P104)</t>
        </is>
      </c>
      <c r="XU1" t="inlineStr">
        <is>
          <t>BBG01BL95J04 Equity (TSLA US 01/20/23 P105)</t>
        </is>
      </c>
      <c r="XY1" t="inlineStr">
        <is>
          <t>BBG01C5CL2V8 Equity (TSLA US 01/20/23 P106)</t>
        </is>
      </c>
      <c r="YC1" t="inlineStr">
        <is>
          <t>BBG00XBC1CG3 Equity (TSLA US 01/20/23 P106.67)</t>
        </is>
      </c>
      <c r="YG1" t="inlineStr">
        <is>
          <t>BBG01C5CL3Y3 Equity (TSLA US 01/20/23 P107)</t>
        </is>
      </c>
      <c r="YK1" t="inlineStr">
        <is>
          <t>BBG01C5CL523 Equity (TSLA US 01/20/23 P108)</t>
        </is>
      </c>
      <c r="YO1" t="inlineStr">
        <is>
          <t>BBG00XBC1DL5 Equity (TSLA US 01/20/23 P108.33)</t>
        </is>
      </c>
      <c r="YS1" t="inlineStr">
        <is>
          <t>BBG01C5CL658 Equity (TSLA US 01/20/23 P109)</t>
        </is>
      </c>
      <c r="YW1" t="inlineStr">
        <is>
          <t>BBG00XBC1FP6 Equity (TSLA US 01/20/23 P110)</t>
        </is>
      </c>
      <c r="ZA1" t="inlineStr">
        <is>
          <t>BBG01C5CL792 Equity (TSLA US 01/20/23 P111)</t>
        </is>
      </c>
      <c r="ZE1" t="inlineStr">
        <is>
          <t>BBG00XBC1GS1 Equity (TSLA US 01/20/23 P111.67)</t>
        </is>
      </c>
      <c r="ZI1" t="inlineStr">
        <is>
          <t>BBG01C5CL8D5 Equity (TSLA US 01/20/23 P112)</t>
        </is>
      </c>
      <c r="ZM1" t="inlineStr">
        <is>
          <t>BBG01C5CL9H9 Equity (TSLA US 01/20/23 P113)</t>
        </is>
      </c>
      <c r="ZQ1" t="inlineStr">
        <is>
          <t>BBG00XBC1HX3 Equity (TSLA US 01/20/23 P113.33)</t>
        </is>
      </c>
      <c r="ZU1" t="inlineStr">
        <is>
          <t>BBG01C5CLBM8 Equity (TSLA US 01/20/23 P114)</t>
        </is>
      </c>
      <c r="ZY1" t="inlineStr">
        <is>
          <t>BBG00XBC1K02 Equity (TSLA US 01/20/23 P115)</t>
        </is>
      </c>
      <c r="AAC1" t="inlineStr">
        <is>
          <t>BBG01C5CLCQ2 Equity (TSLA US 01/20/23 P116)</t>
        </is>
      </c>
      <c r="AAG1" t="inlineStr">
        <is>
          <t>BBG00XBC1L37 Equity (TSLA US 01/20/23 P116.67)</t>
        </is>
      </c>
      <c r="AAK1" t="inlineStr">
        <is>
          <t>BBG01C5CLDT7 Equity (TSLA US 01/20/23 P117)</t>
        </is>
      </c>
      <c r="AAO1" t="inlineStr">
        <is>
          <t>BBG01C5CLFY6 Equity (TSLA US 01/20/23 P118)</t>
        </is>
      </c>
      <c r="AAS1" t="inlineStr">
        <is>
          <t>BBG00XBC1M71 Equity (TSLA US 01/20/23 P118.33)</t>
        </is>
      </c>
      <c r="AAW1" t="inlineStr">
        <is>
          <t>BBG01C5CLH18 Equity (TSLA US 01/20/23 P119)</t>
        </is>
      </c>
      <c r="ABA1" t="inlineStr">
        <is>
          <t>BBG00XBC1NB4 Equity (TSLA US 01/20/23 P120)</t>
        </is>
      </c>
      <c r="ABE1" t="inlineStr">
        <is>
          <t>BBG01C5CLJ41 Equity (TSLA US 01/20/23 P121)</t>
        </is>
      </c>
      <c r="ABI1" t="inlineStr">
        <is>
          <t>BBG00XBC1PF5 Equity (TSLA US 01/20/23 P121.67)</t>
        </is>
      </c>
      <c r="ABM1" t="inlineStr">
        <is>
          <t>BBG01C5CLK84 Equity (TSLA US 01/20/23 P122)</t>
        </is>
      </c>
      <c r="ABQ1" t="inlineStr">
        <is>
          <t>BBG01C5CLLC7 Equity (TSLA US 01/20/23 P123)</t>
        </is>
      </c>
      <c r="ABU1" t="inlineStr">
        <is>
          <t>BBG00XBC1QK7 Equity (TSLA US 01/20/23 P123.33)</t>
        </is>
      </c>
      <c r="ABY1" t="inlineStr">
        <is>
          <t>BBG01C5CLMG1 Equity (TSLA US 01/20/23 P124)</t>
        </is>
      </c>
      <c r="ACC1" t="inlineStr">
        <is>
          <t>BBG00XBC1RN2 Equity (TSLA US 01/20/23 P125)</t>
        </is>
      </c>
      <c r="ACG1" t="inlineStr">
        <is>
          <t>BBG01C5CLNL3 Equity (TSLA US 01/20/23 P126)</t>
        </is>
      </c>
      <c r="ACK1" t="inlineStr">
        <is>
          <t>BBG00XBC1SR6 Equity (TSLA US 01/20/23 P126.67)</t>
        </is>
      </c>
      <c r="ACO1" t="inlineStr">
        <is>
          <t>BBG01C5CLPP4 Equity (TSLA US 01/20/23 P127)</t>
        </is>
      </c>
      <c r="ACS1" t="inlineStr">
        <is>
          <t>BBG00XBC1TW8 Equity (TSLA US 01/20/23 P128.33)</t>
        </is>
      </c>
      <c r="ACW1" t="inlineStr">
        <is>
          <t>BBG00XBC1VZ0 Equity (TSLA US 01/20/23 P130)</t>
        </is>
      </c>
      <c r="ADA1" t="inlineStr">
        <is>
          <t>BBG00XBC1X22 Equity (TSLA US 01/20/23 P131.67)</t>
        </is>
      </c>
      <c r="ADE1" t="inlineStr">
        <is>
          <t>BBG00XBC1Y66 Equity (TSLA US 01/20/23 P133.33)</t>
        </is>
      </c>
      <c r="ADI1" t="inlineStr">
        <is>
          <t>BBG00XBC1Z90 Equity (TSLA US 01/20/23 P135)</t>
        </is>
      </c>
      <c r="ADM1" t="inlineStr">
        <is>
          <t>BBG00XBC20D1 Equity (TSLA US 01/20/23 P136.67)</t>
        </is>
      </c>
      <c r="ADQ1" t="inlineStr">
        <is>
          <t>BBG01C5CLQS9 Equity (TSLA US 01/20/23 P138)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BDH("BBG017R3L2S9 Equity","PX_LAST,PX_VOLUME","1/1/2020","6/10/2026")</f>
        <v/>
      </c>
      <c r="E3">
        <f>BDH("BBG014D1QTG4 Equity","PX_LAST,PX_VOLUME","1/1/2020","6/10/2026")</f>
        <v/>
      </c>
      <c r="I3">
        <f>BDH("BBG017R3L3W2 Equity","PX_LAST,PX_VOLUME","1/1/2020","6/10/2026")</f>
        <v/>
      </c>
      <c r="M3">
        <f>BDH("BBG019QN4ZG1 Equity","PX_LAST,PX_VOLUME","1/1/2020","6/10/2026")</f>
        <v/>
      </c>
      <c r="Q3">
        <f>BDH("BBG017FXF8K8 Equity","PX_LAST,PX_VOLUME","1/1/2020","6/10/2026")</f>
        <v/>
      </c>
      <c r="U3">
        <f>BDH("BBG017R3L511 Equity","PX_LAST,PX_VOLUME","1/1/2020","6/10/2026")</f>
        <v/>
      </c>
      <c r="Y3">
        <f>BDH("BBG017FXF9N3 Equity","PX_LAST,PX_VOLUME","1/1/2020","6/10/2026")</f>
        <v/>
      </c>
      <c r="AC3">
        <f>BDH("BBG019QN50K2 Equity","PX_LAST,PX_VOLUME","1/1/2020","6/10/2026")</f>
        <v/>
      </c>
      <c r="AG3">
        <f>BDH("BBG014D1QVL3 Equity","PX_LAST,PX_VOLUME","1/1/2020","6/10/2026")</f>
        <v/>
      </c>
      <c r="AK3">
        <f>BDH("BBG017FXFBW8 Equity","PX_LAST,PX_VOLUME","1/1/2020","6/10/2026")</f>
        <v/>
      </c>
      <c r="AO3">
        <f>BDH("BBG017R3L646 Equity","PX_LAST,PX_VOLUME","1/1/2020","6/10/2026")</f>
        <v/>
      </c>
      <c r="AS3">
        <f>BDH("BBG019QN51N7 Equity","PX_LAST,PX_VOLUME","1/1/2020","6/10/2026")</f>
        <v/>
      </c>
      <c r="AW3">
        <f>BDH("BBG017FXFCZ3 Equity","PX_LAST,PX_VOLUME","1/1/2020","6/10/2026")</f>
        <v/>
      </c>
      <c r="BA3">
        <f>BDH("BBG017R3L771 Equity","PX_LAST,PX_VOLUME","1/1/2020","6/10/2026")</f>
        <v/>
      </c>
      <c r="BE3">
        <f>BDH("BBG014D1QWP7 Equity","PX_LAST,PX_VOLUME","1/1/2020","6/10/2026")</f>
        <v/>
      </c>
      <c r="BI3">
        <f>BDH("BBG019QN52S0 Equity","PX_LAST,PX_VOLUME","1/1/2020","6/10/2026")</f>
        <v/>
      </c>
      <c r="BM3">
        <f>BDH("BBG017R3L8F0 Equity","PX_LAST,PX_VOLUME","1/1/2020","6/10/2026")</f>
        <v/>
      </c>
      <c r="BQ3">
        <f>BDH("BBG017FXFF22 Equity","PX_LAST,PX_VOLUME","1/1/2020","6/10/2026")</f>
        <v/>
      </c>
      <c r="BU3">
        <f>BDH("BBG017R3L9J4 Equity","PX_LAST,PX_VOLUME","1/1/2020","6/10/2026")</f>
        <v/>
      </c>
      <c r="BY3">
        <f>BDH("BBG019QN53W3 Equity","PX_LAST,PX_VOLUME","1/1/2020","6/10/2026")</f>
        <v/>
      </c>
      <c r="CC3">
        <f>BDH("BBG017FXFGB0 Equity","PX_LAST,PX_VOLUME","1/1/2020","6/10/2026")</f>
        <v/>
      </c>
      <c r="CG3">
        <f>BDH("BBG014D1QXS2 Equity","PX_LAST,PX_VOLUME","1/1/2020","6/10/2026")</f>
        <v/>
      </c>
      <c r="CK3">
        <f>BDH("BBG017FXFHF4 Equity","PX_LAST,PX_VOLUME","1/1/2020","6/10/2026")</f>
        <v/>
      </c>
      <c r="CO3">
        <f>BDH("BBG019QN54Z8 Equity","PX_LAST,PX_VOLUME","1/1/2020","6/10/2026")</f>
        <v/>
      </c>
      <c r="CS3">
        <f>BDH("BBG017R3LBM5 Equity","PX_LAST,PX_VOLUME","1/1/2020","6/10/2026")</f>
        <v/>
      </c>
      <c r="CW3">
        <f>BDH("BBG017FXFJP9 Equity","PX_LAST,PX_VOLUME","1/1/2020","6/10/2026")</f>
        <v/>
      </c>
      <c r="DA3">
        <f>BDH("BBG017R3LCS7 Equity","PX_LAST,PX_VOLUME","1/1/2020","6/10/2026")</f>
        <v/>
      </c>
      <c r="DE3">
        <f>BDH("BBG019QN5638 Equity","PX_LAST,PX_VOLUME","1/1/2020","6/10/2026")</f>
        <v/>
      </c>
      <c r="DI3">
        <f>BDH("BBG014D1QYX4 Equity","PX_LAST,PX_VOLUME","1/1/2020","6/10/2026")</f>
        <v/>
      </c>
      <c r="DM3">
        <f>BDH("BBG019CD70K7 Equity","PX_LAST,PX_VOLUME","1/1/2020","6/10/2026")</f>
        <v/>
      </c>
      <c r="DQ3">
        <f>BDH("BBG017FXFKS3 Equity","PX_LAST,PX_VOLUME","1/1/2020","6/10/2026")</f>
        <v/>
      </c>
      <c r="DU3">
        <f>BDH("BBG019QN5763 Equity","PX_LAST,PX_VOLUME","1/1/2020","6/10/2026")</f>
        <v/>
      </c>
      <c r="DY3">
        <f>BDH("BBG0198P5SN3 Equity","PX_LAST,PX_VOLUME","1/1/2020","6/10/2026")</f>
        <v/>
      </c>
      <c r="EC3">
        <f>BDH("BBG0198P5TS6 Equity","PX_LAST,PX_VOLUME","1/1/2020","6/10/2026")</f>
        <v/>
      </c>
      <c r="EG3">
        <f>BDH("BBG017FXFLW6 Equity","PX_LAST,PX_VOLUME","1/1/2020","6/10/2026")</f>
        <v/>
      </c>
      <c r="EK3">
        <f>BDH("BBG0198P5VW6 Equity","PX_LAST,PX_VOLUME","1/1/2020","6/10/2026")</f>
        <v/>
      </c>
      <c r="EO3">
        <f>BDH("BBG014D1R003 Equity","PX_LAST,PX_VOLUME","1/1/2020","6/10/2026")</f>
        <v/>
      </c>
      <c r="ES3">
        <f>BDH("BBG0198P5WZ1 Equity","PX_LAST,PX_VOLUME","1/1/2020","6/10/2026")</f>
        <v/>
      </c>
      <c r="EW3">
        <f>BDH("BBG017FXFN43 Equity","PX_LAST,PX_VOLUME","1/1/2020","6/10/2026")</f>
        <v/>
      </c>
      <c r="FA3">
        <f>BDH("BBG0198P5Y32 Equity","PX_LAST,PX_VOLUME","1/1/2020","6/10/2026")</f>
        <v/>
      </c>
      <c r="FE3">
        <f>BDH("BBG0198P5Z66 Equity","PX_LAST,PX_VOLUME","1/1/2020","6/10/2026")</f>
        <v/>
      </c>
      <c r="FI3">
        <f>BDH("BBG0198P6099 Equity","PX_LAST,PX_VOLUME","1/1/2020","6/10/2026")</f>
        <v/>
      </c>
      <c r="FM3">
        <f>BDH("BBG019QN5898 Equity","PX_LAST,PX_VOLUME","1/1/2020","6/10/2026")</f>
        <v/>
      </c>
      <c r="FQ3">
        <f>BDH("BBG017FXFP75 Equity","PX_LAST,PX_VOLUME","1/1/2020","6/10/2026")</f>
        <v/>
      </c>
      <c r="FU3">
        <f>BDH("BBG0198P61F0 Equity","PX_LAST,PX_VOLUME","1/1/2020","6/10/2026")</f>
        <v/>
      </c>
      <c r="FY3">
        <f>BDH("BBG0198P62J4 Equity","PX_LAST,PX_VOLUME","1/1/2020","6/10/2026")</f>
        <v/>
      </c>
      <c r="GC3">
        <f>BDH("BBG0198P63M8 Equity","PX_LAST,PX_VOLUME","1/1/2020","6/10/2026")</f>
        <v/>
      </c>
      <c r="GG3">
        <f>BDH("BBG014D1R138 Equity","PX_LAST,PX_VOLUME","1/1/2020","6/10/2026")</f>
        <v/>
      </c>
      <c r="GK3">
        <f>BDH("BBG0198P64R1 Equity","PX_LAST,PX_VOLUME","1/1/2020","6/10/2026")</f>
        <v/>
      </c>
      <c r="GO3">
        <f>BDH("BBG0198P65V3 Equity","PX_LAST,PX_VOLUME","1/1/2020","6/10/2026")</f>
        <v/>
      </c>
      <c r="GS3">
        <f>BDH("BBG0198P66Y8 Equity","PX_LAST,PX_VOLUME","1/1/2020","6/10/2026")</f>
        <v/>
      </c>
      <c r="GW3">
        <f>BDH("BBG017FXFQB8 Equity","PX_LAST,PX_VOLUME","1/1/2020","6/10/2026")</f>
        <v/>
      </c>
      <c r="HA3">
        <f>BDH("BBG0198P6829 Equity","PX_LAST,PX_VOLUME","1/1/2020","6/10/2026")</f>
        <v/>
      </c>
      <c r="HE3">
        <f>BDH("BBG0198P6954 Equity","PX_LAST,PX_VOLUME","1/1/2020","6/10/2026")</f>
        <v/>
      </c>
      <c r="HI3">
        <f>BDH("BBG0198P6B86 Equity","PX_LAST,PX_VOLUME","1/1/2020","6/10/2026")</f>
        <v/>
      </c>
      <c r="HM3">
        <f>BDH("BBG017FXFRK6 Equity","PX_LAST,PX_VOLUME","1/1/2020","6/10/2026")</f>
        <v/>
      </c>
      <c r="HQ3">
        <f>BDH("BBG0198P6CD8 Equity","PX_LAST,PX_VOLUME","1/1/2020","6/10/2026")</f>
        <v/>
      </c>
      <c r="HU3">
        <f>BDH("BBG014D1SHN0 Equity","PX_LAST,PX_VOLUME","1/1/2020","6/10/2026")</f>
        <v/>
      </c>
      <c r="HY3">
        <f>BDH("BBG017FXGHM5 Equity","PX_LAST,PX_VOLUME","1/1/2020","6/10/2026")</f>
        <v/>
      </c>
      <c r="IC3">
        <f>BDH("BBG017R3LH51 Equity","PX_LAST,PX_VOLUME","1/1/2020","6/10/2026")</f>
        <v/>
      </c>
      <c r="IG3">
        <f>BDH("BBG017FXGJV1 Equity","PX_LAST,PX_VOLUME","1/1/2020","6/10/2026")</f>
        <v/>
      </c>
      <c r="IK3">
        <f>BDH("BBG019P3SW59 Equity","PX_LAST,PX_VOLUME","1/1/2020","6/10/2026")</f>
        <v/>
      </c>
      <c r="IO3">
        <f>BDH("BBG017R3LJ84 Equity","PX_LAST,PX_VOLUME","1/1/2020","6/10/2026")</f>
        <v/>
      </c>
      <c r="IS3">
        <f>BDH("BBG014D1SJV7 Equity","PX_LAST,PX_VOLUME","1/1/2020","6/10/2026")</f>
        <v/>
      </c>
      <c r="IW3">
        <f>BDH("BBG017R3LKC6 Equity","PX_LAST,PX_VOLUME","1/1/2020","6/10/2026")</f>
        <v/>
      </c>
      <c r="JA3">
        <f>BDH("BBG019P3SX93 Equity","PX_LAST,PX_VOLUME","1/1/2020","6/10/2026")</f>
        <v/>
      </c>
      <c r="JE3">
        <f>BDH("BBG017FXGKY5 Equity","PX_LAST,PX_VOLUME","1/1/2020","6/10/2026")</f>
        <v/>
      </c>
      <c r="JI3">
        <f>BDH("BBG017R3LLK5 Equity","PX_LAST,PX_VOLUME","1/1/2020","6/10/2026")</f>
        <v/>
      </c>
      <c r="JM3">
        <f>BDH("BBG017FXGM17 Equity","PX_LAST,PX_VOLUME","1/1/2020","6/10/2026")</f>
        <v/>
      </c>
      <c r="JQ3">
        <f>BDH("BBG019P3SYD6 Equity","PX_LAST,PX_VOLUME","1/1/2020","6/10/2026")</f>
        <v/>
      </c>
      <c r="JU3">
        <f>BDH("BBG014D1SKY1 Equity","PX_LAST,PX_VOLUME","1/1/2020","6/10/2026")</f>
        <v/>
      </c>
      <c r="JY3">
        <f>BDH("BBG017FXGN60 Equity","PX_LAST,PX_VOLUME","1/1/2020","6/10/2026")</f>
        <v/>
      </c>
      <c r="KC3">
        <f>BDH("BBG017R3LMN0 Equity","PX_LAST,PX_VOLUME","1/1/2020","6/10/2026")</f>
        <v/>
      </c>
      <c r="KG3">
        <f>BDH("BBG019P3SZH9 Equity","PX_LAST,PX_VOLUME","1/1/2020","6/10/2026")</f>
        <v/>
      </c>
      <c r="KK3">
        <f>BDH("BBG017FXGP92 Equity","PX_LAST,PX_VOLUME","1/1/2020","6/10/2026")</f>
        <v/>
      </c>
      <c r="KO3">
        <f>BDH("BBG017R3LNR4 Equity","PX_LAST,PX_VOLUME","1/1/2020","6/10/2026")</f>
        <v/>
      </c>
      <c r="KS3">
        <f>BDH("BBG014D1SM13 Equity","PX_LAST,PX_VOLUME","1/1/2020","6/10/2026")</f>
        <v/>
      </c>
      <c r="KW3">
        <f>BDH("BBG019P3T0M9 Equity","PX_LAST,PX_VOLUME","1/1/2020","6/10/2026")</f>
        <v/>
      </c>
      <c r="LA3">
        <f>BDH("BBG017R3LPX2 Equity","PX_LAST,PX_VOLUME","1/1/2020","6/10/2026")</f>
        <v/>
      </c>
      <c r="LE3">
        <f>BDH("BBG017FXGQD5 Equity","PX_LAST,PX_VOLUME","1/1/2020","6/10/2026")</f>
        <v/>
      </c>
      <c r="LI3">
        <f>BDH("BBG017R3LR04 Equity","PX_LAST,PX_VOLUME","1/1/2020","6/10/2026")</f>
        <v/>
      </c>
      <c r="LM3">
        <f>BDH("BBG019P3T1Q3 Equity","PX_LAST,PX_VOLUME","1/1/2020","6/10/2026")</f>
        <v/>
      </c>
      <c r="LQ3">
        <f>BDH("BBG017FXGRM3 Equity","PX_LAST,PX_VOLUME","1/1/2020","6/10/2026")</f>
        <v/>
      </c>
      <c r="LU3">
        <f>BDH("BBG014D1SN66 Equity","PX_LAST,PX_VOLUME","1/1/2020","6/10/2026")</f>
        <v/>
      </c>
      <c r="LY3">
        <f>BDH("BBG017FXGSQ7 Equity","PX_LAST,PX_VOLUME","1/1/2020","6/10/2026")</f>
        <v/>
      </c>
      <c r="MC3">
        <f>BDH("BBG019P3T2T8 Equity","PX_LAST,PX_VOLUME","1/1/2020","6/10/2026")</f>
        <v/>
      </c>
      <c r="MG3">
        <f>BDH("BBG017R3LS39 Equity","PX_LAST,PX_VOLUME","1/1/2020","6/10/2026")</f>
        <v/>
      </c>
      <c r="MK3">
        <f>BDH("BBG017FXGTZ5 Equity","PX_LAST,PX_VOLUME","1/1/2020","6/10/2026")</f>
        <v/>
      </c>
      <c r="MO3">
        <f>BDH("BBG017R3LT91 Equity","PX_LAST,PX_VOLUME","1/1/2020","6/10/2026")</f>
        <v/>
      </c>
      <c r="MS3">
        <f>BDH("BBG019P3T3Y0 Equity","PX_LAST,PX_VOLUME","1/1/2020","6/10/2026")</f>
        <v/>
      </c>
      <c r="MW3">
        <f>BDH("BBG014D1SP98 Equity","PX_LAST,PX_VOLUME","1/1/2020","6/10/2026")</f>
        <v/>
      </c>
      <c r="NA3">
        <f>BDH("BBG019P3T511 Equity","PX_LAST,PX_VOLUME","1/1/2020","6/10/2026")</f>
        <v/>
      </c>
      <c r="NE3">
        <f>BDH("BBG017FXGW24 Equity","PX_LAST,PX_VOLUME","1/1/2020","6/10/2026")</f>
        <v/>
      </c>
      <c r="NI3">
        <f>BDH("BBG019P3T646 Equity","PX_LAST,PX_VOLUME","1/1/2020","6/10/2026")</f>
        <v/>
      </c>
      <c r="NM3">
        <f>BDH("BBG017FXGX59 Equity","PX_LAST,PX_VOLUME","1/1/2020","6/10/2026")</f>
        <v/>
      </c>
      <c r="NQ3">
        <f>BDH("BBG014D1SQG8 Equity","PX_LAST,PX_VOLUME","1/1/2020","6/10/2026")</f>
        <v/>
      </c>
      <c r="NU3">
        <f>BDH("BBG019P3T780 Equity","PX_LAST,PX_VOLUME","1/1/2020","6/10/2026")</f>
        <v/>
      </c>
      <c r="NY3">
        <f>BDH("BBG017FXGYC9 Equity","PX_LAST,PX_VOLUME","1/1/2020","6/10/2026")</f>
        <v/>
      </c>
      <c r="OC3">
        <f>BDH("BBG019P3T8C3 Equity","PX_LAST,PX_VOLUME","1/1/2020","6/10/2026")</f>
        <v/>
      </c>
      <c r="OG3">
        <f>BDH("BBG017FXGZG2 Equity","PX_LAST,PX_VOLUME","1/1/2020","6/10/2026")</f>
        <v/>
      </c>
      <c r="OK3">
        <f>BDH("BBG019P3T9G7 Equity","PX_LAST,PX_VOLUME","1/1/2020","6/10/2026")</f>
        <v/>
      </c>
      <c r="OO3">
        <f>BDH("BBG014D1SRK1 Equity","PX_LAST,PX_VOLUME","1/1/2020","6/10/2026")</f>
        <v/>
      </c>
      <c r="OS3">
        <f>BDH("BBG019P3TBL6 Equity","PX_LAST,PX_VOLUME","1/1/2020","6/10/2026")</f>
        <v/>
      </c>
      <c r="OW3">
        <f>BDH("BBG017FXH0K3 Equity","PX_LAST,PX_VOLUME","1/1/2020","6/10/2026")</f>
        <v/>
      </c>
      <c r="PA3">
        <f>BDH("BBG019P3TCP0 Equity","PX_LAST,PX_VOLUME","1/1/2020","6/10/2026")</f>
        <v/>
      </c>
      <c r="PE3">
        <f>BDH("BBG017FXH1V9 Equity","PX_LAST,PX_VOLUME","1/1/2020","6/10/2026")</f>
        <v/>
      </c>
      <c r="PI3">
        <f>BDH("BBG019P3TDT4 Equity","PX_LAST,PX_VOLUME","1/1/2020","6/10/2026")</f>
        <v/>
      </c>
      <c r="PM3">
        <f>BDH("BBG014D1V829 Equity","PX_LAST,PX_VOLUME","1/1/2020","6/10/2026")</f>
        <v/>
      </c>
      <c r="PQ3">
        <f>BDH("BBG016WQNGH3 Equity","PX_LAST,PX_VOLUME","1/1/2020","6/10/2026")</f>
        <v/>
      </c>
      <c r="PU3">
        <f>BDH("BBG016WQNHL6 Equity","PX_LAST,PX_VOLUME","1/1/2020","6/10/2026")</f>
        <v/>
      </c>
      <c r="PY3">
        <f>BDH("BBG016WQNJS5 Equity","PX_LAST,PX_VOLUME","1/1/2020","6/10/2026")</f>
        <v/>
      </c>
      <c r="QC3">
        <f>BDH("BBG016WQNKW7 Equity","PX_LAST,PX_VOLUME","1/1/2020","6/10/2026")</f>
        <v/>
      </c>
      <c r="QG3">
        <f>BDH("BBG014D1V954 Equity","PX_LAST,PX_VOLUME","1/1/2020","6/10/2026")</f>
        <v/>
      </c>
      <c r="QK3">
        <f>BDH("BBG016WQNLZ2 Equity","PX_LAST,PX_VOLUME","1/1/2020","6/10/2026")</f>
        <v/>
      </c>
      <c r="QO3">
        <f>BDH("BBG016WQNN42 Equity","PX_LAST,PX_VOLUME","1/1/2020","6/10/2026")</f>
        <v/>
      </c>
      <c r="QS3">
        <f>BDH("BBG016WQNP74 Equity","PX_LAST,PX_VOLUME","1/1/2020","6/10/2026")</f>
        <v/>
      </c>
      <c r="QW3">
        <f>BDH("BBG016WQNQB7 Equity","PX_LAST,PX_VOLUME","1/1/2020","6/10/2026")</f>
        <v/>
      </c>
      <c r="RA3">
        <f>BDH("BBG014D1VBD0 Equity","PX_LAST,PX_VOLUME","1/1/2020","6/10/2026")</f>
        <v/>
      </c>
      <c r="RE3">
        <f>BDH("BBG016WQNRH9 Equity","PX_LAST,PX_VOLUME","1/1/2020","6/10/2026")</f>
        <v/>
      </c>
      <c r="RI3">
        <f>BDH("BBG016WQNSL2 Equity","PX_LAST,PX_VOLUME","1/1/2020","6/10/2026")</f>
        <v/>
      </c>
      <c r="RM3">
        <f>BDH("BBG016WQNTP6 Equity","PX_LAST,PX_VOLUME","1/1/2020","6/10/2026")</f>
        <v/>
      </c>
      <c r="RQ3">
        <f>BDH("BBG016WQNVV4 Equity","PX_LAST,PX_VOLUME","1/1/2020","6/10/2026")</f>
        <v/>
      </c>
      <c r="RU3">
        <f>BDH("BBG014D1VCH4 Equity","PX_LAST,PX_VOLUME","1/1/2020","6/10/2026")</f>
        <v/>
      </c>
      <c r="RY3">
        <f>BDH("BBG016WQNWY9 Equity","PX_LAST,PX_VOLUME","1/1/2020","6/10/2026")</f>
        <v/>
      </c>
      <c r="SC3">
        <f>BDH("BBG016WQNY11 Equity","PX_LAST,PX_VOLUME","1/1/2020","6/10/2026")</f>
        <v/>
      </c>
      <c r="SG3">
        <f>BDH("BBG016WQNZ63 Equity","PX_LAST,PX_VOLUME","1/1/2020","6/10/2026")</f>
        <v/>
      </c>
      <c r="SK3">
        <f>BDH("BBG016WQP095 Equity","PX_LAST,PX_VOLUME","1/1/2020","6/10/2026")</f>
        <v/>
      </c>
      <c r="SO3">
        <f>BDH("BBG014D1VDL7 Equity","PX_LAST,PX_VOLUME","1/1/2020","6/10/2026")</f>
        <v/>
      </c>
      <c r="SS3">
        <f>BDH("BBG016WQP1D8 Equity","PX_LAST,PX_VOLUME","1/1/2020","6/10/2026")</f>
        <v/>
      </c>
      <c r="SW3">
        <f>BDH("BBG016WQP2K8 Equity","PX_LAST,PX_VOLUME","1/1/2020","6/10/2026")</f>
        <v/>
      </c>
      <c r="TA3">
        <f>BDH("BBG016WQP3N3 Equity","PX_LAST,PX_VOLUME","1/1/2020","6/10/2026")</f>
        <v/>
      </c>
      <c r="TE3">
        <f>BDH("BBG016WQP4R7 Equity","PX_LAST,PX_VOLUME","1/1/2020","6/10/2026")</f>
        <v/>
      </c>
      <c r="TI3">
        <f>BDH("BBG014D1VFT4 Equity","PX_LAST,PX_VOLUME","1/1/2020","6/10/2026")</f>
        <v/>
      </c>
      <c r="TM3">
        <f>BDH("BBG016WQP5W8 Equity","PX_LAST,PX_VOLUME","1/1/2020","6/10/2026")</f>
        <v/>
      </c>
      <c r="TQ3">
        <f>BDH("BBG016WQP6Z3 Equity","PX_LAST,PX_VOLUME","1/1/2020","6/10/2026")</f>
        <v/>
      </c>
      <c r="TU3">
        <f>BDH("BBG016WQP825 Equity","PX_LAST,PX_VOLUME","1/1/2020","6/10/2026")</f>
        <v/>
      </c>
      <c r="TY3">
        <f>BDH("BBG016WQP969 Equity","PX_LAST,PX_VOLUME","1/1/2020","6/10/2026")</f>
        <v/>
      </c>
      <c r="UC3">
        <f>BDH("BBG014D1VGX7 Equity","PX_LAST,PX_VOLUME","1/1/2020","6/10/2026")</f>
        <v/>
      </c>
      <c r="UG3">
        <f>BDH("BBG016WQPB91 Equity","PX_LAST,PX_VOLUME","1/1/2020","6/10/2026")</f>
        <v/>
      </c>
      <c r="UK3">
        <f>BDH("BBG016WQPCD4 Equity","PX_LAST,PX_VOLUME","1/1/2020","6/10/2026")</f>
        <v/>
      </c>
      <c r="UO3">
        <f>BDH("BBG016WQPDJ6 Equity","PX_LAST,PX_VOLUME","1/1/2020","6/10/2026")</f>
        <v/>
      </c>
      <c r="US3">
        <f>BDH("BBG016TKZM66 Equity","PX_LAST,PX_VOLUME","1/1/2020","6/10/2026")</f>
        <v/>
      </c>
      <c r="UW3">
        <f>BDH("BBG016TKZN91 Equity","PX_LAST,PX_VOLUME","1/1/2020","6/10/2026")</f>
        <v/>
      </c>
      <c r="VA3">
        <f>BDH("BBG016TKZPZ7 Equity","PX_LAST,PX_VOLUME","1/1/2020","6/10/2026")</f>
        <v/>
      </c>
      <c r="VE3">
        <f>BDH("BBG014D1VJ07 Equity","PX_LAST,PX_VOLUME","1/1/2020","6/10/2026")</f>
        <v/>
      </c>
      <c r="VI3">
        <f>BDH("BBG016TKZR29 Equity","PX_LAST,PX_VOLUME","1/1/2020","6/10/2026")</f>
        <v/>
      </c>
      <c r="VM3">
        <f>BDH("BBG016TKZS54 Equity","PX_LAST,PX_VOLUME","1/1/2020","6/10/2026")</f>
        <v/>
      </c>
      <c r="VQ3">
        <f>BDH("BBG016TKZTB5 Equity","PX_LAST,PX_VOLUME","1/1/2020","6/10/2026")</f>
        <v/>
      </c>
      <c r="VU3">
        <f>BDH("BBG016TKZVF6 Equity","PX_LAST,PX_VOLUME","1/1/2020","6/10/2026")</f>
        <v/>
      </c>
      <c r="VY3">
        <f>BDH("BBG016TKZWJ0 Equity","PX_LAST,PX_VOLUME","1/1/2020","6/10/2026")</f>
        <v/>
      </c>
      <c r="WC3">
        <f>BDH("BBG016TKZXQ0 Equity","PX_LAST,PX_VOLUME","1/1/2020","6/10/2026")</f>
        <v/>
      </c>
      <c r="WG3">
        <f>BDH("BBG016TKZYT5 Equity","PX_LAST,PX_VOLUME","1/1/2020","6/10/2026")</f>
        <v/>
      </c>
      <c r="WK3">
        <f>BDH("BBG016TKZZX7 Equity","PX_LAST,PX_VOLUME","1/1/2020","6/10/2026")</f>
        <v/>
      </c>
      <c r="WO3">
        <f>BDH("BBG016TL0122 Equity","PX_LAST,PX_VOLUME","1/1/2020","6/10/2026")</f>
        <v/>
      </c>
      <c r="WS3">
        <f>BDH("BBG01C5CKX96 Equity","PX_LAST,PX_VOLUME","1/1/2020","6/10/2026")</f>
        <v/>
      </c>
      <c r="WW3">
        <f>BDH("BBG00XBC1989 Equity","PX_LAST,PX_VOLUME","1/1/2020","6/10/2026")</f>
        <v/>
      </c>
      <c r="XA3">
        <f>BDH("BBG01C5CKYF7 Equity","PX_LAST,PX_VOLUME","1/1/2020","6/10/2026")</f>
        <v/>
      </c>
      <c r="XE3">
        <f>BDH("BBG01C5CKZJ0 Equity","PX_LAST,PX_VOLUME","1/1/2020","6/10/2026")</f>
        <v/>
      </c>
      <c r="XI3">
        <f>BDH("BBG01C5CL0M2 Equity","PX_LAST,PX_VOLUME","1/1/2020","6/10/2026")</f>
        <v/>
      </c>
      <c r="XM3">
        <f>BDH("BBG00XBC1BC9 Equity","PX_LAST,PX_VOLUME","1/1/2020","6/10/2026")</f>
        <v/>
      </c>
      <c r="XQ3">
        <f>BDH("BBG01C5CL1R5 Equity","PX_LAST,PX_VOLUME","1/1/2020","6/10/2026")</f>
        <v/>
      </c>
      <c r="XU3">
        <f>BDH("BBG01BL95J04 Equity","PX_LAST,PX_VOLUME","1/1/2020","6/10/2026")</f>
        <v/>
      </c>
      <c r="XY3">
        <f>BDH("BBG01C5CL2V8 Equity","PX_LAST,PX_VOLUME","1/1/2020","6/10/2026")</f>
        <v/>
      </c>
      <c r="YC3">
        <f>BDH("BBG00XBC1CG3 Equity","PX_LAST,PX_VOLUME","1/1/2020","6/10/2026")</f>
        <v/>
      </c>
      <c r="YG3">
        <f>BDH("BBG01C5CL3Y3 Equity","PX_LAST,PX_VOLUME","1/1/2020","6/10/2026")</f>
        <v/>
      </c>
      <c r="YK3">
        <f>BDH("BBG01C5CL523 Equity","PX_LAST,PX_VOLUME","1/1/2020","6/10/2026")</f>
        <v/>
      </c>
      <c r="YO3">
        <f>BDH("BBG00XBC1DL5 Equity","PX_LAST,PX_VOLUME","1/1/2020","6/10/2026")</f>
        <v/>
      </c>
      <c r="YS3">
        <f>BDH("BBG01C5CL658 Equity","PX_LAST,PX_VOLUME","1/1/2020","6/10/2026")</f>
        <v/>
      </c>
      <c r="YW3">
        <f>BDH("BBG00XBC1FP6 Equity","PX_LAST,PX_VOLUME","1/1/2020","6/10/2026")</f>
        <v/>
      </c>
      <c r="ZA3">
        <f>BDH("BBG01C5CL792 Equity","PX_LAST,PX_VOLUME","1/1/2020","6/10/2026")</f>
        <v/>
      </c>
      <c r="ZE3">
        <f>BDH("BBG00XBC1GS1 Equity","PX_LAST,PX_VOLUME","1/1/2020","6/10/2026")</f>
        <v/>
      </c>
      <c r="ZI3">
        <f>BDH("BBG01C5CL8D5 Equity","PX_LAST,PX_VOLUME","1/1/2020","6/10/2026")</f>
        <v/>
      </c>
      <c r="ZM3">
        <f>BDH("BBG01C5CL9H9 Equity","PX_LAST,PX_VOLUME","1/1/2020","6/10/2026")</f>
        <v/>
      </c>
      <c r="ZQ3">
        <f>BDH("BBG00XBC1HX3 Equity","PX_LAST,PX_VOLUME","1/1/2020","6/10/2026")</f>
        <v/>
      </c>
      <c r="ZU3">
        <f>BDH("BBG01C5CLBM8 Equity","PX_LAST,PX_VOLUME","1/1/2020","6/10/2026")</f>
        <v/>
      </c>
      <c r="ZY3">
        <f>BDH("BBG00XBC1K02 Equity","PX_LAST,PX_VOLUME","1/1/2020","6/10/2026")</f>
        <v/>
      </c>
      <c r="AAC3">
        <f>BDH("BBG01C5CLCQ2 Equity","PX_LAST,PX_VOLUME","1/1/2020","6/10/2026")</f>
        <v/>
      </c>
      <c r="AAG3">
        <f>BDH("BBG00XBC1L37 Equity","PX_LAST,PX_VOLUME","1/1/2020","6/10/2026")</f>
        <v/>
      </c>
      <c r="AAK3">
        <f>BDH("BBG01C5CLDT7 Equity","PX_LAST,PX_VOLUME","1/1/2020","6/10/2026")</f>
        <v/>
      </c>
      <c r="AAO3">
        <f>BDH("BBG01C5CLFY6 Equity","PX_LAST,PX_VOLUME","1/1/2020","6/10/2026")</f>
        <v/>
      </c>
      <c r="AAS3">
        <f>BDH("BBG00XBC1M71 Equity","PX_LAST,PX_VOLUME","1/1/2020","6/10/2026")</f>
        <v/>
      </c>
      <c r="AAW3">
        <f>BDH("BBG01C5CLH18 Equity","PX_LAST,PX_VOLUME","1/1/2020","6/10/2026")</f>
        <v/>
      </c>
      <c r="ABA3">
        <f>BDH("BBG00XBC1NB4 Equity","PX_LAST,PX_VOLUME","1/1/2020","6/10/2026")</f>
        <v/>
      </c>
      <c r="ABE3">
        <f>BDH("BBG01C5CLJ41 Equity","PX_LAST,PX_VOLUME","1/1/2020","6/10/2026")</f>
        <v/>
      </c>
      <c r="ABI3">
        <f>BDH("BBG00XBC1PF5 Equity","PX_LAST,PX_VOLUME","1/1/2020","6/10/2026")</f>
        <v/>
      </c>
      <c r="ABM3">
        <f>BDH("BBG01C5CLK84 Equity","PX_LAST,PX_VOLUME","1/1/2020","6/10/2026")</f>
        <v/>
      </c>
      <c r="ABQ3">
        <f>BDH("BBG01C5CLLC7 Equity","PX_LAST,PX_VOLUME","1/1/2020","6/10/2026")</f>
        <v/>
      </c>
      <c r="ABU3">
        <f>BDH("BBG00XBC1QK7 Equity","PX_LAST,PX_VOLUME","1/1/2020","6/10/2026")</f>
        <v/>
      </c>
      <c r="ABY3">
        <f>BDH("BBG01C5CLMG1 Equity","PX_LAST,PX_VOLUME","1/1/2020","6/10/2026")</f>
        <v/>
      </c>
      <c r="ACC3">
        <f>BDH("BBG00XBC1RN2 Equity","PX_LAST,PX_VOLUME","1/1/2020","6/10/2026")</f>
        <v/>
      </c>
      <c r="ACG3">
        <f>BDH("BBG01C5CLNL3 Equity","PX_LAST,PX_VOLUME","1/1/2020","6/10/2026")</f>
        <v/>
      </c>
      <c r="ACK3">
        <f>BDH("BBG00XBC1SR6 Equity","PX_LAST,PX_VOLUME","1/1/2020","6/10/2026")</f>
        <v/>
      </c>
      <c r="ACO3">
        <f>BDH("BBG01C5CLPP4 Equity","PX_LAST,PX_VOLUME","1/1/2020","6/10/2026")</f>
        <v/>
      </c>
      <c r="ACS3">
        <f>BDH("BBG00XBC1TW8 Equity","PX_LAST,PX_VOLUME","1/1/2020","6/10/2026")</f>
        <v/>
      </c>
      <c r="ACW3">
        <f>BDH("BBG00XBC1VZ0 Equity","PX_LAST,PX_VOLUME","1/1/2020","6/10/2026")</f>
        <v/>
      </c>
      <c r="ADA3">
        <f>BDH("BBG00XBC1X22 Equity","PX_LAST,PX_VOLUME","1/1/2020","6/10/2026")</f>
        <v/>
      </c>
      <c r="ADE3">
        <f>BDH("BBG00XBC1Y66 Equity","PX_LAST,PX_VOLUME","1/1/2020","6/10/2026")</f>
        <v/>
      </c>
      <c r="ADI3">
        <f>BDH("BBG00XBC1Z90 Equity","PX_LAST,PX_VOLUME","1/1/2020","6/10/2026")</f>
        <v/>
      </c>
      <c r="ADM3">
        <f>BDH("BBG00XBC20D1 Equity","PX_LAST,PX_VOLUME","1/1/2020","6/10/2026")</f>
        <v/>
      </c>
      <c r="ADQ3">
        <f>BDH("BBG01C5CLQS9 Equity","PX_LAST,PX_VOLUME","1/1/2020","6/10/2026")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BBG01C5CLRX1 Equity (TSLA US 01/20/23 P139)</t>
        </is>
      </c>
      <c r="E1" t="inlineStr">
        <is>
          <t>BBG00XBC21J3 Equity (TSLA US 01/20/23 P140)</t>
        </is>
      </c>
      <c r="I1" t="inlineStr">
        <is>
          <t>BBG01C5CLT03 Equity (TSLA US 01/20/23 P141)</t>
        </is>
      </c>
      <c r="M1" t="inlineStr">
        <is>
          <t>BBG01C5CLV35 Equity (TSLA US 01/20/23 P142)</t>
        </is>
      </c>
      <c r="Q1" t="inlineStr">
        <is>
          <t>BBG00XBC22M7 Equity (TSLA US 01/20/23 P143.33)</t>
        </is>
      </c>
      <c r="U1" t="inlineStr">
        <is>
          <t>BBG01BL95K38 Equity (TSLA US 01/20/23 P145)</t>
        </is>
      </c>
      <c r="Y1" t="inlineStr">
        <is>
          <t>BBG01C2SMQC3 Equity (TSLA US 01/20/23 P146)</t>
        </is>
      </c>
      <c r="AC1" t="inlineStr">
        <is>
          <t>BBG00XBC23Q1 Equity (TSLA US 01/20/23 P146.67)</t>
        </is>
      </c>
      <c r="AG1" t="inlineStr">
        <is>
          <t>BBG01C2SMRG7 Equity (TSLA US 01/20/23 P147)</t>
        </is>
      </c>
      <c r="AK1" t="inlineStr">
        <is>
          <t>BBG01C2SMSL9 Equity (TSLA US 01/20/23 P148)</t>
        </is>
      </c>
      <c r="AO1" t="inlineStr">
        <is>
          <t>BBG01C2SMTP3 Equity (TSLA US 01/20/23 P149)</t>
        </is>
      </c>
      <c r="AS1" t="inlineStr">
        <is>
          <t>BBG00XBC24V3 Equity (TSLA US 01/20/23 P150)</t>
        </is>
      </c>
      <c r="AW1" t="inlineStr">
        <is>
          <t>BBG01C2SMVS5 Equity (TSLA US 01/20/23 P152.5)</t>
        </is>
      </c>
      <c r="BA1" t="inlineStr">
        <is>
          <t>BBG00XBC25Y7 Equity (TSLA US 01/20/23 P153.33)</t>
        </is>
      </c>
      <c r="BE1" t="inlineStr">
        <is>
          <t>BBG01BL95L72 Equity (TSLA US 01/20/23 P155)</t>
        </is>
      </c>
      <c r="BI1" t="inlineStr">
        <is>
          <t>BBG00XBC2719 Equity (TSLA US 01/20/23 P156.67)</t>
        </is>
      </c>
      <c r="BM1" t="inlineStr">
        <is>
          <t>BBG01C2SMWX7 Equity (TSLA US 01/20/23 P157.5)</t>
        </is>
      </c>
      <c r="BQ1" t="inlineStr">
        <is>
          <t>BBG00XBC2853 Equity (TSLA US 01/20/23 P160)</t>
        </is>
      </c>
      <c r="BU1" t="inlineStr">
        <is>
          <t>BBG01BL95RS6 Equity (TSLA US 01/20/23 P195)</t>
        </is>
      </c>
      <c r="BY1" t="inlineStr">
        <is>
          <t>BBG00XBC2HX2 Equity (TSLA US 01/20/23 P200)</t>
        </is>
      </c>
      <c r="CC1" t="inlineStr">
        <is>
          <t>BBG00Z2QW355 Equity (TSLA US 01/20/23 P203.33)</t>
        </is>
      </c>
      <c r="CG1" t="inlineStr">
        <is>
          <t>BBG01BL95SX8 Equity (TSLA US 01/20/23 P205)</t>
        </is>
      </c>
      <c r="CK1" t="inlineStr">
        <is>
          <t>BBG00ZLDZZ86 Equity (TSLA US 01/20/23 P206.67)</t>
        </is>
      </c>
      <c r="CO1" t="inlineStr">
        <is>
          <t>BBG00ZLF00C1 Equity (TSLA US 01/20/23 P210)</t>
        </is>
      </c>
      <c r="CS1" t="inlineStr">
        <is>
          <t>BBG00ZLF01G5 Equity (TSLA US 01/20/23 P213.33)</t>
        </is>
      </c>
      <c r="CW1" t="inlineStr">
        <is>
          <t>BBG01BL95V07 Equity (TSLA US 01/20/23 P215)</t>
        </is>
      </c>
      <c r="DA1" t="inlineStr">
        <is>
          <t>BBG00XBC2K10 Equity (TSLA US 01/20/23 P216.67)</t>
        </is>
      </c>
      <c r="DE1" t="inlineStr">
        <is>
          <t>BBG00ZLF02M6 Equity (TSLA US 01/20/23 P220)</t>
        </is>
      </c>
      <c r="DI1" t="inlineStr">
        <is>
          <t>BBG00Y2M27D2 Equity (TSLA US 01/20/23 P223.33)</t>
        </is>
      </c>
      <c r="DM1" t="inlineStr">
        <is>
          <t>BBG01BL95W32 Equity (TSLA US 01/20/23 P225)</t>
        </is>
      </c>
      <c r="DQ1" t="inlineStr">
        <is>
          <t>BBG00Y2M28H6 Equity (TSLA US 01/20/23 P226.67)</t>
        </is>
      </c>
      <c r="DU1" t="inlineStr">
        <is>
          <t>BBG00Y2M29L9 Equity (TSLA US 01/20/23 P230)</t>
        </is>
      </c>
      <c r="DY1" t="inlineStr">
        <is>
          <t>BBG00XBC2L45 Equity (TSLA US 01/20/23 P233.33)</t>
        </is>
      </c>
      <c r="EC1" t="inlineStr">
        <is>
          <t>BBG01BL95X76 Equity (TSLA US 01/20/23 P235)</t>
        </is>
      </c>
      <c r="EG1" t="inlineStr">
        <is>
          <t>BBG00Y2M2BQ9 Equity (TSLA US 01/20/23 P236.67)</t>
        </is>
      </c>
      <c r="EK1" t="inlineStr">
        <is>
          <t>BBG00Y2M2CT4 Equity (TSLA US 01/20/23 P240)</t>
        </is>
      </c>
      <c r="EO1" t="inlineStr">
        <is>
          <t>BBG00Y2M2DX7 Equity (TSLA US 01/20/23 P243.33)</t>
        </is>
      </c>
      <c r="ES1" t="inlineStr">
        <is>
          <t>BBG01BL95YB9 Equity (TSLA US 01/20/23 P245)</t>
        </is>
      </c>
      <c r="EW1" t="inlineStr">
        <is>
          <t>BBG017FXHT02 Equity (TSLA US 01/20/23 P246.67)</t>
        </is>
      </c>
      <c r="FA1" t="inlineStr">
        <is>
          <t>BBG00XBC2M70 Equity (TSLA US 01/20/23 P250)</t>
        </is>
      </c>
      <c r="FE1" t="inlineStr">
        <is>
          <t>BBG017FXHVC4 Equity (TSLA US 01/20/23 P253.33)</t>
        </is>
      </c>
      <c r="FI1" t="inlineStr">
        <is>
          <t>BBG01BL95ZF2 Equity (TSLA US 01/20/23 P255)</t>
        </is>
      </c>
      <c r="FM1" t="inlineStr">
        <is>
          <t>BBG00XG5B2Z3 Equity (TSLA US 01/20/23 P256.67)</t>
        </is>
      </c>
      <c r="FQ1" t="inlineStr">
        <is>
          <t>BBG017FXHWG8 Equity (TSLA US 01/20/23 P260)</t>
        </is>
      </c>
      <c r="FU1" t="inlineStr">
        <is>
          <t>BBG01BL960K2 Equity (TSLA US 01/20/23 P265)</t>
        </is>
      </c>
      <c r="FY1" t="inlineStr">
        <is>
          <t>BBG00XG5B425 Equity (TSLA US 01/20/23 P266.67)</t>
        </is>
      </c>
      <c r="GC1" t="inlineStr">
        <is>
          <t>BBG01BL961N7 Equity (TSLA US 01/20/23 P270)</t>
        </is>
      </c>
      <c r="GG1" t="inlineStr">
        <is>
          <t>BBG017FXHXK1 Equity (TSLA US 01/20/23 P273.33)</t>
        </is>
      </c>
      <c r="GK1" t="inlineStr">
        <is>
          <t>BBG01BL962R1 Equity (TSLA US 01/20/23 P275)</t>
        </is>
      </c>
      <c r="GO1" t="inlineStr">
        <is>
          <t>BBG00XG5B559 Equity (TSLA US 01/20/23 P276.67)</t>
        </is>
      </c>
      <c r="GS1" t="inlineStr">
        <is>
          <t>BBG017FXHYV7 Equity (TSLA US 01/20/23 P280)</t>
        </is>
      </c>
      <c r="GW1" t="inlineStr">
        <is>
          <t>BBG00XG5B693 Equity (TSLA US 01/20/23 P283.33)</t>
        </is>
      </c>
      <c r="HA1" t="inlineStr">
        <is>
          <t>BBG01BL963W3 Equity (TSLA US 01/20/23 P285)</t>
        </is>
      </c>
      <c r="HE1" t="inlineStr">
        <is>
          <t>BBG017FXHZY1 Equity (TSLA US 01/20/23 P286.67)</t>
        </is>
      </c>
      <c r="HI1" t="inlineStr">
        <is>
          <t>BBG00XG5B7D6 Equity (TSLA US 01/20/23 P290)</t>
        </is>
      </c>
      <c r="HM1" t="inlineStr">
        <is>
          <t>BBG011KBMB82 Equity (TSLA US 01/20/23 P293.33)</t>
        </is>
      </c>
      <c r="HQ1" t="inlineStr">
        <is>
          <t>BBG01BL964Z8 Equity (TSLA US 01/20/23 P295)</t>
        </is>
      </c>
      <c r="HU1" t="inlineStr">
        <is>
          <t>BBG00XG5B8H0 Equity (TSLA US 01/20/23 P300)</t>
        </is>
      </c>
      <c r="HY1" t="inlineStr">
        <is>
          <t>BBG01BMRP7H9 Equity (TSLA US 01/20/23 P305)</t>
        </is>
      </c>
      <c r="IC1" t="inlineStr">
        <is>
          <t>BBG00Y9922J9 Equity (TSLA US 01/20/23 P306.67)</t>
        </is>
      </c>
      <c r="IG1" t="inlineStr">
        <is>
          <t>BBG01BMRP8L2 Equity (TSLA US 01/20/23 P310)</t>
        </is>
      </c>
      <c r="IK1" t="inlineStr">
        <is>
          <t>BBG00Y9923N2 Equity (TSLA US 01/20/23 P313.33)</t>
        </is>
      </c>
      <c r="IO1" t="inlineStr">
        <is>
          <t>BBG01BMRP9Q5 Equity (TSLA US 01/20/23 P315)</t>
        </is>
      </c>
      <c r="IS1" t="inlineStr">
        <is>
          <t>BBG019T60RL1 Equity (TSLA US 02/17/23 P100)</t>
        </is>
      </c>
      <c r="IW1" t="inlineStr">
        <is>
          <t>BBG019T60SP5 Equity (TSLA US 02/17/23 P105)</t>
        </is>
      </c>
      <c r="JA1" t="inlineStr">
        <is>
          <t>BBG019T60TS0 Equity (TSLA US 02/17/23 P110)</t>
        </is>
      </c>
      <c r="JE1" t="inlineStr">
        <is>
          <t>BBG019T60VX9 Equity (TSLA US 02/17/23 P115)</t>
        </is>
      </c>
      <c r="JI1" t="inlineStr">
        <is>
          <t>BBG019T60X01 Equity (TSLA US 02/17/23 P120)</t>
        </is>
      </c>
      <c r="JM1" t="inlineStr">
        <is>
          <t>BBG019T60Y36 Equity (TSLA US 02/17/23 P125)</t>
        </is>
      </c>
      <c r="JQ1" t="inlineStr">
        <is>
          <t>BBG019T60Z79 Equity (TSLA US 02/17/23 P130)</t>
        </is>
      </c>
      <c r="JU1" t="inlineStr">
        <is>
          <t>BBG019T610B0 Equity (TSLA US 02/17/23 P135)</t>
        </is>
      </c>
      <c r="JY1" t="inlineStr">
        <is>
          <t>BBG019T611F4 Equity (TSLA US 02/17/23 P140)</t>
        </is>
      </c>
      <c r="KC1" t="inlineStr">
        <is>
          <t>BBG019T612K6 Equity (TSLA US 02/17/23 P145)</t>
        </is>
      </c>
      <c r="KG1" t="inlineStr">
        <is>
          <t>BBG019T613N1 Equity (TSLA US 02/17/23 P150)</t>
        </is>
      </c>
      <c r="KK1" t="inlineStr">
        <is>
          <t>BBG019T614S4 Equity (TSLA US 02/17/23 P155)</t>
        </is>
      </c>
      <c r="KO1" t="inlineStr">
        <is>
          <t>BBG019T615W6 Equity (TSLA US 02/17/23 P160)</t>
        </is>
      </c>
      <c r="KS1" t="inlineStr">
        <is>
          <t>BBG019T61FM5 Equity (TSLA US 02/17/23 P195)</t>
        </is>
      </c>
      <c r="KW1" t="inlineStr">
        <is>
          <t>BBG019T61GR8 Equity (TSLA US 02/17/23 P200)</t>
        </is>
      </c>
      <c r="LA1" t="inlineStr">
        <is>
          <t>BBG019T61HV1 Equity (TSLA US 02/17/23 P205)</t>
        </is>
      </c>
      <c r="LE1" t="inlineStr">
        <is>
          <t>BBG019T61JY4 Equity (TSLA US 02/17/23 P210)</t>
        </is>
      </c>
      <c r="LI1" t="inlineStr">
        <is>
          <t>BBG019T61L24 Equity (TSLA US 02/17/23 P215)</t>
        </is>
      </c>
      <c r="LM1" t="inlineStr">
        <is>
          <t>BBG019T61M59 Equity (TSLA US 02/17/23 P220)</t>
        </is>
      </c>
      <c r="LQ1" t="inlineStr">
        <is>
          <t>BBG019T61N84 Equity (TSLA US 02/17/23 P225)</t>
        </is>
      </c>
      <c r="LU1" t="inlineStr">
        <is>
          <t>BBG019T61PD3 Equity (TSLA US 02/17/23 P230)</t>
        </is>
      </c>
      <c r="LY1" t="inlineStr">
        <is>
          <t>BBG019T61QH7 Equity (TSLA US 02/17/23 P235)</t>
        </is>
      </c>
      <c r="MC1" t="inlineStr">
        <is>
          <t>BBG019T61RL0 Equity (TSLA US 02/17/23 P240)</t>
        </is>
      </c>
      <c r="MG1" t="inlineStr">
        <is>
          <t>BBG019T61SQ3 Equity (TSLA US 02/17/23 P245)</t>
        </is>
      </c>
      <c r="MK1" t="inlineStr">
        <is>
          <t>BBG019T61TT8 Equity (TSLA US 02/17/23 P250)</t>
        </is>
      </c>
      <c r="MO1" t="inlineStr">
        <is>
          <t>BBG019T61VX8 Equity (TSLA US 02/17/23 P255)</t>
        </is>
      </c>
      <c r="MS1" t="inlineStr">
        <is>
          <t>BBG019T61X19 Equity (TSLA US 02/17/23 P260)</t>
        </is>
      </c>
      <c r="MW1" t="inlineStr">
        <is>
          <t>BBG019T61Y44 Equity (TSLA US 02/17/23 P265)</t>
        </is>
      </c>
      <c r="NA1" t="inlineStr">
        <is>
          <t>BBG019T61Z78 Equity (TSLA US 02/17/23 P270)</t>
        </is>
      </c>
      <c r="NE1" t="inlineStr">
        <is>
          <t>BBG019T620C8 Equity (TSLA US 02/17/23 P275)</t>
        </is>
      </c>
      <c r="NI1" t="inlineStr">
        <is>
          <t>BBG019T621G2 Equity (TSLA US 02/17/23 P280)</t>
        </is>
      </c>
      <c r="NM1" t="inlineStr">
        <is>
          <t>BBG019T622K5 Equity (TSLA US 02/17/23 P285)</t>
        </is>
      </c>
      <c r="NQ1" t="inlineStr">
        <is>
          <t>BBG019T623P8 Equity (TSLA US 02/17/23 P290)</t>
        </is>
      </c>
      <c r="NU1" t="inlineStr">
        <is>
          <t>BBG019T624S3 Equity (TSLA US 02/17/23 P295)</t>
        </is>
      </c>
      <c r="NY1" t="inlineStr">
        <is>
          <t>BBG019T625W5 Equity (TSLA US 02/17/23 P300)</t>
        </is>
      </c>
      <c r="OC1" t="inlineStr">
        <is>
          <t>BBG019T62706 Equity (TSLA US 02/17/23 P305)</t>
        </is>
      </c>
      <c r="OG1" t="inlineStr">
        <is>
          <t>BBG019T62831 Equity (TSLA US 02/17/23 P310)</t>
        </is>
      </c>
      <c r="OK1" t="inlineStr">
        <is>
          <t>BBG019T62975 Equity (TSLA US 02/17/23 P315)</t>
        </is>
      </c>
      <c r="OO1" t="inlineStr">
        <is>
          <t>BBG00YQ55Y23 Equity (TSLA US 03/17/23 P100)</t>
        </is>
      </c>
      <c r="OS1" t="inlineStr">
        <is>
          <t>BBG01C4RQFV2 Equity (TSLA US 03/17/23 P105)</t>
        </is>
      </c>
      <c r="OW1" t="inlineStr">
        <is>
          <t>BBG01C4RQGZ6 Equity (TSLA US 03/17/23 P110)</t>
        </is>
      </c>
      <c r="PA1" t="inlineStr">
        <is>
          <t>BBG01C4RQJ26 Equity (TSLA US 03/17/23 P115)</t>
        </is>
      </c>
      <c r="PE1" t="inlineStr">
        <is>
          <t>BBG00YQ55Z57 Equity (TSLA US 03/17/23 P116.67)</t>
        </is>
      </c>
      <c r="PI1" t="inlineStr">
        <is>
          <t>BBG01C4RQK50 Equity (TSLA US 03/17/23 P120)</t>
        </is>
      </c>
      <c r="PM1" t="inlineStr">
        <is>
          <t>BBG017FXJ5R3 Equity (TSLA US 03/17/23 P123.33)</t>
        </is>
      </c>
      <c r="PQ1" t="inlineStr">
        <is>
          <t>BBG01C4RQL94 Equity (TSLA US 03/17/23 P125)</t>
        </is>
      </c>
      <c r="PU1" t="inlineStr">
        <is>
          <t>BBG017FXJ6V6 Equity (TSLA US 03/17/23 P126.67)</t>
        </is>
      </c>
      <c r="PY1" t="inlineStr">
        <is>
          <t>BBG017FXJ833 Equity (TSLA US 03/17/23 P130)</t>
        </is>
      </c>
      <c r="QC1" t="inlineStr">
        <is>
          <t>BBG00YQ56099 Equity (TSLA US 03/17/23 P133.33)</t>
        </is>
      </c>
      <c r="QG1" t="inlineStr">
        <is>
          <t>BBG01C4RQMD7 Equity (TSLA US 03/17/23 P135)</t>
        </is>
      </c>
      <c r="QK1" t="inlineStr">
        <is>
          <t>BBG017FXJ968 Equity (TSLA US 03/17/23 P136.67)</t>
        </is>
      </c>
      <c r="QO1" t="inlineStr">
        <is>
          <t>BBG017FXJB90 Equity (TSLA US 03/17/23 P140)</t>
        </is>
      </c>
      <c r="QS1" t="inlineStr">
        <is>
          <t>BBG017FXJCG0 Equity (TSLA US 03/17/23 P143.33)</t>
        </is>
      </c>
      <c r="QW1" t="inlineStr">
        <is>
          <t>BBG01C4RQNH1 Equity (TSLA US 03/17/23 P145)</t>
        </is>
      </c>
      <c r="RA1" t="inlineStr">
        <is>
          <t>BBG017FXJDK3 Equity (TSLA US 03/17/23 P146.67)</t>
        </is>
      </c>
      <c r="RE1" t="inlineStr">
        <is>
          <t>BBG00YQ561D2 Equity (TSLA US 03/17/23 P150)</t>
        </is>
      </c>
      <c r="RI1" t="inlineStr">
        <is>
          <t>BBG017FXJFN5 Equity (TSLA US 03/17/23 P153.33)</t>
        </is>
      </c>
      <c r="RM1" t="inlineStr">
        <is>
          <t>BBG01C4RQPM0 Equity (TSLA US 03/17/23 P155)</t>
        </is>
      </c>
      <c r="RQ1" t="inlineStr">
        <is>
          <t>BBG017FXJGV4 Equity (TSLA US 03/17/23 P156.67)</t>
        </is>
      </c>
      <c r="RU1" t="inlineStr">
        <is>
          <t>BBG017FXJHY9 Equity (TSLA US 03/17/23 P160)</t>
        </is>
      </c>
      <c r="RY1" t="inlineStr">
        <is>
          <t>BBG01C4RQV10 Equity (TSLA US 03/17/23 P195)</t>
        </is>
      </c>
      <c r="SC1" t="inlineStr">
        <is>
          <t>BBG018WKNVM3 Equity (TSLA US 03/17/23 P196.67)</t>
        </is>
      </c>
      <c r="SG1" t="inlineStr">
        <is>
          <t>BBG018T194V5 Equity (TSLA US 03/17/23 P198.33)</t>
        </is>
      </c>
      <c r="SK1" t="inlineStr">
        <is>
          <t>BBG00YQ564Q2 Equity (TSLA US 03/17/23 P200)</t>
        </is>
      </c>
      <c r="SO1" t="inlineStr">
        <is>
          <t>BBG018T195Y9 Equity (TSLA US 03/17/23 P201.67)</t>
        </is>
      </c>
      <c r="SS1" t="inlineStr">
        <is>
          <t>BBG018T19711 Equity (TSLA US 03/17/23 P203.33)</t>
        </is>
      </c>
      <c r="SW1" t="inlineStr">
        <is>
          <t>BBG018T19855 Equity (TSLA US 03/17/23 P205)</t>
        </is>
      </c>
      <c r="TA1" t="inlineStr">
        <is>
          <t>BBG017FXJPM4 Equity (TSLA US 03/17/23 P206.67)</t>
        </is>
      </c>
      <c r="TE1" t="inlineStr">
        <is>
          <t>BBG018T19980 Equity (TSLA US 03/17/23 P208.33)</t>
        </is>
      </c>
      <c r="TI1" t="inlineStr">
        <is>
          <t>BBG018T19BC0 Equity (TSLA US 03/17/23 P210)</t>
        </is>
      </c>
      <c r="TM1" t="inlineStr">
        <is>
          <t>BBG018T19CH3 Equity (TSLA US 03/17/23 P211.67)</t>
        </is>
      </c>
      <c r="TQ1" t="inlineStr">
        <is>
          <t>BBG017FXJQQ8 Equity (TSLA US 03/17/23 P213.33)</t>
        </is>
      </c>
      <c r="TU1" t="inlineStr">
        <is>
          <t>BBG018T19DL6 Equity (TSLA US 03/17/23 P215)</t>
        </is>
      </c>
      <c r="TY1" t="inlineStr">
        <is>
          <t>BBG00YQ565T6 Equity (TSLA US 03/17/23 P216.67)</t>
        </is>
      </c>
      <c r="UC1" t="inlineStr">
        <is>
          <t>BBG018T19FP7 Equity (TSLA US 03/17/23 P218.33)</t>
        </is>
      </c>
      <c r="UG1" t="inlineStr">
        <is>
          <t>BBG017FXJRT3 Equity (TSLA US 03/17/23 P220)</t>
        </is>
      </c>
      <c r="UK1" t="inlineStr">
        <is>
          <t>BBG018T19GT1 Equity (TSLA US 03/17/23 P221.67)</t>
        </is>
      </c>
      <c r="UO1" t="inlineStr">
        <is>
          <t>BBG018T19HX4 Equity (TSLA US 03/17/23 P223.33)</t>
        </is>
      </c>
      <c r="US1" t="inlineStr">
        <is>
          <t>BBG018T19K03 Equity (TSLA US 03/17/23 P225)</t>
        </is>
      </c>
      <c r="UW1" t="inlineStr">
        <is>
          <t>BBG017FXJT19 Equity (TSLA US 03/17/23 P226.67)</t>
        </is>
      </c>
      <c r="VA1" t="inlineStr">
        <is>
          <t>BBG018T19L47 Equity (TSLA US 03/17/23 P228.33)</t>
        </is>
      </c>
      <c r="VE1" t="inlineStr">
        <is>
          <t>BBG018T19M72 Equity (TSLA US 03/17/23 P230)</t>
        </is>
      </c>
      <c r="VI1" t="inlineStr">
        <is>
          <t>BBG018T19NB5 Equity (TSLA US 03/17/23 P231.67)</t>
        </is>
      </c>
      <c r="VM1" t="inlineStr">
        <is>
          <t>BBG00YQ566Y8 Equity (TSLA US 03/17/23 P233.33)</t>
        </is>
      </c>
      <c r="VQ1" t="inlineStr">
        <is>
          <t>BBG018T19PH4 Equity (TSLA US 03/17/23 P235)</t>
        </is>
      </c>
      <c r="VU1" t="inlineStr">
        <is>
          <t>BBG018T19QL7 Equity (TSLA US 03/17/23 P236.67)</t>
        </is>
      </c>
      <c r="VY1" t="inlineStr">
        <is>
          <t>BBG018T19RS8 Equity (TSLA US 03/17/23 P238.33)</t>
        </is>
      </c>
      <c r="WC1" t="inlineStr">
        <is>
          <t>BBG017FXJV41 Equity (TSLA US 03/17/23 P240)</t>
        </is>
      </c>
      <c r="WG1" t="inlineStr">
        <is>
          <t>BBG018T19SW1 Equity (TSLA US 03/17/23 P241.67)</t>
        </is>
      </c>
      <c r="WK1" t="inlineStr">
        <is>
          <t>BBG011KBMDH8 Equity (TSLA US 03/17/23 P243.33)</t>
        </is>
      </c>
      <c r="WO1" t="inlineStr">
        <is>
          <t>BBG018T19TZ6 Equity (TSLA US 03/17/23 P245)</t>
        </is>
      </c>
      <c r="WS1" t="inlineStr">
        <is>
          <t>BBG017FXJW76 Equity (TSLA US 03/17/23 P246.67)</t>
        </is>
      </c>
      <c r="WW1" t="inlineStr">
        <is>
          <t>BBG018T19W34 Equity (TSLA US 03/17/23 P248.33)</t>
        </is>
      </c>
      <c r="XA1" t="inlineStr">
        <is>
          <t>BBG00YQ56810 Equity (TSLA US 03/17/23 P250)</t>
        </is>
      </c>
      <c r="XE1" t="inlineStr">
        <is>
          <t>BBG018T19X69 Equity (TSLA US 03/17/23 P251.67)</t>
        </is>
      </c>
      <c r="XI1" t="inlineStr">
        <is>
          <t>BBG017FXJXF5 Equity (TSLA US 03/17/23 P253.33)</t>
        </is>
      </c>
      <c r="XM1" t="inlineStr">
        <is>
          <t>BBG018T19Y94 Equity (TSLA US 03/17/23 P255)</t>
        </is>
      </c>
      <c r="XQ1" t="inlineStr">
        <is>
          <t>BBG018T19ZF4 Equity (TSLA US 03/17/23 P256.67)</t>
        </is>
      </c>
      <c r="XU1" t="inlineStr">
        <is>
          <t>BBG018T1B0J4 Equity (TSLA US 03/17/23 P258.33)</t>
        </is>
      </c>
      <c r="XY1" t="inlineStr">
        <is>
          <t>BBG017FXJYJ9 Equity (TSLA US 03/17/23 P260)</t>
        </is>
      </c>
      <c r="YC1" t="inlineStr">
        <is>
          <t>BBG018T1B1M8 Equity (TSLA US 03/17/23 P261.67)</t>
        </is>
      </c>
      <c r="YG1" t="inlineStr">
        <is>
          <t>BBG018T1B2V6 Equity (TSLA US 03/17/23 P263.33)</t>
        </is>
      </c>
      <c r="YK1" t="inlineStr">
        <is>
          <t>BBG018T1B3Y1 Equity (TSLA US 03/17/23 P265)</t>
        </is>
      </c>
      <c r="YO1" t="inlineStr">
        <is>
          <t>BBG00YQ56945 Equity (TSLA US 03/17/23 P266.67)</t>
        </is>
      </c>
      <c r="YS1" t="inlineStr">
        <is>
          <t>BBG018WKNWQ7 Equity (TSLA US 03/17/23 P270)</t>
        </is>
      </c>
      <c r="YW1" t="inlineStr">
        <is>
          <t>BBG017FXJZM2 Equity (TSLA US 03/17/23 P273.33)</t>
        </is>
      </c>
      <c r="ZA1" t="inlineStr">
        <is>
          <t>BBG018WKNXT2 Equity (TSLA US 03/17/23 P276.67)</t>
        </is>
      </c>
      <c r="ZE1" t="inlineStr">
        <is>
          <t>BBG017FXK0V7 Equity (TSLA US 03/17/23 P280)</t>
        </is>
      </c>
      <c r="ZI1" t="inlineStr">
        <is>
          <t>BBG00YQ56B86 Equity (TSLA US 03/17/23 P283.33)</t>
        </is>
      </c>
      <c r="ZM1" t="inlineStr">
        <is>
          <t>BBG017FXK1Y2 Equity (TSLA US 03/17/23 P286.67)</t>
        </is>
      </c>
      <c r="ZQ1" t="inlineStr">
        <is>
          <t>BBG018WKNZ08 Equity (TSLA US 03/17/23 P290)</t>
        </is>
      </c>
      <c r="ZU1" t="inlineStr">
        <is>
          <t>BBG011KBMFL8 Equity (TSLA US 03/17/23 P293.33)</t>
        </is>
      </c>
      <c r="ZY1" t="inlineStr">
        <is>
          <t>BBG018WKP030 Equity (TSLA US 03/17/23 P295)</t>
        </is>
      </c>
      <c r="AAC1" t="inlineStr">
        <is>
          <t>BBG018WKP165 Equity (TSLA US 03/17/23 P296.67)</t>
        </is>
      </c>
      <c r="AAG1" t="inlineStr">
        <is>
          <t>BBG018WKP2B7 Equity (TSLA US 03/17/23 P298.33)</t>
        </is>
      </c>
      <c r="AAK1" t="inlineStr">
        <is>
          <t>BBG00YQ56CC9 Equity (TSLA US 03/17/23 P300)</t>
        </is>
      </c>
      <c r="AAO1" t="inlineStr">
        <is>
          <t>BBG018WKP3F1 Equity (TSLA US 03/17/23 P301.67)</t>
        </is>
      </c>
      <c r="AAS1" t="inlineStr">
        <is>
          <t>BBG018WKP4J5 Equity (TSLA US 03/17/23 P303.33)</t>
        </is>
      </c>
      <c r="AAW1" t="inlineStr">
        <is>
          <t>BBG018WKP5N7 Equity (TSLA US 03/17/23 P305)</t>
        </is>
      </c>
      <c r="ABA1" t="inlineStr">
        <is>
          <t>BBG017FXK314 Equity (TSLA US 03/17/23 P306.67)</t>
        </is>
      </c>
      <c r="ABE1" t="inlineStr">
        <is>
          <t>BBG018WKP6R1 Equity (TSLA US 03/17/23 P308.33)</t>
        </is>
      </c>
      <c r="ABI1" t="inlineStr">
        <is>
          <t>BBG018WKP7V4 Equity (TSLA US 03/17/23 P310)</t>
        </is>
      </c>
      <c r="ABM1" t="inlineStr">
        <is>
          <t>BBG018WKP904 Equity (TSLA US 03/17/23 P311.67)</t>
        </is>
      </c>
      <c r="ABQ1" t="inlineStr">
        <is>
          <t>BBG017FXK476 Equity (TSLA US 03/17/23 P313.33)</t>
        </is>
      </c>
      <c r="ABU1" t="inlineStr">
        <is>
          <t>BBG018XPQ8H5 Equity (TSLA US 04/21/23 P100)</t>
        </is>
      </c>
      <c r="ABY1" t="inlineStr">
        <is>
          <t>BBG01C5CLW79 Equity (TSLA US 04/21/23 P105)</t>
        </is>
      </c>
      <c r="ACC1" t="inlineStr">
        <is>
          <t>BBG018XPQ9L8 Equity (TSLA US 04/21/23 P108.33)</t>
        </is>
      </c>
      <c r="ACG1" t="inlineStr">
        <is>
          <t>BBG01C5CLXB2 Equity (TSLA US 04/21/23 P110)</t>
        </is>
      </c>
      <c r="ACK1" t="inlineStr">
        <is>
          <t>BBG01C5CLYF6 Equity (TSLA US 04/21/23 P115)</t>
        </is>
      </c>
      <c r="ACO1" t="inlineStr">
        <is>
          <t>BBG018XPQBP9 Equity (TSLA US 04/21/23 P116.67)</t>
        </is>
      </c>
      <c r="ACS1" t="inlineStr">
        <is>
          <t>BBG01C5CLZK7 Equity (TSLA US 04/21/23 P120)</t>
        </is>
      </c>
      <c r="ACW1" t="inlineStr">
        <is>
          <t>BBG018XPQCT3 Equity (TSLA US 04/21/23 P125)</t>
        </is>
      </c>
      <c r="ADA1" t="inlineStr">
        <is>
          <t>BBG01C5CM0N0 Equity (TSLA US 04/21/23 P130)</t>
        </is>
      </c>
      <c r="ADE1" t="inlineStr">
        <is>
          <t>BBG018XPQDX6 Equity (TSLA US 04/21/23 P133.33)</t>
        </is>
      </c>
      <c r="ADI1" t="inlineStr">
        <is>
          <t>BBG01C5CM1R4 Equity (TSLA US 04/21/23 P135)</t>
        </is>
      </c>
      <c r="ADM1" t="inlineStr">
        <is>
          <t>BBG01C5CM2W6 Equity (TSLA US 04/21/23 P140)</t>
        </is>
      </c>
      <c r="ADQ1" t="inlineStr">
        <is>
          <t>BBG018XPQG05 Equity (TSLA US 04/21/23 P141.67)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BDH("BBG01C5CLRX1 Equity","PX_LAST,PX_VOLUME","1/1/2020","6/10/2026")</f>
        <v/>
      </c>
      <c r="E3">
        <f>BDH("BBG00XBC21J3 Equity","PX_LAST,PX_VOLUME","1/1/2020","6/10/2026")</f>
        <v/>
      </c>
      <c r="I3">
        <f>BDH("BBG01C5CLT03 Equity","PX_LAST,PX_VOLUME","1/1/2020","6/10/2026")</f>
        <v/>
      </c>
      <c r="M3">
        <f>BDH("BBG01C5CLV35 Equity","PX_LAST,PX_VOLUME","1/1/2020","6/10/2026")</f>
        <v/>
      </c>
      <c r="Q3">
        <f>BDH("BBG00XBC22M7 Equity","PX_LAST,PX_VOLUME","1/1/2020","6/10/2026")</f>
        <v/>
      </c>
      <c r="U3">
        <f>BDH("BBG01BL95K38 Equity","PX_LAST,PX_VOLUME","1/1/2020","6/10/2026")</f>
        <v/>
      </c>
      <c r="Y3">
        <f>BDH("BBG01C2SMQC3 Equity","PX_LAST,PX_VOLUME","1/1/2020","6/10/2026")</f>
        <v/>
      </c>
      <c r="AC3">
        <f>BDH("BBG00XBC23Q1 Equity","PX_LAST,PX_VOLUME","1/1/2020","6/10/2026")</f>
        <v/>
      </c>
      <c r="AG3">
        <f>BDH("BBG01C2SMRG7 Equity","PX_LAST,PX_VOLUME","1/1/2020","6/10/2026")</f>
        <v/>
      </c>
      <c r="AK3">
        <f>BDH("BBG01C2SMSL9 Equity","PX_LAST,PX_VOLUME","1/1/2020","6/10/2026")</f>
        <v/>
      </c>
      <c r="AO3">
        <f>BDH("BBG01C2SMTP3 Equity","PX_LAST,PX_VOLUME","1/1/2020","6/10/2026")</f>
        <v/>
      </c>
      <c r="AS3">
        <f>BDH("BBG00XBC24V3 Equity","PX_LAST,PX_VOLUME","1/1/2020","6/10/2026")</f>
        <v/>
      </c>
      <c r="AW3">
        <f>BDH("BBG01C2SMVS5 Equity","PX_LAST,PX_VOLUME","1/1/2020","6/10/2026")</f>
        <v/>
      </c>
      <c r="BA3">
        <f>BDH("BBG00XBC25Y7 Equity","PX_LAST,PX_VOLUME","1/1/2020","6/10/2026")</f>
        <v/>
      </c>
      <c r="BE3">
        <f>BDH("BBG01BL95L72 Equity","PX_LAST,PX_VOLUME","1/1/2020","6/10/2026")</f>
        <v/>
      </c>
      <c r="BI3">
        <f>BDH("BBG00XBC2719 Equity","PX_LAST,PX_VOLUME","1/1/2020","6/10/2026")</f>
        <v/>
      </c>
      <c r="BM3">
        <f>BDH("BBG01C2SMWX7 Equity","PX_LAST,PX_VOLUME","1/1/2020","6/10/2026")</f>
        <v/>
      </c>
      <c r="BQ3">
        <f>BDH("BBG00XBC2853 Equity","PX_LAST,PX_VOLUME","1/1/2020","6/10/2026")</f>
        <v/>
      </c>
      <c r="BU3">
        <f>BDH("BBG01BL95RS6 Equity","PX_LAST,PX_VOLUME","1/1/2020","6/10/2026")</f>
        <v/>
      </c>
      <c r="BY3">
        <f>BDH("BBG00XBC2HX2 Equity","PX_LAST,PX_VOLUME","1/1/2020","6/10/2026")</f>
        <v/>
      </c>
      <c r="CC3">
        <f>BDH("BBG00Z2QW355 Equity","PX_LAST,PX_VOLUME","1/1/2020","6/10/2026")</f>
        <v/>
      </c>
      <c r="CG3">
        <f>BDH("BBG01BL95SX8 Equity","PX_LAST,PX_VOLUME","1/1/2020","6/10/2026")</f>
        <v/>
      </c>
      <c r="CK3">
        <f>BDH("BBG00ZLDZZ86 Equity","PX_LAST,PX_VOLUME","1/1/2020","6/10/2026")</f>
        <v/>
      </c>
      <c r="CO3">
        <f>BDH("BBG00ZLF00C1 Equity","PX_LAST,PX_VOLUME","1/1/2020","6/10/2026")</f>
        <v/>
      </c>
      <c r="CS3">
        <f>BDH("BBG00ZLF01G5 Equity","PX_LAST,PX_VOLUME","1/1/2020","6/10/2026")</f>
        <v/>
      </c>
      <c r="CW3">
        <f>BDH("BBG01BL95V07 Equity","PX_LAST,PX_VOLUME","1/1/2020","6/10/2026")</f>
        <v/>
      </c>
      <c r="DA3">
        <f>BDH("BBG00XBC2K10 Equity","PX_LAST,PX_VOLUME","1/1/2020","6/10/2026")</f>
        <v/>
      </c>
      <c r="DE3">
        <f>BDH("BBG00ZLF02M6 Equity","PX_LAST,PX_VOLUME","1/1/2020","6/10/2026")</f>
        <v/>
      </c>
      <c r="DI3">
        <f>BDH("BBG00Y2M27D2 Equity","PX_LAST,PX_VOLUME","1/1/2020","6/10/2026")</f>
        <v/>
      </c>
      <c r="DM3">
        <f>BDH("BBG01BL95W32 Equity","PX_LAST,PX_VOLUME","1/1/2020","6/10/2026")</f>
        <v/>
      </c>
      <c r="DQ3">
        <f>BDH("BBG00Y2M28H6 Equity","PX_LAST,PX_VOLUME","1/1/2020","6/10/2026")</f>
        <v/>
      </c>
      <c r="DU3">
        <f>BDH("BBG00Y2M29L9 Equity","PX_LAST,PX_VOLUME","1/1/2020","6/10/2026")</f>
        <v/>
      </c>
      <c r="DY3">
        <f>BDH("BBG00XBC2L45 Equity","PX_LAST,PX_VOLUME","1/1/2020","6/10/2026")</f>
        <v/>
      </c>
      <c r="EC3">
        <f>BDH("BBG01BL95X76 Equity","PX_LAST,PX_VOLUME","1/1/2020","6/10/2026")</f>
        <v/>
      </c>
      <c r="EG3">
        <f>BDH("BBG00Y2M2BQ9 Equity","PX_LAST,PX_VOLUME","1/1/2020","6/10/2026")</f>
        <v/>
      </c>
      <c r="EK3">
        <f>BDH("BBG00Y2M2CT4 Equity","PX_LAST,PX_VOLUME","1/1/2020","6/10/2026")</f>
        <v/>
      </c>
      <c r="EO3">
        <f>BDH("BBG00Y2M2DX7 Equity","PX_LAST,PX_VOLUME","1/1/2020","6/10/2026")</f>
        <v/>
      </c>
      <c r="ES3">
        <f>BDH("BBG01BL95YB9 Equity","PX_LAST,PX_VOLUME","1/1/2020","6/10/2026")</f>
        <v/>
      </c>
      <c r="EW3">
        <f>BDH("BBG017FXHT02 Equity","PX_LAST,PX_VOLUME","1/1/2020","6/10/2026")</f>
        <v/>
      </c>
      <c r="FA3">
        <f>BDH("BBG00XBC2M70 Equity","PX_LAST,PX_VOLUME","1/1/2020","6/10/2026")</f>
        <v/>
      </c>
      <c r="FE3">
        <f>BDH("BBG017FXHVC4 Equity","PX_LAST,PX_VOLUME","1/1/2020","6/10/2026")</f>
        <v/>
      </c>
      <c r="FI3">
        <f>BDH("BBG01BL95ZF2 Equity","PX_LAST,PX_VOLUME","1/1/2020","6/10/2026")</f>
        <v/>
      </c>
      <c r="FM3">
        <f>BDH("BBG00XG5B2Z3 Equity","PX_LAST,PX_VOLUME","1/1/2020","6/10/2026")</f>
        <v/>
      </c>
      <c r="FQ3">
        <f>BDH("BBG017FXHWG8 Equity","PX_LAST,PX_VOLUME","1/1/2020","6/10/2026")</f>
        <v/>
      </c>
      <c r="FU3">
        <f>BDH("BBG01BL960K2 Equity","PX_LAST,PX_VOLUME","1/1/2020","6/10/2026")</f>
        <v/>
      </c>
      <c r="FY3">
        <f>BDH("BBG00XG5B425 Equity","PX_LAST,PX_VOLUME","1/1/2020","6/10/2026")</f>
        <v/>
      </c>
      <c r="GC3">
        <f>BDH("BBG01BL961N7 Equity","PX_LAST,PX_VOLUME","1/1/2020","6/10/2026")</f>
        <v/>
      </c>
      <c r="GG3">
        <f>BDH("BBG017FXHXK1 Equity","PX_LAST,PX_VOLUME","1/1/2020","6/10/2026")</f>
        <v/>
      </c>
      <c r="GK3">
        <f>BDH("BBG01BL962R1 Equity","PX_LAST,PX_VOLUME","1/1/2020","6/10/2026")</f>
        <v/>
      </c>
      <c r="GO3">
        <f>BDH("BBG00XG5B559 Equity","PX_LAST,PX_VOLUME","1/1/2020","6/10/2026")</f>
        <v/>
      </c>
      <c r="GS3">
        <f>BDH("BBG017FXHYV7 Equity","PX_LAST,PX_VOLUME","1/1/2020","6/10/2026")</f>
        <v/>
      </c>
      <c r="GW3">
        <f>BDH("BBG00XG5B693 Equity","PX_LAST,PX_VOLUME","1/1/2020","6/10/2026")</f>
        <v/>
      </c>
      <c r="HA3">
        <f>BDH("BBG01BL963W3 Equity","PX_LAST,PX_VOLUME","1/1/2020","6/10/2026")</f>
        <v/>
      </c>
      <c r="HE3">
        <f>BDH("BBG017FXHZY1 Equity","PX_LAST,PX_VOLUME","1/1/2020","6/10/2026")</f>
        <v/>
      </c>
      <c r="HI3">
        <f>BDH("BBG00XG5B7D6 Equity","PX_LAST,PX_VOLUME","1/1/2020","6/10/2026")</f>
        <v/>
      </c>
      <c r="HM3">
        <f>BDH("BBG011KBMB82 Equity","PX_LAST,PX_VOLUME","1/1/2020","6/10/2026")</f>
        <v/>
      </c>
      <c r="HQ3">
        <f>BDH("BBG01BL964Z8 Equity","PX_LAST,PX_VOLUME","1/1/2020","6/10/2026")</f>
        <v/>
      </c>
      <c r="HU3">
        <f>BDH("BBG00XG5B8H0 Equity","PX_LAST,PX_VOLUME","1/1/2020","6/10/2026")</f>
        <v/>
      </c>
      <c r="HY3">
        <f>BDH("BBG01BMRP7H9 Equity","PX_LAST,PX_VOLUME","1/1/2020","6/10/2026")</f>
        <v/>
      </c>
      <c r="IC3">
        <f>BDH("BBG00Y9922J9 Equity","PX_LAST,PX_VOLUME","1/1/2020","6/10/2026")</f>
        <v/>
      </c>
      <c r="IG3">
        <f>BDH("BBG01BMRP8L2 Equity","PX_LAST,PX_VOLUME","1/1/2020","6/10/2026")</f>
        <v/>
      </c>
      <c r="IK3">
        <f>BDH("BBG00Y9923N2 Equity","PX_LAST,PX_VOLUME","1/1/2020","6/10/2026")</f>
        <v/>
      </c>
      <c r="IO3">
        <f>BDH("BBG01BMRP9Q5 Equity","PX_LAST,PX_VOLUME","1/1/2020","6/10/2026")</f>
        <v/>
      </c>
      <c r="IS3">
        <f>BDH("BBG019T60RL1 Equity","PX_LAST,PX_VOLUME","1/1/2020","6/10/2026")</f>
        <v/>
      </c>
      <c r="IW3">
        <f>BDH("BBG019T60SP5 Equity","PX_LAST,PX_VOLUME","1/1/2020","6/10/2026")</f>
        <v/>
      </c>
      <c r="JA3">
        <f>BDH("BBG019T60TS0 Equity","PX_LAST,PX_VOLUME","1/1/2020","6/10/2026")</f>
        <v/>
      </c>
      <c r="JE3">
        <f>BDH("BBG019T60VX9 Equity","PX_LAST,PX_VOLUME","1/1/2020","6/10/2026")</f>
        <v/>
      </c>
      <c r="JI3">
        <f>BDH("BBG019T60X01 Equity","PX_LAST,PX_VOLUME","1/1/2020","6/10/2026")</f>
        <v/>
      </c>
      <c r="JM3">
        <f>BDH("BBG019T60Y36 Equity","PX_LAST,PX_VOLUME","1/1/2020","6/10/2026")</f>
        <v/>
      </c>
      <c r="JQ3">
        <f>BDH("BBG019T60Z79 Equity","PX_LAST,PX_VOLUME","1/1/2020","6/10/2026")</f>
        <v/>
      </c>
      <c r="JU3">
        <f>BDH("BBG019T610B0 Equity","PX_LAST,PX_VOLUME","1/1/2020","6/10/2026")</f>
        <v/>
      </c>
      <c r="JY3">
        <f>BDH("BBG019T611F4 Equity","PX_LAST,PX_VOLUME","1/1/2020","6/10/2026")</f>
        <v/>
      </c>
      <c r="KC3">
        <f>BDH("BBG019T612K6 Equity","PX_LAST,PX_VOLUME","1/1/2020","6/10/2026")</f>
        <v/>
      </c>
      <c r="KG3">
        <f>BDH("BBG019T613N1 Equity","PX_LAST,PX_VOLUME","1/1/2020","6/10/2026")</f>
        <v/>
      </c>
      <c r="KK3">
        <f>BDH("BBG019T614S4 Equity","PX_LAST,PX_VOLUME","1/1/2020","6/10/2026")</f>
        <v/>
      </c>
      <c r="KO3">
        <f>BDH("BBG019T615W6 Equity","PX_LAST,PX_VOLUME","1/1/2020","6/10/2026")</f>
        <v/>
      </c>
      <c r="KS3">
        <f>BDH("BBG019T61FM5 Equity","PX_LAST,PX_VOLUME","1/1/2020","6/10/2026")</f>
        <v/>
      </c>
      <c r="KW3">
        <f>BDH("BBG019T61GR8 Equity","PX_LAST,PX_VOLUME","1/1/2020","6/10/2026")</f>
        <v/>
      </c>
      <c r="LA3">
        <f>BDH("BBG019T61HV1 Equity","PX_LAST,PX_VOLUME","1/1/2020","6/10/2026")</f>
        <v/>
      </c>
      <c r="LE3">
        <f>BDH("BBG019T61JY4 Equity","PX_LAST,PX_VOLUME","1/1/2020","6/10/2026")</f>
        <v/>
      </c>
      <c r="LI3">
        <f>BDH("BBG019T61L24 Equity","PX_LAST,PX_VOLUME","1/1/2020","6/10/2026")</f>
        <v/>
      </c>
      <c r="LM3">
        <f>BDH("BBG019T61M59 Equity","PX_LAST,PX_VOLUME","1/1/2020","6/10/2026")</f>
        <v/>
      </c>
      <c r="LQ3">
        <f>BDH("BBG019T61N84 Equity","PX_LAST,PX_VOLUME","1/1/2020","6/10/2026")</f>
        <v/>
      </c>
      <c r="LU3">
        <f>BDH("BBG019T61PD3 Equity","PX_LAST,PX_VOLUME","1/1/2020","6/10/2026")</f>
        <v/>
      </c>
      <c r="LY3">
        <f>BDH("BBG019T61QH7 Equity","PX_LAST,PX_VOLUME","1/1/2020","6/10/2026")</f>
        <v/>
      </c>
      <c r="MC3">
        <f>BDH("BBG019T61RL0 Equity","PX_LAST,PX_VOLUME","1/1/2020","6/10/2026")</f>
        <v/>
      </c>
      <c r="MG3">
        <f>BDH("BBG019T61SQ3 Equity","PX_LAST,PX_VOLUME","1/1/2020","6/10/2026")</f>
        <v/>
      </c>
      <c r="MK3">
        <f>BDH("BBG019T61TT8 Equity","PX_LAST,PX_VOLUME","1/1/2020","6/10/2026")</f>
        <v/>
      </c>
      <c r="MO3">
        <f>BDH("BBG019T61VX8 Equity","PX_LAST,PX_VOLUME","1/1/2020","6/10/2026")</f>
        <v/>
      </c>
      <c r="MS3">
        <f>BDH("BBG019T61X19 Equity","PX_LAST,PX_VOLUME","1/1/2020","6/10/2026")</f>
        <v/>
      </c>
      <c r="MW3">
        <f>BDH("BBG019T61Y44 Equity","PX_LAST,PX_VOLUME","1/1/2020","6/10/2026")</f>
        <v/>
      </c>
      <c r="NA3">
        <f>BDH("BBG019T61Z78 Equity","PX_LAST,PX_VOLUME","1/1/2020","6/10/2026")</f>
        <v/>
      </c>
      <c r="NE3">
        <f>BDH("BBG019T620C8 Equity","PX_LAST,PX_VOLUME","1/1/2020","6/10/2026")</f>
        <v/>
      </c>
      <c r="NI3">
        <f>BDH("BBG019T621G2 Equity","PX_LAST,PX_VOLUME","1/1/2020","6/10/2026")</f>
        <v/>
      </c>
      <c r="NM3">
        <f>BDH("BBG019T622K5 Equity","PX_LAST,PX_VOLUME","1/1/2020","6/10/2026")</f>
        <v/>
      </c>
      <c r="NQ3">
        <f>BDH("BBG019T623P8 Equity","PX_LAST,PX_VOLUME","1/1/2020","6/10/2026")</f>
        <v/>
      </c>
      <c r="NU3">
        <f>BDH("BBG019T624S3 Equity","PX_LAST,PX_VOLUME","1/1/2020","6/10/2026")</f>
        <v/>
      </c>
      <c r="NY3">
        <f>BDH("BBG019T625W5 Equity","PX_LAST,PX_VOLUME","1/1/2020","6/10/2026")</f>
        <v/>
      </c>
      <c r="OC3">
        <f>BDH("BBG019T62706 Equity","PX_LAST,PX_VOLUME","1/1/2020","6/10/2026")</f>
        <v/>
      </c>
      <c r="OG3">
        <f>BDH("BBG019T62831 Equity","PX_LAST,PX_VOLUME","1/1/2020","6/10/2026")</f>
        <v/>
      </c>
      <c r="OK3">
        <f>BDH("BBG019T62975 Equity","PX_LAST,PX_VOLUME","1/1/2020","6/10/2026")</f>
        <v/>
      </c>
      <c r="OO3">
        <f>BDH("BBG00YQ55Y23 Equity","PX_LAST,PX_VOLUME","1/1/2020","6/10/2026")</f>
        <v/>
      </c>
      <c r="OS3">
        <f>BDH("BBG01C4RQFV2 Equity","PX_LAST,PX_VOLUME","1/1/2020","6/10/2026")</f>
        <v/>
      </c>
      <c r="OW3">
        <f>BDH("BBG01C4RQGZ6 Equity","PX_LAST,PX_VOLUME","1/1/2020","6/10/2026")</f>
        <v/>
      </c>
      <c r="PA3">
        <f>BDH("BBG01C4RQJ26 Equity","PX_LAST,PX_VOLUME","1/1/2020","6/10/2026")</f>
        <v/>
      </c>
      <c r="PE3">
        <f>BDH("BBG00YQ55Z57 Equity","PX_LAST,PX_VOLUME","1/1/2020","6/10/2026")</f>
        <v/>
      </c>
      <c r="PI3">
        <f>BDH("BBG01C4RQK50 Equity","PX_LAST,PX_VOLUME","1/1/2020","6/10/2026")</f>
        <v/>
      </c>
      <c r="PM3">
        <f>BDH("BBG017FXJ5R3 Equity","PX_LAST,PX_VOLUME","1/1/2020","6/10/2026")</f>
        <v/>
      </c>
      <c r="PQ3">
        <f>BDH("BBG01C4RQL94 Equity","PX_LAST,PX_VOLUME","1/1/2020","6/10/2026")</f>
        <v/>
      </c>
      <c r="PU3">
        <f>BDH("BBG017FXJ6V6 Equity","PX_LAST,PX_VOLUME","1/1/2020","6/10/2026")</f>
        <v/>
      </c>
      <c r="PY3">
        <f>BDH("BBG017FXJ833 Equity","PX_LAST,PX_VOLUME","1/1/2020","6/10/2026")</f>
        <v/>
      </c>
      <c r="QC3">
        <f>BDH("BBG00YQ56099 Equity","PX_LAST,PX_VOLUME","1/1/2020","6/10/2026")</f>
        <v/>
      </c>
      <c r="QG3">
        <f>BDH("BBG01C4RQMD7 Equity","PX_LAST,PX_VOLUME","1/1/2020","6/10/2026")</f>
        <v/>
      </c>
      <c r="QK3">
        <f>BDH("BBG017FXJ968 Equity","PX_LAST,PX_VOLUME","1/1/2020","6/10/2026")</f>
        <v/>
      </c>
      <c r="QO3">
        <f>BDH("BBG017FXJB90 Equity","PX_LAST,PX_VOLUME","1/1/2020","6/10/2026")</f>
        <v/>
      </c>
      <c r="QS3">
        <f>BDH("BBG017FXJCG0 Equity","PX_LAST,PX_VOLUME","1/1/2020","6/10/2026")</f>
        <v/>
      </c>
      <c r="QW3">
        <f>BDH("BBG01C4RQNH1 Equity","PX_LAST,PX_VOLUME","1/1/2020","6/10/2026")</f>
        <v/>
      </c>
      <c r="RA3">
        <f>BDH("BBG017FXJDK3 Equity","PX_LAST,PX_VOLUME","1/1/2020","6/10/2026")</f>
        <v/>
      </c>
      <c r="RE3">
        <f>BDH("BBG00YQ561D2 Equity","PX_LAST,PX_VOLUME","1/1/2020","6/10/2026")</f>
        <v/>
      </c>
      <c r="RI3">
        <f>BDH("BBG017FXJFN5 Equity","PX_LAST,PX_VOLUME","1/1/2020","6/10/2026")</f>
        <v/>
      </c>
      <c r="RM3">
        <f>BDH("BBG01C4RQPM0 Equity","PX_LAST,PX_VOLUME","1/1/2020","6/10/2026")</f>
        <v/>
      </c>
      <c r="RQ3">
        <f>BDH("BBG017FXJGV4 Equity","PX_LAST,PX_VOLUME","1/1/2020","6/10/2026")</f>
        <v/>
      </c>
      <c r="RU3">
        <f>BDH("BBG017FXJHY9 Equity","PX_LAST,PX_VOLUME","1/1/2020","6/10/2026")</f>
        <v/>
      </c>
      <c r="RY3">
        <f>BDH("BBG01C4RQV10 Equity","PX_LAST,PX_VOLUME","1/1/2020","6/10/2026")</f>
        <v/>
      </c>
      <c r="SC3">
        <f>BDH("BBG018WKNVM3 Equity","PX_LAST,PX_VOLUME","1/1/2020","6/10/2026")</f>
        <v/>
      </c>
      <c r="SG3">
        <f>BDH("BBG018T194V5 Equity","PX_LAST,PX_VOLUME","1/1/2020","6/10/2026")</f>
        <v/>
      </c>
      <c r="SK3">
        <f>BDH("BBG00YQ564Q2 Equity","PX_LAST,PX_VOLUME","1/1/2020","6/10/2026")</f>
        <v/>
      </c>
      <c r="SO3">
        <f>BDH("BBG018T195Y9 Equity","PX_LAST,PX_VOLUME","1/1/2020","6/10/2026")</f>
        <v/>
      </c>
      <c r="SS3">
        <f>BDH("BBG018T19711 Equity","PX_LAST,PX_VOLUME","1/1/2020","6/10/2026")</f>
        <v/>
      </c>
      <c r="SW3">
        <f>BDH("BBG018T19855 Equity","PX_LAST,PX_VOLUME","1/1/2020","6/10/2026")</f>
        <v/>
      </c>
      <c r="TA3">
        <f>BDH("BBG017FXJPM4 Equity","PX_LAST,PX_VOLUME","1/1/2020","6/10/2026")</f>
        <v/>
      </c>
      <c r="TE3">
        <f>BDH("BBG018T19980 Equity","PX_LAST,PX_VOLUME","1/1/2020","6/10/2026")</f>
        <v/>
      </c>
      <c r="TI3">
        <f>BDH("BBG018T19BC0 Equity","PX_LAST,PX_VOLUME","1/1/2020","6/10/2026")</f>
        <v/>
      </c>
      <c r="TM3">
        <f>BDH("BBG018T19CH3 Equity","PX_LAST,PX_VOLUME","1/1/2020","6/10/2026")</f>
        <v/>
      </c>
      <c r="TQ3">
        <f>BDH("BBG017FXJQQ8 Equity","PX_LAST,PX_VOLUME","1/1/2020","6/10/2026")</f>
        <v/>
      </c>
      <c r="TU3">
        <f>BDH("BBG018T19DL6 Equity","PX_LAST,PX_VOLUME","1/1/2020","6/10/2026")</f>
        <v/>
      </c>
      <c r="TY3">
        <f>BDH("BBG00YQ565T6 Equity","PX_LAST,PX_VOLUME","1/1/2020","6/10/2026")</f>
        <v/>
      </c>
      <c r="UC3">
        <f>BDH("BBG018T19FP7 Equity","PX_LAST,PX_VOLUME","1/1/2020","6/10/2026")</f>
        <v/>
      </c>
      <c r="UG3">
        <f>BDH("BBG017FXJRT3 Equity","PX_LAST,PX_VOLUME","1/1/2020","6/10/2026")</f>
        <v/>
      </c>
      <c r="UK3">
        <f>BDH("BBG018T19GT1 Equity","PX_LAST,PX_VOLUME","1/1/2020","6/10/2026")</f>
        <v/>
      </c>
      <c r="UO3">
        <f>BDH("BBG018T19HX4 Equity","PX_LAST,PX_VOLUME","1/1/2020","6/10/2026")</f>
        <v/>
      </c>
      <c r="US3">
        <f>BDH("BBG018T19K03 Equity","PX_LAST,PX_VOLUME","1/1/2020","6/10/2026")</f>
        <v/>
      </c>
      <c r="UW3">
        <f>BDH("BBG017FXJT19 Equity","PX_LAST,PX_VOLUME","1/1/2020","6/10/2026")</f>
        <v/>
      </c>
      <c r="VA3">
        <f>BDH("BBG018T19L47 Equity","PX_LAST,PX_VOLUME","1/1/2020","6/10/2026")</f>
        <v/>
      </c>
      <c r="VE3">
        <f>BDH("BBG018T19M72 Equity","PX_LAST,PX_VOLUME","1/1/2020","6/10/2026")</f>
        <v/>
      </c>
      <c r="VI3">
        <f>BDH("BBG018T19NB5 Equity","PX_LAST,PX_VOLUME","1/1/2020","6/10/2026")</f>
        <v/>
      </c>
      <c r="VM3">
        <f>BDH("BBG00YQ566Y8 Equity","PX_LAST,PX_VOLUME","1/1/2020","6/10/2026")</f>
        <v/>
      </c>
      <c r="VQ3">
        <f>BDH("BBG018T19PH4 Equity","PX_LAST,PX_VOLUME","1/1/2020","6/10/2026")</f>
        <v/>
      </c>
      <c r="VU3">
        <f>BDH("BBG018T19QL7 Equity","PX_LAST,PX_VOLUME","1/1/2020","6/10/2026")</f>
        <v/>
      </c>
      <c r="VY3">
        <f>BDH("BBG018T19RS8 Equity","PX_LAST,PX_VOLUME","1/1/2020","6/10/2026")</f>
        <v/>
      </c>
      <c r="WC3">
        <f>BDH("BBG017FXJV41 Equity","PX_LAST,PX_VOLUME","1/1/2020","6/10/2026")</f>
        <v/>
      </c>
      <c r="WG3">
        <f>BDH("BBG018T19SW1 Equity","PX_LAST,PX_VOLUME","1/1/2020","6/10/2026")</f>
        <v/>
      </c>
      <c r="WK3">
        <f>BDH("BBG011KBMDH8 Equity","PX_LAST,PX_VOLUME","1/1/2020","6/10/2026")</f>
        <v/>
      </c>
      <c r="WO3">
        <f>BDH("BBG018T19TZ6 Equity","PX_LAST,PX_VOLUME","1/1/2020","6/10/2026")</f>
        <v/>
      </c>
      <c r="WS3">
        <f>BDH("BBG017FXJW76 Equity","PX_LAST,PX_VOLUME","1/1/2020","6/10/2026")</f>
        <v/>
      </c>
      <c r="WW3">
        <f>BDH("BBG018T19W34 Equity","PX_LAST,PX_VOLUME","1/1/2020","6/10/2026")</f>
        <v/>
      </c>
      <c r="XA3">
        <f>BDH("BBG00YQ56810 Equity","PX_LAST,PX_VOLUME","1/1/2020","6/10/2026")</f>
        <v/>
      </c>
      <c r="XE3">
        <f>BDH("BBG018T19X69 Equity","PX_LAST,PX_VOLUME","1/1/2020","6/10/2026")</f>
        <v/>
      </c>
      <c r="XI3">
        <f>BDH("BBG017FXJXF5 Equity","PX_LAST,PX_VOLUME","1/1/2020","6/10/2026")</f>
        <v/>
      </c>
      <c r="XM3">
        <f>BDH("BBG018T19Y94 Equity","PX_LAST,PX_VOLUME","1/1/2020","6/10/2026")</f>
        <v/>
      </c>
      <c r="XQ3">
        <f>BDH("BBG018T19ZF4 Equity","PX_LAST,PX_VOLUME","1/1/2020","6/10/2026")</f>
        <v/>
      </c>
      <c r="XU3">
        <f>BDH("BBG018T1B0J4 Equity","PX_LAST,PX_VOLUME","1/1/2020","6/10/2026")</f>
        <v/>
      </c>
      <c r="XY3">
        <f>BDH("BBG017FXJYJ9 Equity","PX_LAST,PX_VOLUME","1/1/2020","6/10/2026")</f>
        <v/>
      </c>
      <c r="YC3">
        <f>BDH("BBG018T1B1M8 Equity","PX_LAST,PX_VOLUME","1/1/2020","6/10/2026")</f>
        <v/>
      </c>
      <c r="YG3">
        <f>BDH("BBG018T1B2V6 Equity","PX_LAST,PX_VOLUME","1/1/2020","6/10/2026")</f>
        <v/>
      </c>
      <c r="YK3">
        <f>BDH("BBG018T1B3Y1 Equity","PX_LAST,PX_VOLUME","1/1/2020","6/10/2026")</f>
        <v/>
      </c>
      <c r="YO3">
        <f>BDH("BBG00YQ56945 Equity","PX_LAST,PX_VOLUME","1/1/2020","6/10/2026")</f>
        <v/>
      </c>
      <c r="YS3">
        <f>BDH("BBG018WKNWQ7 Equity","PX_LAST,PX_VOLUME","1/1/2020","6/10/2026")</f>
        <v/>
      </c>
      <c r="YW3">
        <f>BDH("BBG017FXJZM2 Equity","PX_LAST,PX_VOLUME","1/1/2020","6/10/2026")</f>
        <v/>
      </c>
      <c r="ZA3">
        <f>BDH("BBG018WKNXT2 Equity","PX_LAST,PX_VOLUME","1/1/2020","6/10/2026")</f>
        <v/>
      </c>
      <c r="ZE3">
        <f>BDH("BBG017FXK0V7 Equity","PX_LAST,PX_VOLUME","1/1/2020","6/10/2026")</f>
        <v/>
      </c>
      <c r="ZI3">
        <f>BDH("BBG00YQ56B86 Equity","PX_LAST,PX_VOLUME","1/1/2020","6/10/2026")</f>
        <v/>
      </c>
      <c r="ZM3">
        <f>BDH("BBG017FXK1Y2 Equity","PX_LAST,PX_VOLUME","1/1/2020","6/10/2026")</f>
        <v/>
      </c>
      <c r="ZQ3">
        <f>BDH("BBG018WKNZ08 Equity","PX_LAST,PX_VOLUME","1/1/2020","6/10/2026")</f>
        <v/>
      </c>
      <c r="ZU3">
        <f>BDH("BBG011KBMFL8 Equity","PX_LAST,PX_VOLUME","1/1/2020","6/10/2026")</f>
        <v/>
      </c>
      <c r="ZY3">
        <f>BDH("BBG018WKP030 Equity","PX_LAST,PX_VOLUME","1/1/2020","6/10/2026")</f>
        <v/>
      </c>
      <c r="AAC3">
        <f>BDH("BBG018WKP165 Equity","PX_LAST,PX_VOLUME","1/1/2020","6/10/2026")</f>
        <v/>
      </c>
      <c r="AAG3">
        <f>BDH("BBG018WKP2B7 Equity","PX_LAST,PX_VOLUME","1/1/2020","6/10/2026")</f>
        <v/>
      </c>
      <c r="AAK3">
        <f>BDH("BBG00YQ56CC9 Equity","PX_LAST,PX_VOLUME","1/1/2020","6/10/2026")</f>
        <v/>
      </c>
      <c r="AAO3">
        <f>BDH("BBG018WKP3F1 Equity","PX_LAST,PX_VOLUME","1/1/2020","6/10/2026")</f>
        <v/>
      </c>
      <c r="AAS3">
        <f>BDH("BBG018WKP4J5 Equity","PX_LAST,PX_VOLUME","1/1/2020","6/10/2026")</f>
        <v/>
      </c>
      <c r="AAW3">
        <f>BDH("BBG018WKP5N7 Equity","PX_LAST,PX_VOLUME","1/1/2020","6/10/2026")</f>
        <v/>
      </c>
      <c r="ABA3">
        <f>BDH("BBG017FXK314 Equity","PX_LAST,PX_VOLUME","1/1/2020","6/10/2026")</f>
        <v/>
      </c>
      <c r="ABE3">
        <f>BDH("BBG018WKP6R1 Equity","PX_LAST,PX_VOLUME","1/1/2020","6/10/2026")</f>
        <v/>
      </c>
      <c r="ABI3">
        <f>BDH("BBG018WKP7V4 Equity","PX_LAST,PX_VOLUME","1/1/2020","6/10/2026")</f>
        <v/>
      </c>
      <c r="ABM3">
        <f>BDH("BBG018WKP904 Equity","PX_LAST,PX_VOLUME","1/1/2020","6/10/2026")</f>
        <v/>
      </c>
      <c r="ABQ3">
        <f>BDH("BBG017FXK476 Equity","PX_LAST,PX_VOLUME","1/1/2020","6/10/2026")</f>
        <v/>
      </c>
      <c r="ABU3">
        <f>BDH("BBG018XPQ8H5 Equity","PX_LAST,PX_VOLUME","1/1/2020","6/10/2026")</f>
        <v/>
      </c>
      <c r="ABY3">
        <f>BDH("BBG01C5CLW79 Equity","PX_LAST,PX_VOLUME","1/1/2020","6/10/2026")</f>
        <v/>
      </c>
      <c r="ACC3">
        <f>BDH("BBG018XPQ9L8 Equity","PX_LAST,PX_VOLUME","1/1/2020","6/10/2026")</f>
        <v/>
      </c>
      <c r="ACG3">
        <f>BDH("BBG01C5CLXB2 Equity","PX_LAST,PX_VOLUME","1/1/2020","6/10/2026")</f>
        <v/>
      </c>
      <c r="ACK3">
        <f>BDH("BBG01C5CLYF6 Equity","PX_LAST,PX_VOLUME","1/1/2020","6/10/2026")</f>
        <v/>
      </c>
      <c r="ACO3">
        <f>BDH("BBG018XPQBP9 Equity","PX_LAST,PX_VOLUME","1/1/2020","6/10/2026")</f>
        <v/>
      </c>
      <c r="ACS3">
        <f>BDH("BBG01C5CLZK7 Equity","PX_LAST,PX_VOLUME","1/1/2020","6/10/2026")</f>
        <v/>
      </c>
      <c r="ACW3">
        <f>BDH("BBG018XPQCT3 Equity","PX_LAST,PX_VOLUME","1/1/2020","6/10/2026")</f>
        <v/>
      </c>
      <c r="ADA3">
        <f>BDH("BBG01C5CM0N0 Equity","PX_LAST,PX_VOLUME","1/1/2020","6/10/2026")</f>
        <v/>
      </c>
      <c r="ADE3">
        <f>BDH("BBG018XPQDX6 Equity","PX_LAST,PX_VOLUME","1/1/2020","6/10/2026")</f>
        <v/>
      </c>
      <c r="ADI3">
        <f>BDH("BBG01C5CM1R4 Equity","PX_LAST,PX_VOLUME","1/1/2020","6/10/2026")</f>
        <v/>
      </c>
      <c r="ADM3">
        <f>BDH("BBG01C5CM2W6 Equity","PX_LAST,PX_VOLUME","1/1/2020","6/10/2026")</f>
        <v/>
      </c>
      <c r="ADQ3">
        <f>BDH("BBG018XPQG05 Equity","PX_LAST,PX_VOLUME","1/1/2020","6/10/2026")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BBG01C5CM3Z1 Equity (TSLA US 04/21/23 P145)</t>
        </is>
      </c>
      <c r="E1" t="inlineStr">
        <is>
          <t>BBG018XPQH49 Equity (TSLA US 04/21/23 P150)</t>
        </is>
      </c>
      <c r="I1" t="inlineStr">
        <is>
          <t>BBG01FZ9TM25 Equity (TSLA US 04/21/23 P152.5)</t>
        </is>
      </c>
      <c r="M1" t="inlineStr">
        <is>
          <t>BBG01C5CM522 Equity (TSLA US 04/21/23 P155)</t>
        </is>
      </c>
      <c r="Q1" t="inlineStr">
        <is>
          <t>BBG01FZ9TN69 Equity (TSLA US 04/21/23 P157.5)</t>
        </is>
      </c>
      <c r="U1" t="inlineStr">
        <is>
          <t>BBG018XPQJ72 Equity (TSLA US 04/21/23 P158.33)</t>
        </is>
      </c>
      <c r="Y1" t="inlineStr">
        <is>
          <t>BBG01C5CM666 Equity (TSLA US 04/21/23 P160)</t>
        </is>
      </c>
      <c r="AC1" t="inlineStr">
        <is>
          <t>BBG01FZ9TP91 Equity (TSLA US 04/21/23 P162.5)</t>
        </is>
      </c>
      <c r="AG1" t="inlineStr">
        <is>
          <t>BBG01C5CM791 Equity (TSLA US 04/21/23 P165)</t>
        </is>
      </c>
      <c r="AK1" t="inlineStr">
        <is>
          <t>BBG018XPQKD2 Equity (TSLA US 04/21/23 P166.67)</t>
        </is>
      </c>
      <c r="AO1" t="inlineStr">
        <is>
          <t>BBG01FZ9TQD4 Equity (TSLA US 04/21/23 P167.5)</t>
        </is>
      </c>
      <c r="AS1" t="inlineStr">
        <is>
          <t>BBG01C5CM8D4 Equity (TSLA US 04/21/23 P170)</t>
        </is>
      </c>
      <c r="AW1" t="inlineStr">
        <is>
          <t>BBG01FZ9TRJ6 Equity (TSLA US 04/21/23 P172.5)</t>
        </is>
      </c>
      <c r="BA1" t="inlineStr">
        <is>
          <t>BBG018XPQLH6 Equity (TSLA US 04/21/23 P175)</t>
        </is>
      </c>
      <c r="BE1" t="inlineStr">
        <is>
          <t>BBG01FZ9TSM0 Equity (TSLA US 04/21/23 P177.5)</t>
        </is>
      </c>
      <c r="BI1" t="inlineStr">
        <is>
          <t>BBG01C6FDC38 Equity (TSLA US 04/21/23 P180)</t>
        </is>
      </c>
      <c r="BM1" t="inlineStr">
        <is>
          <t>BBG01FZ9TTR3 Equity (TSLA US 04/21/23 P182.5)</t>
        </is>
      </c>
      <c r="BQ1" t="inlineStr">
        <is>
          <t>BBG018XPQML9 Equity (TSLA US 04/21/23 P183.33)</t>
        </is>
      </c>
      <c r="BU1" t="inlineStr">
        <is>
          <t>BBG01CGX3FB3 Equity (TSLA US 04/21/23 P185)</t>
        </is>
      </c>
      <c r="BY1" t="inlineStr">
        <is>
          <t>BBG01FZ9TVV3 Equity (TSLA US 04/21/23 P187.5)</t>
        </is>
      </c>
      <c r="CC1" t="inlineStr">
        <is>
          <t>BBG01CGX3GG6 Equity (TSLA US 04/21/23 P190)</t>
        </is>
      </c>
      <c r="CG1" t="inlineStr">
        <is>
          <t>BBG018XPQNR1 Equity (TSLA US 04/21/23 P191.67)</t>
        </is>
      </c>
      <c r="CK1" t="inlineStr">
        <is>
          <t>BBG01FZ9TWY8 Equity (TSLA US 04/21/23 P192.5)</t>
        </is>
      </c>
      <c r="CO1" t="inlineStr">
        <is>
          <t>BBG01DC5S0C1 Equity (TSLA US 04/21/23 P195)</t>
        </is>
      </c>
      <c r="CS1" t="inlineStr">
        <is>
          <t>BBG01FZ9TY29 Equity (TSLA US 04/21/23 P197.5)</t>
        </is>
      </c>
      <c r="CW1" t="inlineStr">
        <is>
          <t>BBG018XPQPV1 Equity (TSLA US 04/21/23 P200)</t>
        </is>
      </c>
      <c r="DA1" t="inlineStr">
        <is>
          <t>BBG01FZ9TZ53 Equity (TSLA US 04/21/23 P202.5)</t>
        </is>
      </c>
      <c r="DE1" t="inlineStr">
        <is>
          <t>BBG01DC5S1G5 Equity (TSLA US 04/21/23 P205)</t>
        </is>
      </c>
      <c r="DI1" t="inlineStr">
        <is>
          <t>BBG01FZ9V084 Equity (TSLA US 04/21/23 P207.5)</t>
        </is>
      </c>
      <c r="DM1" t="inlineStr">
        <is>
          <t>BBG018XPQQY6 Equity (TSLA US 04/21/23 P208.33)</t>
        </is>
      </c>
      <c r="DQ1" t="inlineStr">
        <is>
          <t>BBG01DC5S2K8 Equity (TSLA US 04/21/23 P210)</t>
        </is>
      </c>
      <c r="DU1" t="inlineStr">
        <is>
          <t>BBG01DJ4PG26 Equity (TSLA US 04/21/23 P215)</t>
        </is>
      </c>
      <c r="DY1" t="inlineStr">
        <is>
          <t>BBG018XPQS27 Equity (TSLA US 04/21/23 P216.67)</t>
        </is>
      </c>
      <c r="EC1" t="inlineStr">
        <is>
          <t>BBG01DJ4PH79 Equity (TSLA US 04/21/23 P220)</t>
        </is>
      </c>
      <c r="EG1" t="inlineStr">
        <is>
          <t>BBG018XPQT52 Equity (TSLA US 04/21/23 P225)</t>
        </is>
      </c>
      <c r="EK1" t="inlineStr">
        <is>
          <t>BBG01DJ4PJB0 Equity (TSLA US 04/21/23 P230)</t>
        </is>
      </c>
      <c r="EO1" t="inlineStr">
        <is>
          <t>BBG018XPQV84 Equity (TSLA US 04/21/23 P233.33)</t>
        </is>
      </c>
      <c r="ES1" t="inlineStr">
        <is>
          <t>BBG01DJ4PKF3 Equity (TSLA US 04/21/23 P235)</t>
        </is>
      </c>
      <c r="EW1" t="inlineStr">
        <is>
          <t>BBG018XPQWF4 Equity (TSLA US 04/21/23 P240)</t>
        </is>
      </c>
      <c r="FA1" t="inlineStr">
        <is>
          <t>BBG018XPQXJ8 Equity (TSLA US 04/21/23 P241.67)</t>
        </is>
      </c>
      <c r="FE1" t="inlineStr">
        <is>
          <t>BBG018XPQYM2 Equity (TSLA US 04/21/23 P243.33)</t>
        </is>
      </c>
      <c r="FI1" t="inlineStr">
        <is>
          <t>BBG018XPQZR4 Equity (TSLA US 04/21/23 P245)</t>
        </is>
      </c>
      <c r="FM1" t="inlineStr">
        <is>
          <t>BBG018XPR0V5 Equity (TSLA US 04/21/23 P246.67)</t>
        </is>
      </c>
      <c r="FQ1" t="inlineStr">
        <is>
          <t>BBG018XPR1Y0 Equity (TSLA US 04/21/23 P248.33)</t>
        </is>
      </c>
      <c r="FU1" t="inlineStr">
        <is>
          <t>BBG018XPR321 Equity (TSLA US 04/21/23 P250)</t>
        </is>
      </c>
      <c r="FY1" t="inlineStr">
        <is>
          <t>BBG018XPR456 Equity (TSLA US 04/21/23 P251.67)</t>
        </is>
      </c>
      <c r="GC1" t="inlineStr">
        <is>
          <t>BBG01C4BSBG1 Equity (TSLA US 05/19/23 P100)</t>
        </is>
      </c>
      <c r="GG1" t="inlineStr">
        <is>
          <t>BBG01C4BSCK4 Equity (TSLA US 05/19/23 P105)</t>
        </is>
      </c>
      <c r="GK1" t="inlineStr">
        <is>
          <t>BBG01C4BSDP7 Equity (TSLA US 05/19/23 P110)</t>
        </is>
      </c>
      <c r="GO1" t="inlineStr">
        <is>
          <t>BBG01C4BSFS9 Equity (TSLA US 05/19/23 P115)</t>
        </is>
      </c>
      <c r="GS1" t="inlineStr">
        <is>
          <t>BBG01C4BSGW2 Equity (TSLA US 05/19/23 P120)</t>
        </is>
      </c>
      <c r="GW1" t="inlineStr">
        <is>
          <t>BBG01C4BSJ01 Equity (TSLA US 05/19/23 P125)</t>
        </is>
      </c>
      <c r="HA1" t="inlineStr">
        <is>
          <t>BBG01BY7MJG8 Equity (TSLA US 05/19/23 P130)</t>
        </is>
      </c>
      <c r="HE1" t="inlineStr">
        <is>
          <t>BBG01BY7MKK0 Equity (TSLA US 05/19/23 P135)</t>
        </is>
      </c>
      <c r="HI1" t="inlineStr">
        <is>
          <t>BBG01BY7MLN5 Equity (TSLA US 05/19/23 P140)</t>
        </is>
      </c>
      <c r="HM1" t="inlineStr">
        <is>
          <t>BBG01BY7MMS8 Equity (TSLA US 05/19/23 P145)</t>
        </is>
      </c>
      <c r="HQ1" t="inlineStr">
        <is>
          <t>BBG01BY7MNW1 Equity (TSLA US 05/19/23 P150)</t>
        </is>
      </c>
      <c r="HU1" t="inlineStr">
        <is>
          <t>BBG01BY7MPZ3 Equity (TSLA US 05/19/23 P155)</t>
        </is>
      </c>
      <c r="HY1" t="inlineStr">
        <is>
          <t>BBG01BY7MR34 Equity (TSLA US 05/19/23 P160)</t>
        </is>
      </c>
      <c r="IC1" t="inlineStr">
        <is>
          <t>BBG01BY7MS69 Equity (TSLA US 05/19/23 P165)</t>
        </is>
      </c>
      <c r="IG1" t="inlineStr">
        <is>
          <t>BBG01BY7MT94 Equity (TSLA US 05/19/23 P170)</t>
        </is>
      </c>
      <c r="IK1" t="inlineStr">
        <is>
          <t>BBG01BY7MVF2 Equity (TSLA US 05/19/23 P175)</t>
        </is>
      </c>
      <c r="IO1" t="inlineStr">
        <is>
          <t>BBG01BY7MWJ6 Equity (TSLA US 05/19/23 P180)</t>
        </is>
      </c>
      <c r="IS1" t="inlineStr">
        <is>
          <t>BBG01BY7MXM0 Equity (TSLA US 05/19/23 P185)</t>
        </is>
      </c>
      <c r="IW1" t="inlineStr">
        <is>
          <t>BBG01BY7MYR3 Equity (TSLA US 05/19/23 P190)</t>
        </is>
      </c>
      <c r="JA1" t="inlineStr">
        <is>
          <t>BBG01BY7MZV5 Equity (TSLA US 05/19/23 P195)</t>
        </is>
      </c>
      <c r="JE1" t="inlineStr">
        <is>
          <t>BBG01BY7N0Y8 Equity (TSLA US 05/19/23 P200)</t>
        </is>
      </c>
      <c r="JI1" t="inlineStr">
        <is>
          <t>BBG01DJ4PLM3 Equity (TSLA US 05/19/23 P205)</t>
        </is>
      </c>
      <c r="JM1" t="inlineStr">
        <is>
          <t>BBG01DC5S3P1 Equity (TSLA US 05/19/23 P210)</t>
        </is>
      </c>
      <c r="JQ1" t="inlineStr">
        <is>
          <t>BBG01DJ4PMQ7 Equity (TSLA US 05/19/23 P215)</t>
        </is>
      </c>
      <c r="JU1" t="inlineStr">
        <is>
          <t>BBG01DJ4PNT2 Equity (TSLA US 05/19/23 P220)</t>
        </is>
      </c>
      <c r="JY1" t="inlineStr">
        <is>
          <t>BBG01DJ4PPY1 Equity (TSLA US 05/19/23 P225)</t>
        </is>
      </c>
      <c r="KC1" t="inlineStr">
        <is>
          <t>BBG01DJ4PR13 Equity (TSLA US 05/19/23 P230)</t>
        </is>
      </c>
      <c r="KG1" t="inlineStr">
        <is>
          <t>BBG01DJ4PS48 Equity (TSLA US 05/19/23 P235)</t>
        </is>
      </c>
      <c r="KK1" t="inlineStr">
        <is>
          <t>BBG01DJ4PT82 Equity (TSLA US 05/19/23 P240)</t>
        </is>
      </c>
      <c r="KO1" t="inlineStr">
        <is>
          <t>BBG01DJ4PVC2 Equity (TSLA US 05/19/23 P245)</t>
        </is>
      </c>
      <c r="KS1" t="inlineStr">
        <is>
          <t>BBG01DJ4PWG6 Equity (TSLA US 05/19/23 P250)</t>
        </is>
      </c>
      <c r="KW1" t="inlineStr">
        <is>
          <t>BBG010KVSBD8 Equity (TSLA US 06/16/23 P100)</t>
        </is>
      </c>
      <c r="LA1" t="inlineStr">
        <is>
          <t>BBG01C4RR3X6 Equity (TSLA US 06/16/23 P105)</t>
        </is>
      </c>
      <c r="LE1" t="inlineStr">
        <is>
          <t>BBG01C4RR507 Equity (TSLA US 06/16/23 P110)</t>
        </is>
      </c>
      <c r="LI1" t="inlineStr">
        <is>
          <t>BBG01C5CMJ59 Equity (TSLA US 06/16/23 P115)</t>
        </is>
      </c>
      <c r="LM1" t="inlineStr">
        <is>
          <t>BBG010KVSCH2 Equity (TSLA US 06/16/23 P116.67)</t>
        </is>
      </c>
      <c r="LQ1" t="inlineStr">
        <is>
          <t>BBG01B4PFR35 Equity (TSLA US 06/16/23 P120)</t>
        </is>
      </c>
      <c r="LU1" t="inlineStr">
        <is>
          <t>BBG017FXKD21 Equity (TSLA US 06/16/23 P123.33)</t>
        </is>
      </c>
      <c r="LY1" t="inlineStr">
        <is>
          <t>BBG01B4PFS60 Equity (TSLA US 06/16/23 P125)</t>
        </is>
      </c>
      <c r="MC1" t="inlineStr">
        <is>
          <t>BBG017FXKF80 Equity (TSLA US 06/16/23 P126.67)</t>
        </is>
      </c>
      <c r="MG1" t="inlineStr">
        <is>
          <t>BBG017FXKGC3 Equity (TSLA US 06/16/23 P130)</t>
        </is>
      </c>
      <c r="MK1" t="inlineStr">
        <is>
          <t>BBG010KVSDL5 Equity (TSLA US 06/16/23 P133.33)</t>
        </is>
      </c>
      <c r="MO1" t="inlineStr">
        <is>
          <t>BBG01B4PFT95 Equity (TSLA US 06/16/23 P135)</t>
        </is>
      </c>
      <c r="MS1" t="inlineStr">
        <is>
          <t>BBG017FXKHG7 Equity (TSLA US 06/16/23 P136.67)</t>
        </is>
      </c>
      <c r="MW1" t="inlineStr">
        <is>
          <t>BBG017FXKJM6 Equity (TSLA US 06/16/23 P140)</t>
        </is>
      </c>
      <c r="NA1" t="inlineStr">
        <is>
          <t>BBG017FXKKQ9 Equity (TSLA US 06/16/23 P143.33)</t>
        </is>
      </c>
      <c r="NE1" t="inlineStr">
        <is>
          <t>BBG01B4PFVF3 Equity (TSLA US 06/16/23 P145)</t>
        </is>
      </c>
      <c r="NI1" t="inlineStr">
        <is>
          <t>BBG017FXKLT4 Equity (TSLA US 06/16/23 P146.67)</t>
        </is>
      </c>
      <c r="NM1" t="inlineStr">
        <is>
          <t>BBG010KVSFS3 Equity (TSLA US 06/16/23 P150)</t>
        </is>
      </c>
      <c r="NQ1" t="inlineStr">
        <is>
          <t>BBG017FXKMZ5 Equity (TSLA US 06/16/23 P153.33)</t>
        </is>
      </c>
      <c r="NU1" t="inlineStr">
        <is>
          <t>BBG01B4PFWJ7 Equity (TSLA US 06/16/23 P155)</t>
        </is>
      </c>
      <c r="NY1" t="inlineStr">
        <is>
          <t>BBG017FXKP24 Equity (TSLA US 06/16/23 P156.67)</t>
        </is>
      </c>
      <c r="OC1" t="inlineStr">
        <is>
          <t>BBG017FXKQ59 Equity (TSLA US 06/16/23 P160)</t>
        </is>
      </c>
      <c r="OG1" t="inlineStr">
        <is>
          <t>BBG017FXKRB0 Equity (TSLA US 06/16/23 P163.33)</t>
        </is>
      </c>
      <c r="OK1" t="inlineStr">
        <is>
          <t>BBG01B4PFXM1 Equity (TSLA US 06/16/23 P165)</t>
        </is>
      </c>
      <c r="OO1" t="inlineStr">
        <is>
          <t>BBG010KVSGW6 Equity (TSLA US 06/16/23 P166.67)</t>
        </is>
      </c>
      <c r="OS1" t="inlineStr">
        <is>
          <t>BBG01B4PFYR4 Equity (TSLA US 06/16/23 P170)</t>
        </is>
      </c>
      <c r="OW1" t="inlineStr">
        <is>
          <t>BBG017FXKSF4 Equity (TSLA US 06/16/23 P173.33)</t>
        </is>
      </c>
      <c r="PA1" t="inlineStr">
        <is>
          <t>BBG01B4PFZV6 Equity (TSLA US 06/16/23 P175)</t>
        </is>
      </c>
      <c r="PE1" t="inlineStr">
        <is>
          <t>BBG017FXKTJ8 Equity (TSLA US 06/16/23 P180)</t>
        </is>
      </c>
      <c r="PI1" t="inlineStr">
        <is>
          <t>BBG010KVSHZ1 Equity (TSLA US 06/16/23 P183.33)</t>
        </is>
      </c>
      <c r="PM1" t="inlineStr">
        <is>
          <t>BBG01B4PG0Y9 Equity (TSLA US 06/16/23 P185)</t>
        </is>
      </c>
      <c r="PQ1" t="inlineStr">
        <is>
          <t>BBG017FXKVP6 Equity (TSLA US 06/16/23 P186.67)</t>
        </is>
      </c>
      <c r="PU1" t="inlineStr">
        <is>
          <t>BBG01B4PG220 Equity (TSLA US 06/16/23 P190)</t>
        </is>
      </c>
      <c r="PY1" t="inlineStr">
        <is>
          <t>BBG011KBMGP2 Equity (TSLA US 06/16/23 P193.33)</t>
        </is>
      </c>
      <c r="QC1" t="inlineStr">
        <is>
          <t>BBG01B4PG355 Equity (TSLA US 06/16/23 P195)</t>
        </is>
      </c>
      <c r="QG1" t="inlineStr">
        <is>
          <t>BBG010KVSK39 Equity (TSLA US 06/16/23 P200)</t>
        </is>
      </c>
      <c r="QK1" t="inlineStr">
        <is>
          <t>BBG01B4PG499 Equity (TSLA US 06/16/23 P205)</t>
        </is>
      </c>
      <c r="QO1" t="inlineStr">
        <is>
          <t>BBG017FXKWS1 Equity (TSLA US 06/16/23 P206.67)</t>
        </is>
      </c>
      <c r="QS1" t="inlineStr">
        <is>
          <t>BBG01B4PG5D1 Equity (TSLA US 06/16/23 P210)</t>
        </is>
      </c>
      <c r="QW1" t="inlineStr">
        <is>
          <t>BBG017FXKXW4 Equity (TSLA US 06/16/23 P213.33)</t>
        </is>
      </c>
      <c r="RA1" t="inlineStr">
        <is>
          <t>BBG01B4PG6H5 Equity (TSLA US 06/16/23 P215)</t>
        </is>
      </c>
      <c r="RE1" t="inlineStr">
        <is>
          <t>BBG010KVSL64 Equity (TSLA US 06/16/23 P216.67)</t>
        </is>
      </c>
      <c r="RI1" t="inlineStr">
        <is>
          <t>BBG017FXKZ13 Equity (TSLA US 06/16/23 P220)</t>
        </is>
      </c>
      <c r="RM1" t="inlineStr">
        <is>
          <t>BBG01B4PG7M7 Equity (TSLA US 06/16/23 P225)</t>
        </is>
      </c>
      <c r="RQ1" t="inlineStr">
        <is>
          <t>BBG017FXL046 Equity (TSLA US 06/16/23 P226.67)</t>
        </is>
      </c>
      <c r="RU1" t="inlineStr">
        <is>
          <t>BBG01B4PG8Q1 Equity (TSLA US 06/16/23 P230)</t>
        </is>
      </c>
      <c r="RY1" t="inlineStr">
        <is>
          <t>BBG010KVSM99 Equity (TSLA US 06/16/23 P233.33)</t>
        </is>
      </c>
      <c r="SC1" t="inlineStr">
        <is>
          <t>BBG01B4PG9T6 Equity (TSLA US 06/16/23 P235)</t>
        </is>
      </c>
      <c r="SG1" t="inlineStr">
        <is>
          <t>BBG017FXL171 Equity (TSLA US 06/16/23 P240)</t>
        </is>
      </c>
      <c r="SK1" t="inlineStr">
        <is>
          <t>BBG011KBMHV3 Equity (TSLA US 06/16/23 P243.33)</t>
        </is>
      </c>
      <c r="SO1" t="inlineStr">
        <is>
          <t>BBG01B4PGBY5 Equity (TSLA US 06/16/23 P245)</t>
        </is>
      </c>
      <c r="SS1" t="inlineStr">
        <is>
          <t>BBG017FXL2F0 Equity (TSLA US 06/16/23 P246.67)</t>
        </is>
      </c>
      <c r="SW1" t="inlineStr">
        <is>
          <t>BBG010KVSNF0 Equity (TSLA US 06/16/23 P250)</t>
        </is>
      </c>
      <c r="TA1" t="inlineStr">
        <is>
          <t>BBG01BP8RWT8 Equity (TSLA US 07/21/23 P160)</t>
        </is>
      </c>
      <c r="TE1" t="inlineStr">
        <is>
          <t>BBG01BP8RXX1 Equity (TSLA US 07/21/23 P165)</t>
        </is>
      </c>
      <c r="TI1" t="inlineStr">
        <is>
          <t>BBG01BP8RZ02 Equity (TSLA US 07/21/23 P170)</t>
        </is>
      </c>
      <c r="TM1" t="inlineStr">
        <is>
          <t>BBG01BP8S044 Equity (TSLA US 07/21/23 P175)</t>
        </is>
      </c>
      <c r="TQ1" t="inlineStr">
        <is>
          <t>BBG01BP8S179 Equity (TSLA US 07/21/23 P180)</t>
        </is>
      </c>
      <c r="TU1" t="inlineStr">
        <is>
          <t>BBG01BP8S2B2 Equity (TSLA US 07/21/23 P185)</t>
        </is>
      </c>
      <c r="TY1" t="inlineStr">
        <is>
          <t>BBG01BP8S3G5 Equity (TSLA US 07/21/23 P190)</t>
        </is>
      </c>
      <c r="UC1" t="inlineStr">
        <is>
          <t>BBG01BP8S4K8 Equity (TSLA US 07/21/23 P195)</t>
        </is>
      </c>
      <c r="UG1" t="inlineStr">
        <is>
          <t>BBG01BP8S5N2 Equity (TSLA US 07/21/23 P200)</t>
        </is>
      </c>
      <c r="UK1" t="inlineStr">
        <is>
          <t>BBG01BP8S6S5 Equity (TSLA US 07/21/23 P205)</t>
        </is>
      </c>
      <c r="UO1" t="inlineStr">
        <is>
          <t>BBG01BP8S7W8 Equity (TSLA US 07/21/23 P210)</t>
        </is>
      </c>
      <c r="US1" t="inlineStr">
        <is>
          <t>BBG01BP8S8Z3 Equity (TSLA US 07/21/23 P215)</t>
        </is>
      </c>
      <c r="UW1" t="inlineStr">
        <is>
          <t>BBG01BP8SB31 Equity (TSLA US 07/21/23 P220)</t>
        </is>
      </c>
      <c r="VA1" t="inlineStr">
        <is>
          <t>BBG01BP8SC66 Equity (TSLA US 07/21/23 P225)</t>
        </is>
      </c>
      <c r="VE1" t="inlineStr">
        <is>
          <t>BBG01BP8SD91 Equity (TSLA US 07/21/23 P230)</t>
        </is>
      </c>
      <c r="VI1" t="inlineStr">
        <is>
          <t>BBG01BP8SFF9 Equity (TSLA US 07/21/23 P235)</t>
        </is>
      </c>
      <c r="VM1" t="inlineStr">
        <is>
          <t>BBG01H4564S0 Equity (TSLA US 07/21/23 P237.5)</t>
        </is>
      </c>
      <c r="VQ1" t="inlineStr">
        <is>
          <t>BBG01BP8SGJ3 Equity (TSLA US 07/21/23 P240)</t>
        </is>
      </c>
      <c r="VU1" t="inlineStr">
        <is>
          <t>BBG01H4565X1 Equity (TSLA US 07/21/23 P242.5)</t>
        </is>
      </c>
      <c r="VY1" t="inlineStr">
        <is>
          <t>BBG01BP8SHM7 Equity (TSLA US 07/21/23 P245)</t>
        </is>
      </c>
      <c r="WC1" t="inlineStr">
        <is>
          <t>BBG01H456703 Equity (TSLA US 07/21/23 P247.5)</t>
        </is>
      </c>
      <c r="WG1" t="inlineStr">
        <is>
          <t>BBG01BP8SJR8 Equity (TSLA US 07/21/23 P250)</t>
        </is>
      </c>
      <c r="WK1" t="inlineStr">
        <is>
          <t>BBG01H456847 Equity (TSLA US 07/21/23 P252.5)</t>
        </is>
      </c>
      <c r="WO1" t="inlineStr">
        <is>
          <t>BBG01BP8SKV0 Equity (TSLA US 07/21/23 P255)</t>
        </is>
      </c>
      <c r="WS1" t="inlineStr">
        <is>
          <t>BBG01H456972 Equity (TSLA US 07/21/23 P257.5)</t>
        </is>
      </c>
      <c r="WW1" t="inlineStr">
        <is>
          <t>BBG01BP8SLY5 Equity (TSLA US 07/21/23 P260)</t>
        </is>
      </c>
      <c r="XA1" t="inlineStr">
        <is>
          <t>BBG01H456BB2 Equity (TSLA US 07/21/23 P262.5)</t>
        </is>
      </c>
      <c r="XE1" t="inlineStr">
        <is>
          <t>BBG01BP8SN26 Equity (TSLA US 07/21/23 P265)</t>
        </is>
      </c>
      <c r="XI1" t="inlineStr">
        <is>
          <t>BBG01H456CG5 Equity (TSLA US 07/21/23 P267.5)</t>
        </is>
      </c>
      <c r="XM1" t="inlineStr">
        <is>
          <t>BBG01BP8SP58 Equity (TSLA US 07/21/23 P270)</t>
        </is>
      </c>
      <c r="XQ1" t="inlineStr">
        <is>
          <t>BBG01H456DK8 Equity (TSLA US 07/21/23 P272.5)</t>
        </is>
      </c>
      <c r="XU1" t="inlineStr">
        <is>
          <t>BBG01BP8SQ83 Equity (TSLA US 07/21/23 P275)</t>
        </is>
      </c>
      <c r="XY1" t="inlineStr">
        <is>
          <t>BBG01H456FN0 Equity (TSLA US 07/21/23 P277.5)</t>
        </is>
      </c>
      <c r="YC1" t="inlineStr">
        <is>
          <t>BBG01BP8SRD5 Equity (TSLA US 07/21/23 P280)</t>
        </is>
      </c>
      <c r="YG1" t="inlineStr">
        <is>
          <t>BBG01H456GS3 Equity (TSLA US 07/21/23 P282.5)</t>
        </is>
      </c>
      <c r="YK1" t="inlineStr">
        <is>
          <t>BBG01BP8SSH9 Equity (TSLA US 07/21/23 P285)</t>
        </is>
      </c>
      <c r="YO1" t="inlineStr">
        <is>
          <t>BBG01H456HW6 Equity (TSLA US 07/21/23 P287.5)</t>
        </is>
      </c>
      <c r="YS1" t="inlineStr">
        <is>
          <t>BBG01BP8STL2 Equity (TSLA US 07/21/23 P290)</t>
        </is>
      </c>
      <c r="YW1" t="inlineStr">
        <is>
          <t>BBG01H456JZ9 Equity (TSLA US 07/21/23 P292.5)</t>
        </is>
      </c>
      <c r="ZA1" t="inlineStr">
        <is>
          <t>BBG01BP8SVQ2 Equity (TSLA US 07/21/23 P295)</t>
        </is>
      </c>
      <c r="ZE1" t="inlineStr">
        <is>
          <t>BBG01BP8SWT7 Equity (TSLA US 07/21/23 P300)</t>
        </is>
      </c>
      <c r="ZI1" t="inlineStr">
        <is>
          <t>BBG01BP8SXX0 Equity (TSLA US 07/21/23 P305)</t>
        </is>
      </c>
      <c r="ZM1" t="inlineStr">
        <is>
          <t>BBG01BP8SZ10 Equity (TSLA US 07/21/23 P310)</t>
        </is>
      </c>
      <c r="ZQ1" t="inlineStr">
        <is>
          <t>BBG01BP8T043 Equity (TSLA US 07/21/23 P315)</t>
        </is>
      </c>
      <c r="ZU1" t="inlineStr">
        <is>
          <t>BBG01BP8T178 Equity (TSLA US 07/21/23 P320)</t>
        </is>
      </c>
      <c r="ZY1" t="inlineStr">
        <is>
          <t>BBG01BP8T2C0 Equity (TSLA US 07/21/23 P325)</t>
        </is>
      </c>
      <c r="AAC1" t="inlineStr">
        <is>
          <t>BBG01BP8T3G4 Equity (TSLA US 07/21/23 P330)</t>
        </is>
      </c>
      <c r="AAG1" t="inlineStr">
        <is>
          <t>BBG01BP8T4L6 Equity (TSLA US 07/21/23 P335)</t>
        </is>
      </c>
      <c r="AAK1" t="inlineStr">
        <is>
          <t>BBG01BP8T5P9 Equity (TSLA US 07/21/23 P340)</t>
        </is>
      </c>
      <c r="AAO1" t="inlineStr">
        <is>
          <t>BBG01BPSTXL8 Equity (TSLA US 07/21/23 P345)</t>
        </is>
      </c>
      <c r="AAS1" t="inlineStr">
        <is>
          <t>BBG01BPSTYP2 Equity (TSLA US 07/21/23 P350)</t>
        </is>
      </c>
      <c r="AAW1" t="inlineStr">
        <is>
          <t>BBG01BPSTZS6 Equity (TSLA US 07/21/23 P355)</t>
        </is>
      </c>
      <c r="ABA1" t="inlineStr">
        <is>
          <t>BBG01BPSV0X4 Equity (TSLA US 07/21/23 P360)</t>
        </is>
      </c>
      <c r="ABE1" t="inlineStr">
        <is>
          <t>BBG01FQ9HJD3 Equity (TSLA US 08/18/23 P160)</t>
        </is>
      </c>
      <c r="ABI1" t="inlineStr">
        <is>
          <t>BBG01FQ9HKH6 Equity (TSLA US 08/18/23 P165)</t>
        </is>
      </c>
      <c r="ABM1" t="inlineStr">
        <is>
          <t>BBG01FQ9HLL9 Equity (TSLA US 08/18/23 P170)</t>
        </is>
      </c>
      <c r="ABQ1" t="inlineStr">
        <is>
          <t>BBG01FQ9HMQ2 Equity (TSLA US 08/18/23 P175)</t>
        </is>
      </c>
      <c r="ABU1" t="inlineStr">
        <is>
          <t>BBG01FQ9HNT7 Equity (TSLA US 08/18/23 P180)</t>
        </is>
      </c>
      <c r="ABY1" t="inlineStr">
        <is>
          <t>BBG01FQ9HPX7 Equity (TSLA US 08/18/23 P185)</t>
        </is>
      </c>
      <c r="ACC1" t="inlineStr">
        <is>
          <t>BBG01FQ9HR18 Equity (TSLA US 08/18/23 P190)</t>
        </is>
      </c>
      <c r="ACG1" t="inlineStr">
        <is>
          <t>BBG01FQ9HS43 Equity (TSLA US 08/18/23 P195)</t>
        </is>
      </c>
      <c r="ACK1" t="inlineStr">
        <is>
          <t>BBG01FQ9HT78 Equity (TSLA US 08/18/23 P200)</t>
        </is>
      </c>
      <c r="ACO1" t="inlineStr">
        <is>
          <t>BBG01FQ9HVF4 Equity (TSLA US 08/18/23 P205)</t>
        </is>
      </c>
      <c r="ACS1" t="inlineStr">
        <is>
          <t>BBG01FQ9HWJ8 Equity (TSLA US 08/18/23 P210)</t>
        </is>
      </c>
      <c r="ACW1" t="inlineStr">
        <is>
          <t>BBG01FQ9HXM2 Equity (TSLA US 08/18/23 P215)</t>
        </is>
      </c>
      <c r="ADA1" t="inlineStr">
        <is>
          <t>BBG01FQ9HYR5 Equity (TSLA US 08/18/23 P220)</t>
        </is>
      </c>
      <c r="ADE1" t="inlineStr">
        <is>
          <t>BBG01FQ9HZV7 Equity (TSLA US 08/18/23 P225)</t>
        </is>
      </c>
      <c r="ADI1" t="inlineStr">
        <is>
          <t>BBG01FQ9J0Y9 Equity (TSLA US 08/18/23 P230)</t>
        </is>
      </c>
      <c r="ADM1" t="inlineStr">
        <is>
          <t>BBG01FQ9J220 Equity (TSLA US 08/18/23 P235)</t>
        </is>
      </c>
      <c r="ADQ1" t="inlineStr">
        <is>
          <t>BBG01FQ9J355 Equity (TSLA US 08/18/23 P240)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BDH("BBG01C5CM3Z1 Equity","PX_LAST,PX_VOLUME","1/1/2020","6/10/2026")</f>
        <v/>
      </c>
      <c r="E3">
        <f>BDH("BBG018XPQH49 Equity","PX_LAST,PX_VOLUME","1/1/2020","6/10/2026")</f>
        <v/>
      </c>
      <c r="I3">
        <f>BDH("BBG01FZ9TM25 Equity","PX_LAST,PX_VOLUME","1/1/2020","6/10/2026")</f>
        <v/>
      </c>
      <c r="M3">
        <f>BDH("BBG01C5CM522 Equity","PX_LAST,PX_VOLUME","1/1/2020","6/10/2026")</f>
        <v/>
      </c>
      <c r="Q3">
        <f>BDH("BBG01FZ9TN69 Equity","PX_LAST,PX_VOLUME","1/1/2020","6/10/2026")</f>
        <v/>
      </c>
      <c r="U3">
        <f>BDH("BBG018XPQJ72 Equity","PX_LAST,PX_VOLUME","1/1/2020","6/10/2026")</f>
        <v/>
      </c>
      <c r="Y3">
        <f>BDH("BBG01C5CM666 Equity","PX_LAST,PX_VOLUME","1/1/2020","6/10/2026")</f>
        <v/>
      </c>
      <c r="AC3">
        <f>BDH("BBG01FZ9TP91 Equity","PX_LAST,PX_VOLUME","1/1/2020","6/10/2026")</f>
        <v/>
      </c>
      <c r="AG3">
        <f>BDH("BBG01C5CM791 Equity","PX_LAST,PX_VOLUME","1/1/2020","6/10/2026")</f>
        <v/>
      </c>
      <c r="AK3">
        <f>BDH("BBG018XPQKD2 Equity","PX_LAST,PX_VOLUME","1/1/2020","6/10/2026")</f>
        <v/>
      </c>
      <c r="AO3">
        <f>BDH("BBG01FZ9TQD4 Equity","PX_LAST,PX_VOLUME","1/1/2020","6/10/2026")</f>
        <v/>
      </c>
      <c r="AS3">
        <f>BDH("BBG01C5CM8D4 Equity","PX_LAST,PX_VOLUME","1/1/2020","6/10/2026")</f>
        <v/>
      </c>
      <c r="AW3">
        <f>BDH("BBG01FZ9TRJ6 Equity","PX_LAST,PX_VOLUME","1/1/2020","6/10/2026")</f>
        <v/>
      </c>
      <c r="BA3">
        <f>BDH("BBG018XPQLH6 Equity","PX_LAST,PX_VOLUME","1/1/2020","6/10/2026")</f>
        <v/>
      </c>
      <c r="BE3">
        <f>BDH("BBG01FZ9TSM0 Equity","PX_LAST,PX_VOLUME","1/1/2020","6/10/2026")</f>
        <v/>
      </c>
      <c r="BI3">
        <f>BDH("BBG01C6FDC38 Equity","PX_LAST,PX_VOLUME","1/1/2020","6/10/2026")</f>
        <v/>
      </c>
      <c r="BM3">
        <f>BDH("BBG01FZ9TTR3 Equity","PX_LAST,PX_VOLUME","1/1/2020","6/10/2026")</f>
        <v/>
      </c>
      <c r="BQ3">
        <f>BDH("BBG018XPQML9 Equity","PX_LAST,PX_VOLUME","1/1/2020","6/10/2026")</f>
        <v/>
      </c>
      <c r="BU3">
        <f>BDH("BBG01CGX3FB3 Equity","PX_LAST,PX_VOLUME","1/1/2020","6/10/2026")</f>
        <v/>
      </c>
      <c r="BY3">
        <f>BDH("BBG01FZ9TVV3 Equity","PX_LAST,PX_VOLUME","1/1/2020","6/10/2026")</f>
        <v/>
      </c>
      <c r="CC3">
        <f>BDH("BBG01CGX3GG6 Equity","PX_LAST,PX_VOLUME","1/1/2020","6/10/2026")</f>
        <v/>
      </c>
      <c r="CG3">
        <f>BDH("BBG018XPQNR1 Equity","PX_LAST,PX_VOLUME","1/1/2020","6/10/2026")</f>
        <v/>
      </c>
      <c r="CK3">
        <f>BDH("BBG01FZ9TWY8 Equity","PX_LAST,PX_VOLUME","1/1/2020","6/10/2026")</f>
        <v/>
      </c>
      <c r="CO3">
        <f>BDH("BBG01DC5S0C1 Equity","PX_LAST,PX_VOLUME","1/1/2020","6/10/2026")</f>
        <v/>
      </c>
      <c r="CS3">
        <f>BDH("BBG01FZ9TY29 Equity","PX_LAST,PX_VOLUME","1/1/2020","6/10/2026")</f>
        <v/>
      </c>
      <c r="CW3">
        <f>BDH("BBG018XPQPV1 Equity","PX_LAST,PX_VOLUME","1/1/2020","6/10/2026")</f>
        <v/>
      </c>
      <c r="DA3">
        <f>BDH("BBG01FZ9TZ53 Equity","PX_LAST,PX_VOLUME","1/1/2020","6/10/2026")</f>
        <v/>
      </c>
      <c r="DE3">
        <f>BDH("BBG01DC5S1G5 Equity","PX_LAST,PX_VOLUME","1/1/2020","6/10/2026")</f>
        <v/>
      </c>
      <c r="DI3">
        <f>BDH("BBG01FZ9V084 Equity","PX_LAST,PX_VOLUME","1/1/2020","6/10/2026")</f>
        <v/>
      </c>
      <c r="DM3">
        <f>BDH("BBG018XPQQY6 Equity","PX_LAST,PX_VOLUME","1/1/2020","6/10/2026")</f>
        <v/>
      </c>
      <c r="DQ3">
        <f>BDH("BBG01DC5S2K8 Equity","PX_LAST,PX_VOLUME","1/1/2020","6/10/2026")</f>
        <v/>
      </c>
      <c r="DU3">
        <f>BDH("BBG01DJ4PG26 Equity","PX_LAST,PX_VOLUME","1/1/2020","6/10/2026")</f>
        <v/>
      </c>
      <c r="DY3">
        <f>BDH("BBG018XPQS27 Equity","PX_LAST,PX_VOLUME","1/1/2020","6/10/2026")</f>
        <v/>
      </c>
      <c r="EC3">
        <f>BDH("BBG01DJ4PH79 Equity","PX_LAST,PX_VOLUME","1/1/2020","6/10/2026")</f>
        <v/>
      </c>
      <c r="EG3">
        <f>BDH("BBG018XPQT52 Equity","PX_LAST,PX_VOLUME","1/1/2020","6/10/2026")</f>
        <v/>
      </c>
      <c r="EK3">
        <f>BDH("BBG01DJ4PJB0 Equity","PX_LAST,PX_VOLUME","1/1/2020","6/10/2026")</f>
        <v/>
      </c>
      <c r="EO3">
        <f>BDH("BBG018XPQV84 Equity","PX_LAST,PX_VOLUME","1/1/2020","6/10/2026")</f>
        <v/>
      </c>
      <c r="ES3">
        <f>BDH("BBG01DJ4PKF3 Equity","PX_LAST,PX_VOLUME","1/1/2020","6/10/2026")</f>
        <v/>
      </c>
      <c r="EW3">
        <f>BDH("BBG018XPQWF4 Equity","PX_LAST,PX_VOLUME","1/1/2020","6/10/2026")</f>
        <v/>
      </c>
      <c r="FA3">
        <f>BDH("BBG018XPQXJ8 Equity","PX_LAST,PX_VOLUME","1/1/2020","6/10/2026")</f>
        <v/>
      </c>
      <c r="FE3">
        <f>BDH("BBG018XPQYM2 Equity","PX_LAST,PX_VOLUME","1/1/2020","6/10/2026")</f>
        <v/>
      </c>
      <c r="FI3">
        <f>BDH("BBG018XPQZR4 Equity","PX_LAST,PX_VOLUME","1/1/2020","6/10/2026")</f>
        <v/>
      </c>
      <c r="FM3">
        <f>BDH("BBG018XPR0V5 Equity","PX_LAST,PX_VOLUME","1/1/2020","6/10/2026")</f>
        <v/>
      </c>
      <c r="FQ3">
        <f>BDH("BBG018XPR1Y0 Equity","PX_LAST,PX_VOLUME","1/1/2020","6/10/2026")</f>
        <v/>
      </c>
      <c r="FU3">
        <f>BDH("BBG018XPR321 Equity","PX_LAST,PX_VOLUME","1/1/2020","6/10/2026")</f>
        <v/>
      </c>
      <c r="FY3">
        <f>BDH("BBG018XPR456 Equity","PX_LAST,PX_VOLUME","1/1/2020","6/10/2026")</f>
        <v/>
      </c>
      <c r="GC3">
        <f>BDH("BBG01C4BSBG1 Equity","PX_LAST,PX_VOLUME","1/1/2020","6/10/2026")</f>
        <v/>
      </c>
      <c r="GG3">
        <f>BDH("BBG01C4BSCK4 Equity","PX_LAST,PX_VOLUME","1/1/2020","6/10/2026")</f>
        <v/>
      </c>
      <c r="GK3">
        <f>BDH("BBG01C4BSDP7 Equity","PX_LAST,PX_VOLUME","1/1/2020","6/10/2026")</f>
        <v/>
      </c>
      <c r="GO3">
        <f>BDH("BBG01C4BSFS9 Equity","PX_LAST,PX_VOLUME","1/1/2020","6/10/2026")</f>
        <v/>
      </c>
      <c r="GS3">
        <f>BDH("BBG01C4BSGW2 Equity","PX_LAST,PX_VOLUME","1/1/2020","6/10/2026")</f>
        <v/>
      </c>
      <c r="GW3">
        <f>BDH("BBG01C4BSJ01 Equity","PX_LAST,PX_VOLUME","1/1/2020","6/10/2026")</f>
        <v/>
      </c>
      <c r="HA3">
        <f>BDH("BBG01BY7MJG8 Equity","PX_LAST,PX_VOLUME","1/1/2020","6/10/2026")</f>
        <v/>
      </c>
      <c r="HE3">
        <f>BDH("BBG01BY7MKK0 Equity","PX_LAST,PX_VOLUME","1/1/2020","6/10/2026")</f>
        <v/>
      </c>
      <c r="HI3">
        <f>BDH("BBG01BY7MLN5 Equity","PX_LAST,PX_VOLUME","1/1/2020","6/10/2026")</f>
        <v/>
      </c>
      <c r="HM3">
        <f>BDH("BBG01BY7MMS8 Equity","PX_LAST,PX_VOLUME","1/1/2020","6/10/2026")</f>
        <v/>
      </c>
      <c r="HQ3">
        <f>BDH("BBG01BY7MNW1 Equity","PX_LAST,PX_VOLUME","1/1/2020","6/10/2026")</f>
        <v/>
      </c>
      <c r="HU3">
        <f>BDH("BBG01BY7MPZ3 Equity","PX_LAST,PX_VOLUME","1/1/2020","6/10/2026")</f>
        <v/>
      </c>
      <c r="HY3">
        <f>BDH("BBG01BY7MR34 Equity","PX_LAST,PX_VOLUME","1/1/2020","6/10/2026")</f>
        <v/>
      </c>
      <c r="IC3">
        <f>BDH("BBG01BY7MS69 Equity","PX_LAST,PX_VOLUME","1/1/2020","6/10/2026")</f>
        <v/>
      </c>
      <c r="IG3">
        <f>BDH("BBG01BY7MT94 Equity","PX_LAST,PX_VOLUME","1/1/2020","6/10/2026")</f>
        <v/>
      </c>
      <c r="IK3">
        <f>BDH("BBG01BY7MVF2 Equity","PX_LAST,PX_VOLUME","1/1/2020","6/10/2026")</f>
        <v/>
      </c>
      <c r="IO3">
        <f>BDH("BBG01BY7MWJ6 Equity","PX_LAST,PX_VOLUME","1/1/2020","6/10/2026")</f>
        <v/>
      </c>
      <c r="IS3">
        <f>BDH("BBG01BY7MXM0 Equity","PX_LAST,PX_VOLUME","1/1/2020","6/10/2026")</f>
        <v/>
      </c>
      <c r="IW3">
        <f>BDH("BBG01BY7MYR3 Equity","PX_LAST,PX_VOLUME","1/1/2020","6/10/2026")</f>
        <v/>
      </c>
      <c r="JA3">
        <f>BDH("BBG01BY7MZV5 Equity","PX_LAST,PX_VOLUME","1/1/2020","6/10/2026")</f>
        <v/>
      </c>
      <c r="JE3">
        <f>BDH("BBG01BY7N0Y8 Equity","PX_LAST,PX_VOLUME","1/1/2020","6/10/2026")</f>
        <v/>
      </c>
      <c r="JI3">
        <f>BDH("BBG01DJ4PLM3 Equity","PX_LAST,PX_VOLUME","1/1/2020","6/10/2026")</f>
        <v/>
      </c>
      <c r="JM3">
        <f>BDH("BBG01DC5S3P1 Equity","PX_LAST,PX_VOLUME","1/1/2020","6/10/2026")</f>
        <v/>
      </c>
      <c r="JQ3">
        <f>BDH("BBG01DJ4PMQ7 Equity","PX_LAST,PX_VOLUME","1/1/2020","6/10/2026")</f>
        <v/>
      </c>
      <c r="JU3">
        <f>BDH("BBG01DJ4PNT2 Equity","PX_LAST,PX_VOLUME","1/1/2020","6/10/2026")</f>
        <v/>
      </c>
      <c r="JY3">
        <f>BDH("BBG01DJ4PPY1 Equity","PX_LAST,PX_VOLUME","1/1/2020","6/10/2026")</f>
        <v/>
      </c>
      <c r="KC3">
        <f>BDH("BBG01DJ4PR13 Equity","PX_LAST,PX_VOLUME","1/1/2020","6/10/2026")</f>
        <v/>
      </c>
      <c r="KG3">
        <f>BDH("BBG01DJ4PS48 Equity","PX_LAST,PX_VOLUME","1/1/2020","6/10/2026")</f>
        <v/>
      </c>
      <c r="KK3">
        <f>BDH("BBG01DJ4PT82 Equity","PX_LAST,PX_VOLUME","1/1/2020","6/10/2026")</f>
        <v/>
      </c>
      <c r="KO3">
        <f>BDH("BBG01DJ4PVC2 Equity","PX_LAST,PX_VOLUME","1/1/2020","6/10/2026")</f>
        <v/>
      </c>
      <c r="KS3">
        <f>BDH("BBG01DJ4PWG6 Equity","PX_LAST,PX_VOLUME","1/1/2020","6/10/2026")</f>
        <v/>
      </c>
      <c r="KW3">
        <f>BDH("BBG010KVSBD8 Equity","PX_LAST,PX_VOLUME","1/1/2020","6/10/2026")</f>
        <v/>
      </c>
      <c r="LA3">
        <f>BDH("BBG01C4RR3X6 Equity","PX_LAST,PX_VOLUME","1/1/2020","6/10/2026")</f>
        <v/>
      </c>
      <c r="LE3">
        <f>BDH("BBG01C4RR507 Equity","PX_LAST,PX_VOLUME","1/1/2020","6/10/2026")</f>
        <v/>
      </c>
      <c r="LI3">
        <f>BDH("BBG01C5CMJ59 Equity","PX_LAST,PX_VOLUME","1/1/2020","6/10/2026")</f>
        <v/>
      </c>
      <c r="LM3">
        <f>BDH("BBG010KVSCH2 Equity","PX_LAST,PX_VOLUME","1/1/2020","6/10/2026")</f>
        <v/>
      </c>
      <c r="LQ3">
        <f>BDH("BBG01B4PFR35 Equity","PX_LAST,PX_VOLUME","1/1/2020","6/10/2026")</f>
        <v/>
      </c>
      <c r="LU3">
        <f>BDH("BBG017FXKD21 Equity","PX_LAST,PX_VOLUME","1/1/2020","6/10/2026")</f>
        <v/>
      </c>
      <c r="LY3">
        <f>BDH("BBG01B4PFS60 Equity","PX_LAST,PX_VOLUME","1/1/2020","6/10/2026")</f>
        <v/>
      </c>
      <c r="MC3">
        <f>BDH("BBG017FXKF80 Equity","PX_LAST,PX_VOLUME","1/1/2020","6/10/2026")</f>
        <v/>
      </c>
      <c r="MG3">
        <f>BDH("BBG017FXKGC3 Equity","PX_LAST,PX_VOLUME","1/1/2020","6/10/2026")</f>
        <v/>
      </c>
      <c r="MK3">
        <f>BDH("BBG010KVSDL5 Equity","PX_LAST,PX_VOLUME","1/1/2020","6/10/2026")</f>
        <v/>
      </c>
      <c r="MO3">
        <f>BDH("BBG01B4PFT95 Equity","PX_LAST,PX_VOLUME","1/1/2020","6/10/2026")</f>
        <v/>
      </c>
      <c r="MS3">
        <f>BDH("BBG017FXKHG7 Equity","PX_LAST,PX_VOLUME","1/1/2020","6/10/2026")</f>
        <v/>
      </c>
      <c r="MW3">
        <f>BDH("BBG017FXKJM6 Equity","PX_LAST,PX_VOLUME","1/1/2020","6/10/2026")</f>
        <v/>
      </c>
      <c r="NA3">
        <f>BDH("BBG017FXKKQ9 Equity","PX_LAST,PX_VOLUME","1/1/2020","6/10/2026")</f>
        <v/>
      </c>
      <c r="NE3">
        <f>BDH("BBG01B4PFVF3 Equity","PX_LAST,PX_VOLUME","1/1/2020","6/10/2026")</f>
        <v/>
      </c>
      <c r="NI3">
        <f>BDH("BBG017FXKLT4 Equity","PX_LAST,PX_VOLUME","1/1/2020","6/10/2026")</f>
        <v/>
      </c>
      <c r="NM3">
        <f>BDH("BBG010KVSFS3 Equity","PX_LAST,PX_VOLUME","1/1/2020","6/10/2026")</f>
        <v/>
      </c>
      <c r="NQ3">
        <f>BDH("BBG017FXKMZ5 Equity","PX_LAST,PX_VOLUME","1/1/2020","6/10/2026")</f>
        <v/>
      </c>
      <c r="NU3">
        <f>BDH("BBG01B4PFWJ7 Equity","PX_LAST,PX_VOLUME","1/1/2020","6/10/2026")</f>
        <v/>
      </c>
      <c r="NY3">
        <f>BDH("BBG017FXKP24 Equity","PX_LAST,PX_VOLUME","1/1/2020","6/10/2026")</f>
        <v/>
      </c>
      <c r="OC3">
        <f>BDH("BBG017FXKQ59 Equity","PX_LAST,PX_VOLUME","1/1/2020","6/10/2026")</f>
        <v/>
      </c>
      <c r="OG3">
        <f>BDH("BBG017FXKRB0 Equity","PX_LAST,PX_VOLUME","1/1/2020","6/10/2026")</f>
        <v/>
      </c>
      <c r="OK3">
        <f>BDH("BBG01B4PFXM1 Equity","PX_LAST,PX_VOLUME","1/1/2020","6/10/2026")</f>
        <v/>
      </c>
      <c r="OO3">
        <f>BDH("BBG010KVSGW6 Equity","PX_LAST,PX_VOLUME","1/1/2020","6/10/2026")</f>
        <v/>
      </c>
      <c r="OS3">
        <f>BDH("BBG01B4PFYR4 Equity","PX_LAST,PX_VOLUME","1/1/2020","6/10/2026")</f>
        <v/>
      </c>
      <c r="OW3">
        <f>BDH("BBG017FXKSF4 Equity","PX_LAST,PX_VOLUME","1/1/2020","6/10/2026")</f>
        <v/>
      </c>
      <c r="PA3">
        <f>BDH("BBG01B4PFZV6 Equity","PX_LAST,PX_VOLUME","1/1/2020","6/10/2026")</f>
        <v/>
      </c>
      <c r="PE3">
        <f>BDH("BBG017FXKTJ8 Equity","PX_LAST,PX_VOLUME","1/1/2020","6/10/2026")</f>
        <v/>
      </c>
      <c r="PI3">
        <f>BDH("BBG010KVSHZ1 Equity","PX_LAST,PX_VOLUME","1/1/2020","6/10/2026")</f>
        <v/>
      </c>
      <c r="PM3">
        <f>BDH("BBG01B4PG0Y9 Equity","PX_LAST,PX_VOLUME","1/1/2020","6/10/2026")</f>
        <v/>
      </c>
      <c r="PQ3">
        <f>BDH("BBG017FXKVP6 Equity","PX_LAST,PX_VOLUME","1/1/2020","6/10/2026")</f>
        <v/>
      </c>
      <c r="PU3">
        <f>BDH("BBG01B4PG220 Equity","PX_LAST,PX_VOLUME","1/1/2020","6/10/2026")</f>
        <v/>
      </c>
      <c r="PY3">
        <f>BDH("BBG011KBMGP2 Equity","PX_LAST,PX_VOLUME","1/1/2020","6/10/2026")</f>
        <v/>
      </c>
      <c r="QC3">
        <f>BDH("BBG01B4PG355 Equity","PX_LAST,PX_VOLUME","1/1/2020","6/10/2026")</f>
        <v/>
      </c>
      <c r="QG3">
        <f>BDH("BBG010KVSK39 Equity","PX_LAST,PX_VOLUME","1/1/2020","6/10/2026")</f>
        <v/>
      </c>
      <c r="QK3">
        <f>BDH("BBG01B4PG499 Equity","PX_LAST,PX_VOLUME","1/1/2020","6/10/2026")</f>
        <v/>
      </c>
      <c r="QO3">
        <f>BDH("BBG017FXKWS1 Equity","PX_LAST,PX_VOLUME","1/1/2020","6/10/2026")</f>
        <v/>
      </c>
      <c r="QS3">
        <f>BDH("BBG01B4PG5D1 Equity","PX_LAST,PX_VOLUME","1/1/2020","6/10/2026")</f>
        <v/>
      </c>
      <c r="QW3">
        <f>BDH("BBG017FXKXW4 Equity","PX_LAST,PX_VOLUME","1/1/2020","6/10/2026")</f>
        <v/>
      </c>
      <c r="RA3">
        <f>BDH("BBG01B4PG6H5 Equity","PX_LAST,PX_VOLUME","1/1/2020","6/10/2026")</f>
        <v/>
      </c>
      <c r="RE3">
        <f>BDH("BBG010KVSL64 Equity","PX_LAST,PX_VOLUME","1/1/2020","6/10/2026")</f>
        <v/>
      </c>
      <c r="RI3">
        <f>BDH("BBG017FXKZ13 Equity","PX_LAST,PX_VOLUME","1/1/2020","6/10/2026")</f>
        <v/>
      </c>
      <c r="RM3">
        <f>BDH("BBG01B4PG7M7 Equity","PX_LAST,PX_VOLUME","1/1/2020","6/10/2026")</f>
        <v/>
      </c>
      <c r="RQ3">
        <f>BDH("BBG017FXL046 Equity","PX_LAST,PX_VOLUME","1/1/2020","6/10/2026")</f>
        <v/>
      </c>
      <c r="RU3">
        <f>BDH("BBG01B4PG8Q1 Equity","PX_LAST,PX_VOLUME","1/1/2020","6/10/2026")</f>
        <v/>
      </c>
      <c r="RY3">
        <f>BDH("BBG010KVSM99 Equity","PX_LAST,PX_VOLUME","1/1/2020","6/10/2026")</f>
        <v/>
      </c>
      <c r="SC3">
        <f>BDH("BBG01B4PG9T6 Equity","PX_LAST,PX_VOLUME","1/1/2020","6/10/2026")</f>
        <v/>
      </c>
      <c r="SG3">
        <f>BDH("BBG017FXL171 Equity","PX_LAST,PX_VOLUME","1/1/2020","6/10/2026")</f>
        <v/>
      </c>
      <c r="SK3">
        <f>BDH("BBG011KBMHV3 Equity","PX_LAST,PX_VOLUME","1/1/2020","6/10/2026")</f>
        <v/>
      </c>
      <c r="SO3">
        <f>BDH("BBG01B4PGBY5 Equity","PX_LAST,PX_VOLUME","1/1/2020","6/10/2026")</f>
        <v/>
      </c>
      <c r="SS3">
        <f>BDH("BBG017FXL2F0 Equity","PX_LAST,PX_VOLUME","1/1/2020","6/10/2026")</f>
        <v/>
      </c>
      <c r="SW3">
        <f>BDH("BBG010KVSNF0 Equity","PX_LAST,PX_VOLUME","1/1/2020","6/10/2026")</f>
        <v/>
      </c>
      <c r="TA3">
        <f>BDH("BBG01BP8RWT8 Equity","PX_LAST,PX_VOLUME","1/1/2020","6/10/2026")</f>
        <v/>
      </c>
      <c r="TE3">
        <f>BDH("BBG01BP8RXX1 Equity","PX_LAST,PX_VOLUME","1/1/2020","6/10/2026")</f>
        <v/>
      </c>
      <c r="TI3">
        <f>BDH("BBG01BP8RZ02 Equity","PX_LAST,PX_VOLUME","1/1/2020","6/10/2026")</f>
        <v/>
      </c>
      <c r="TM3">
        <f>BDH("BBG01BP8S044 Equity","PX_LAST,PX_VOLUME","1/1/2020","6/10/2026")</f>
        <v/>
      </c>
      <c r="TQ3">
        <f>BDH("BBG01BP8S179 Equity","PX_LAST,PX_VOLUME","1/1/2020","6/10/2026")</f>
        <v/>
      </c>
      <c r="TU3">
        <f>BDH("BBG01BP8S2B2 Equity","PX_LAST,PX_VOLUME","1/1/2020","6/10/2026")</f>
        <v/>
      </c>
      <c r="TY3">
        <f>BDH("BBG01BP8S3G5 Equity","PX_LAST,PX_VOLUME","1/1/2020","6/10/2026")</f>
        <v/>
      </c>
      <c r="UC3">
        <f>BDH("BBG01BP8S4K8 Equity","PX_LAST,PX_VOLUME","1/1/2020","6/10/2026")</f>
        <v/>
      </c>
      <c r="UG3">
        <f>BDH("BBG01BP8S5N2 Equity","PX_LAST,PX_VOLUME","1/1/2020","6/10/2026")</f>
        <v/>
      </c>
      <c r="UK3">
        <f>BDH("BBG01BP8S6S5 Equity","PX_LAST,PX_VOLUME","1/1/2020","6/10/2026")</f>
        <v/>
      </c>
      <c r="UO3">
        <f>BDH("BBG01BP8S7W8 Equity","PX_LAST,PX_VOLUME","1/1/2020","6/10/2026")</f>
        <v/>
      </c>
      <c r="US3">
        <f>BDH("BBG01BP8S8Z3 Equity","PX_LAST,PX_VOLUME","1/1/2020","6/10/2026")</f>
        <v/>
      </c>
      <c r="UW3">
        <f>BDH("BBG01BP8SB31 Equity","PX_LAST,PX_VOLUME","1/1/2020","6/10/2026")</f>
        <v/>
      </c>
      <c r="VA3">
        <f>BDH("BBG01BP8SC66 Equity","PX_LAST,PX_VOLUME","1/1/2020","6/10/2026")</f>
        <v/>
      </c>
      <c r="VE3">
        <f>BDH("BBG01BP8SD91 Equity","PX_LAST,PX_VOLUME","1/1/2020","6/10/2026")</f>
        <v/>
      </c>
      <c r="VI3">
        <f>BDH("BBG01BP8SFF9 Equity","PX_LAST,PX_VOLUME","1/1/2020","6/10/2026")</f>
        <v/>
      </c>
      <c r="VM3">
        <f>BDH("BBG01H4564S0 Equity","PX_LAST,PX_VOLUME","1/1/2020","6/10/2026")</f>
        <v/>
      </c>
      <c r="VQ3">
        <f>BDH("BBG01BP8SGJ3 Equity","PX_LAST,PX_VOLUME","1/1/2020","6/10/2026")</f>
        <v/>
      </c>
      <c r="VU3">
        <f>BDH("BBG01H4565X1 Equity","PX_LAST,PX_VOLUME","1/1/2020","6/10/2026")</f>
        <v/>
      </c>
      <c r="VY3">
        <f>BDH("BBG01BP8SHM7 Equity","PX_LAST,PX_VOLUME","1/1/2020","6/10/2026")</f>
        <v/>
      </c>
      <c r="WC3">
        <f>BDH("BBG01H456703 Equity","PX_LAST,PX_VOLUME","1/1/2020","6/10/2026")</f>
        <v/>
      </c>
      <c r="WG3">
        <f>BDH("BBG01BP8SJR8 Equity","PX_LAST,PX_VOLUME","1/1/2020","6/10/2026")</f>
        <v/>
      </c>
      <c r="WK3">
        <f>BDH("BBG01H456847 Equity","PX_LAST,PX_VOLUME","1/1/2020","6/10/2026")</f>
        <v/>
      </c>
      <c r="WO3">
        <f>BDH("BBG01BP8SKV0 Equity","PX_LAST,PX_VOLUME","1/1/2020","6/10/2026")</f>
        <v/>
      </c>
      <c r="WS3">
        <f>BDH("BBG01H456972 Equity","PX_LAST,PX_VOLUME","1/1/2020","6/10/2026")</f>
        <v/>
      </c>
      <c r="WW3">
        <f>BDH("BBG01BP8SLY5 Equity","PX_LAST,PX_VOLUME","1/1/2020","6/10/2026")</f>
        <v/>
      </c>
      <c r="XA3">
        <f>BDH("BBG01H456BB2 Equity","PX_LAST,PX_VOLUME","1/1/2020","6/10/2026")</f>
        <v/>
      </c>
      <c r="XE3">
        <f>BDH("BBG01BP8SN26 Equity","PX_LAST,PX_VOLUME","1/1/2020","6/10/2026")</f>
        <v/>
      </c>
      <c r="XI3">
        <f>BDH("BBG01H456CG5 Equity","PX_LAST,PX_VOLUME","1/1/2020","6/10/2026")</f>
        <v/>
      </c>
      <c r="XM3">
        <f>BDH("BBG01BP8SP58 Equity","PX_LAST,PX_VOLUME","1/1/2020","6/10/2026")</f>
        <v/>
      </c>
      <c r="XQ3">
        <f>BDH("BBG01H456DK8 Equity","PX_LAST,PX_VOLUME","1/1/2020","6/10/2026")</f>
        <v/>
      </c>
      <c r="XU3">
        <f>BDH("BBG01BP8SQ83 Equity","PX_LAST,PX_VOLUME","1/1/2020","6/10/2026")</f>
        <v/>
      </c>
      <c r="XY3">
        <f>BDH("BBG01H456FN0 Equity","PX_LAST,PX_VOLUME","1/1/2020","6/10/2026")</f>
        <v/>
      </c>
      <c r="YC3">
        <f>BDH("BBG01BP8SRD5 Equity","PX_LAST,PX_VOLUME","1/1/2020","6/10/2026")</f>
        <v/>
      </c>
      <c r="YG3">
        <f>BDH("BBG01H456GS3 Equity","PX_LAST,PX_VOLUME","1/1/2020","6/10/2026")</f>
        <v/>
      </c>
      <c r="YK3">
        <f>BDH("BBG01BP8SSH9 Equity","PX_LAST,PX_VOLUME","1/1/2020","6/10/2026")</f>
        <v/>
      </c>
      <c r="YO3">
        <f>BDH("BBG01H456HW6 Equity","PX_LAST,PX_VOLUME","1/1/2020","6/10/2026")</f>
        <v/>
      </c>
      <c r="YS3">
        <f>BDH("BBG01BP8STL2 Equity","PX_LAST,PX_VOLUME","1/1/2020","6/10/2026")</f>
        <v/>
      </c>
      <c r="YW3">
        <f>BDH("BBG01H456JZ9 Equity","PX_LAST,PX_VOLUME","1/1/2020","6/10/2026")</f>
        <v/>
      </c>
      <c r="ZA3">
        <f>BDH("BBG01BP8SVQ2 Equity","PX_LAST,PX_VOLUME","1/1/2020","6/10/2026")</f>
        <v/>
      </c>
      <c r="ZE3">
        <f>BDH("BBG01BP8SWT7 Equity","PX_LAST,PX_VOLUME","1/1/2020","6/10/2026")</f>
        <v/>
      </c>
      <c r="ZI3">
        <f>BDH("BBG01BP8SXX0 Equity","PX_LAST,PX_VOLUME","1/1/2020","6/10/2026")</f>
        <v/>
      </c>
      <c r="ZM3">
        <f>BDH("BBG01BP8SZ10 Equity","PX_LAST,PX_VOLUME","1/1/2020","6/10/2026")</f>
        <v/>
      </c>
      <c r="ZQ3">
        <f>BDH("BBG01BP8T043 Equity","PX_LAST,PX_VOLUME","1/1/2020","6/10/2026")</f>
        <v/>
      </c>
      <c r="ZU3">
        <f>BDH("BBG01BP8T178 Equity","PX_LAST,PX_VOLUME","1/1/2020","6/10/2026")</f>
        <v/>
      </c>
      <c r="ZY3">
        <f>BDH("BBG01BP8T2C0 Equity","PX_LAST,PX_VOLUME","1/1/2020","6/10/2026")</f>
        <v/>
      </c>
      <c r="AAC3">
        <f>BDH("BBG01BP8T3G4 Equity","PX_LAST,PX_VOLUME","1/1/2020","6/10/2026")</f>
        <v/>
      </c>
      <c r="AAG3">
        <f>BDH("BBG01BP8T4L6 Equity","PX_LAST,PX_VOLUME","1/1/2020","6/10/2026")</f>
        <v/>
      </c>
      <c r="AAK3">
        <f>BDH("BBG01BP8T5P9 Equity","PX_LAST,PX_VOLUME","1/1/2020","6/10/2026")</f>
        <v/>
      </c>
      <c r="AAO3">
        <f>BDH("BBG01BPSTXL8 Equity","PX_LAST,PX_VOLUME","1/1/2020","6/10/2026")</f>
        <v/>
      </c>
      <c r="AAS3">
        <f>BDH("BBG01BPSTYP2 Equity","PX_LAST,PX_VOLUME","1/1/2020","6/10/2026")</f>
        <v/>
      </c>
      <c r="AAW3">
        <f>BDH("BBG01BPSTZS6 Equity","PX_LAST,PX_VOLUME","1/1/2020","6/10/2026")</f>
        <v/>
      </c>
      <c r="ABA3">
        <f>BDH("BBG01BPSV0X4 Equity","PX_LAST,PX_VOLUME","1/1/2020","6/10/2026")</f>
        <v/>
      </c>
      <c r="ABE3">
        <f>BDH("BBG01FQ9HJD3 Equity","PX_LAST,PX_VOLUME","1/1/2020","6/10/2026")</f>
        <v/>
      </c>
      <c r="ABI3">
        <f>BDH("BBG01FQ9HKH6 Equity","PX_LAST,PX_VOLUME","1/1/2020","6/10/2026")</f>
        <v/>
      </c>
      <c r="ABM3">
        <f>BDH("BBG01FQ9HLL9 Equity","PX_LAST,PX_VOLUME","1/1/2020","6/10/2026")</f>
        <v/>
      </c>
      <c r="ABQ3">
        <f>BDH("BBG01FQ9HMQ2 Equity","PX_LAST,PX_VOLUME","1/1/2020","6/10/2026")</f>
        <v/>
      </c>
      <c r="ABU3">
        <f>BDH("BBG01FQ9HNT7 Equity","PX_LAST,PX_VOLUME","1/1/2020","6/10/2026")</f>
        <v/>
      </c>
      <c r="ABY3">
        <f>BDH("BBG01FQ9HPX7 Equity","PX_LAST,PX_VOLUME","1/1/2020","6/10/2026")</f>
        <v/>
      </c>
      <c r="ACC3">
        <f>BDH("BBG01FQ9HR18 Equity","PX_LAST,PX_VOLUME","1/1/2020","6/10/2026")</f>
        <v/>
      </c>
      <c r="ACG3">
        <f>BDH("BBG01FQ9HS43 Equity","PX_LAST,PX_VOLUME","1/1/2020","6/10/2026")</f>
        <v/>
      </c>
      <c r="ACK3">
        <f>BDH("BBG01FQ9HT78 Equity","PX_LAST,PX_VOLUME","1/1/2020","6/10/2026")</f>
        <v/>
      </c>
      <c r="ACO3">
        <f>BDH("BBG01FQ9HVF4 Equity","PX_LAST,PX_VOLUME","1/1/2020","6/10/2026")</f>
        <v/>
      </c>
      <c r="ACS3">
        <f>BDH("BBG01FQ9HWJ8 Equity","PX_LAST,PX_VOLUME","1/1/2020","6/10/2026")</f>
        <v/>
      </c>
      <c r="ACW3">
        <f>BDH("BBG01FQ9HXM2 Equity","PX_LAST,PX_VOLUME","1/1/2020","6/10/2026")</f>
        <v/>
      </c>
      <c r="ADA3">
        <f>BDH("BBG01FQ9HYR5 Equity","PX_LAST,PX_VOLUME","1/1/2020","6/10/2026")</f>
        <v/>
      </c>
      <c r="ADE3">
        <f>BDH("BBG01FQ9HZV7 Equity","PX_LAST,PX_VOLUME","1/1/2020","6/10/2026")</f>
        <v/>
      </c>
      <c r="ADI3">
        <f>BDH("BBG01FQ9J0Y9 Equity","PX_LAST,PX_VOLUME","1/1/2020","6/10/2026")</f>
        <v/>
      </c>
      <c r="ADM3">
        <f>BDH("BBG01FQ9J220 Equity","PX_LAST,PX_VOLUME","1/1/2020","6/10/2026")</f>
        <v/>
      </c>
      <c r="ADQ3">
        <f>BDH("BBG01FQ9J355 Equity","PX_LAST,PX_VOLUME","1/1/2020","6/10/2026")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BBG01FQ9J480 Equity (TSLA US 08/18/23 P245)</t>
        </is>
      </c>
      <c r="E1" t="inlineStr">
        <is>
          <t>BBG01FQ9J5D1 Equity (TSLA US 08/18/23 P250)</t>
        </is>
      </c>
      <c r="I1" t="inlineStr">
        <is>
          <t>BBG01FQ9J6H5 Equity (TSLA US 08/18/23 P255)</t>
        </is>
      </c>
      <c r="M1" t="inlineStr">
        <is>
          <t>BBG01FQ9J7M7 Equity (TSLA US 08/18/23 P260)</t>
        </is>
      </c>
      <c r="Q1" t="inlineStr">
        <is>
          <t>BBG01FQ9J8Q1 Equity (TSLA US 08/18/23 P265)</t>
        </is>
      </c>
      <c r="U1" t="inlineStr">
        <is>
          <t>BBG01FQ9J9T6 Equity (TSLA US 08/18/23 P270)</t>
        </is>
      </c>
      <c r="Y1" t="inlineStr">
        <is>
          <t>BBG01FQ9JBY5 Equity (TSLA US 08/18/23 P275)</t>
        </is>
      </c>
      <c r="AC1" t="inlineStr">
        <is>
          <t>BBG01FQ9JD17 Equity (TSLA US 08/18/23 P280)</t>
        </is>
      </c>
      <c r="AG1" t="inlineStr">
        <is>
          <t>BBG01FQ9JF49 Equity (TSLA US 08/18/23 P285)</t>
        </is>
      </c>
      <c r="AK1" t="inlineStr">
        <is>
          <t>BBG01FQ9JG83 Equity (TSLA US 08/18/23 P290)</t>
        </is>
      </c>
      <c r="AO1" t="inlineStr">
        <is>
          <t>BBG01FQ9JHC6 Equity (TSLA US 08/18/23 P295)</t>
        </is>
      </c>
      <c r="AS1" t="inlineStr">
        <is>
          <t>BBG01FQ9JJG8 Equity (TSLA US 08/18/23 P300)</t>
        </is>
      </c>
      <c r="AW1" t="inlineStr">
        <is>
          <t>BBG01FQ9JKL9 Equity (TSLA US 08/18/23 P305)</t>
        </is>
      </c>
      <c r="BA1" t="inlineStr">
        <is>
          <t>BBG01FQ9JLP3 Equity (TSLA US 08/18/23 P310)</t>
        </is>
      </c>
      <c r="BE1" t="inlineStr">
        <is>
          <t>BBG01FQ9JMS8 Equity (TSLA US 08/18/23 P315)</t>
        </is>
      </c>
      <c r="BI1" t="inlineStr">
        <is>
          <t>BBG01FQ9JNX0 Equity (TSLA US 08/18/23 P320)</t>
        </is>
      </c>
      <c r="BM1" t="inlineStr">
        <is>
          <t>BBG01FQ9JQ09 Equity (TSLA US 08/18/23 P325)</t>
        </is>
      </c>
      <c r="BQ1" t="inlineStr">
        <is>
          <t>BBG01FQ9JR34 Equity (TSLA US 08/18/23 P330)</t>
        </is>
      </c>
      <c r="BU1" t="inlineStr">
        <is>
          <t>BBG01FQ9JS78 Equity (TSLA US 08/18/23 P335)</t>
        </is>
      </c>
      <c r="BY1" t="inlineStr">
        <is>
          <t>BBG01FQ9JTB1 Equity (TSLA US 08/18/23 P340)</t>
        </is>
      </c>
      <c r="CC1" t="inlineStr">
        <is>
          <t>BBG01FQ9JVF2 Equity (TSLA US 08/18/23 P345)</t>
        </is>
      </c>
      <c r="CG1" t="inlineStr">
        <is>
          <t>BBG01FQ9JWK4 Equity (TSLA US 08/18/23 P350)</t>
        </is>
      </c>
      <c r="CK1" t="inlineStr">
        <is>
          <t>BBG01FQ9JXN9 Equity (TSLA US 08/18/23 P355)</t>
        </is>
      </c>
      <c r="CO1" t="inlineStr">
        <is>
          <t>BBG01FQ9JYR3 Equity (TSLA US 08/18/23 P360)</t>
        </is>
      </c>
      <c r="CS1" t="inlineStr">
        <is>
          <t>BBG017FXLWB8 Equity (TSLA US 09/15/23 P156.67)</t>
        </is>
      </c>
      <c r="CW1" t="inlineStr">
        <is>
          <t>BBG015902H34 Equity (TSLA US 09/15/23 P158.33)</t>
        </is>
      </c>
      <c r="DA1" t="inlineStr">
        <is>
          <t>BBG017FXLXG1 Equity (TSLA US 09/15/23 P160)</t>
        </is>
      </c>
      <c r="DE1" t="inlineStr">
        <is>
          <t>BBG017FXLYK4 Equity (TSLA US 09/15/23 P163.33)</t>
        </is>
      </c>
      <c r="DI1" t="inlineStr">
        <is>
          <t>BBG01C5CN0P7 Equity (TSLA US 09/15/23 P165)</t>
        </is>
      </c>
      <c r="DM1" t="inlineStr">
        <is>
          <t>BBG015902JB1 Equity (TSLA US 09/15/23 P166.67)</t>
        </is>
      </c>
      <c r="DQ1" t="inlineStr">
        <is>
          <t>BBG01C5CN1S2 Equity (TSLA US 09/15/23 P170)</t>
        </is>
      </c>
      <c r="DU1" t="inlineStr">
        <is>
          <t>BBG017FXLZN8 Equity (TSLA US 09/15/23 P173.33)</t>
        </is>
      </c>
      <c r="DY1" t="inlineStr">
        <is>
          <t>BBG015902KF4 Equity (TSLA US 09/15/23 P175)</t>
        </is>
      </c>
      <c r="EC1" t="inlineStr">
        <is>
          <t>BBG017FXM0V5 Equity (TSLA US 09/15/23 P180)</t>
        </is>
      </c>
      <c r="EG1" t="inlineStr">
        <is>
          <t>BBG015902LJ8 Equity (TSLA US 09/15/23 P183.33)</t>
        </is>
      </c>
      <c r="EK1" t="inlineStr">
        <is>
          <t>BBG01CG2DWG8 Equity (TSLA US 09/15/23 P185)</t>
        </is>
      </c>
      <c r="EO1" t="inlineStr">
        <is>
          <t>BBG017FXM1Y0 Equity (TSLA US 09/15/23 P186.67)</t>
        </is>
      </c>
      <c r="ES1" t="inlineStr">
        <is>
          <t>BBG01CG2DXK1 Equity (TSLA US 09/15/23 P190)</t>
        </is>
      </c>
      <c r="EW1" t="inlineStr">
        <is>
          <t>BBG015902MT5 Equity (TSLA US 09/15/23 P191.67)</t>
        </is>
      </c>
      <c r="FA1" t="inlineStr">
        <is>
          <t>BBG017FXM312 Equity (TSLA US 09/15/23 P193.33)</t>
        </is>
      </c>
      <c r="FE1" t="inlineStr">
        <is>
          <t>BBG01CG2DYN6 Equity (TSLA US 09/15/23 P195)</t>
        </is>
      </c>
      <c r="FI1" t="inlineStr">
        <is>
          <t>BBG015902NX8 Equity (TSLA US 09/15/23 P200)</t>
        </is>
      </c>
      <c r="FM1" t="inlineStr">
        <is>
          <t>BBG01CG2DZT7 Equity (TSLA US 09/15/23 P205)</t>
        </is>
      </c>
      <c r="FQ1" t="inlineStr">
        <is>
          <t>BBG017FXM465 Equity (TSLA US 09/15/23 P206.67)</t>
        </is>
      </c>
      <c r="FU1" t="inlineStr">
        <is>
          <t>BBG015902Q07 Equity (TSLA US 09/15/23 P208.33)</t>
        </is>
      </c>
      <c r="FY1" t="inlineStr">
        <is>
          <t>BBG01CG2F0X7 Equity (TSLA US 09/15/23 P210)</t>
        </is>
      </c>
      <c r="GC1" t="inlineStr">
        <is>
          <t>BBG017FXM599 Equity (TSLA US 09/15/23 P213.33)</t>
        </is>
      </c>
      <c r="GG1" t="inlineStr">
        <is>
          <t>BBG01CG2F209 Equity (TSLA US 09/15/23 P215)</t>
        </is>
      </c>
      <c r="GK1" t="inlineStr">
        <is>
          <t>BBG015902R87 Equity (TSLA US 09/15/23 P216.67)</t>
        </is>
      </c>
      <c r="GO1" t="inlineStr">
        <is>
          <t>BBG017FXM6D2 Equity (TSLA US 09/15/23 P220)</t>
        </is>
      </c>
      <c r="GS1" t="inlineStr">
        <is>
          <t>BBG015902SC0 Equity (TSLA US 09/15/23 P225)</t>
        </is>
      </c>
      <c r="GW1" t="inlineStr">
        <is>
          <t>BBG017FXM7K2 Equity (TSLA US 09/15/23 P226.67)</t>
        </is>
      </c>
      <c r="HA1" t="inlineStr">
        <is>
          <t>BBG01CG2F343 Equity (TSLA US 09/15/23 P230)</t>
        </is>
      </c>
      <c r="HE1" t="inlineStr">
        <is>
          <t>BBG015902TG4 Equity (TSLA US 09/15/23 P233.33)</t>
        </is>
      </c>
      <c r="HI1" t="inlineStr">
        <is>
          <t>BBG01CTQYD70 Equity (TSLA US 09/15/23 P235)</t>
        </is>
      </c>
      <c r="HM1" t="inlineStr">
        <is>
          <t>BBG017FXM8N7 Equity (TSLA US 09/15/23 P240)</t>
        </is>
      </c>
      <c r="HQ1" t="inlineStr">
        <is>
          <t>BBG015902VQ8 Equity (TSLA US 09/15/23 P241.67)</t>
        </is>
      </c>
      <c r="HU1" t="inlineStr">
        <is>
          <t>BBG01CTQYLT8 Equity (TSLA US 09/15/23 P245)</t>
        </is>
      </c>
      <c r="HY1" t="inlineStr">
        <is>
          <t>BBG017FXM9R1 Equity (TSLA US 09/15/23 P246.67)</t>
        </is>
      </c>
      <c r="IC1" t="inlineStr">
        <is>
          <t>BBG015902WT3 Equity (TSLA US 09/15/23 P250)</t>
        </is>
      </c>
      <c r="IG1" t="inlineStr">
        <is>
          <t>BBG017FXMBX9 Equity (TSLA US 09/15/23 P253.33)</t>
        </is>
      </c>
      <c r="IK1" t="inlineStr">
        <is>
          <t>BBG01CTQYMX1 Equity (TSLA US 09/15/23 P255)</t>
        </is>
      </c>
      <c r="IO1" t="inlineStr">
        <is>
          <t>BBG015902XX6 Equity (TSLA US 09/15/23 P258.33)</t>
        </is>
      </c>
      <c r="IS1" t="inlineStr">
        <is>
          <t>BBG017FXMD01 Equity (TSLA US 09/15/23 P260)</t>
        </is>
      </c>
      <c r="IW1" t="inlineStr">
        <is>
          <t>BBG01CTQYP00 Equity (TSLA US 09/15/23 P265)</t>
        </is>
      </c>
      <c r="JA1" t="inlineStr">
        <is>
          <t>BBG015902Z34 Equity (TSLA US 09/15/23 P266.67)</t>
        </is>
      </c>
      <c r="JE1" t="inlineStr">
        <is>
          <t>BBG01CTQYR97 Equity (TSLA US 09/15/23 P270)</t>
        </is>
      </c>
      <c r="JI1" t="inlineStr">
        <is>
          <t>BBG017FXMF33 Equity (TSLA US 09/15/23 P273.33)</t>
        </is>
      </c>
      <c r="JM1" t="inlineStr">
        <is>
          <t>BBG015903067 Equity (TSLA US 09/15/23 P275)</t>
        </is>
      </c>
      <c r="JQ1" t="inlineStr">
        <is>
          <t>BBG017FXMG77 Equity (TSLA US 09/15/23 P280)</t>
        </is>
      </c>
      <c r="JU1" t="inlineStr">
        <is>
          <t>BBG015903192 Equity (TSLA US 09/15/23 P283.33)</t>
        </is>
      </c>
      <c r="JY1" t="inlineStr">
        <is>
          <t>BBG01H8N23S3 Equity (TSLA US 09/15/23 P285)</t>
        </is>
      </c>
      <c r="KC1" t="inlineStr">
        <is>
          <t>BBG017FXMHB0 Equity (TSLA US 09/15/23 P286.67)</t>
        </is>
      </c>
      <c r="KG1" t="inlineStr">
        <is>
          <t>BBG01F3WH7H9 Equity (TSLA US 09/15/23 P290)</t>
        </is>
      </c>
      <c r="KK1" t="inlineStr">
        <is>
          <t>BBG0159032L6 Equity (TSLA US 09/15/23 P291.67)</t>
        </is>
      </c>
      <c r="KO1" t="inlineStr">
        <is>
          <t>BBG017FXMJF2 Equity (TSLA US 09/15/23 P293.33)</t>
        </is>
      </c>
      <c r="KS1" t="inlineStr">
        <is>
          <t>BBG01H8N24X5 Equity (TSLA US 09/15/23 P295)</t>
        </is>
      </c>
      <c r="KW1" t="inlineStr">
        <is>
          <t>BBG0159033P0 Equity (TSLA US 09/15/23 P300)</t>
        </is>
      </c>
      <c r="LA1" t="inlineStr">
        <is>
          <t>BBG01H8N2606 Equity (TSLA US 09/15/23 P305)</t>
        </is>
      </c>
      <c r="LE1" t="inlineStr">
        <is>
          <t>BBG017FXMKL2 Equity (TSLA US 09/15/23 P306.67)</t>
        </is>
      </c>
      <c r="LI1" t="inlineStr">
        <is>
          <t>BBG0159034S5 Equity (TSLA US 09/15/23 P308.33)</t>
        </is>
      </c>
      <c r="LM1" t="inlineStr">
        <is>
          <t>BBG01F723VH3 Equity (TSLA US 09/15/23 P310)</t>
        </is>
      </c>
      <c r="LQ1" t="inlineStr">
        <is>
          <t>BBG017FXMLP6 Equity (TSLA US 09/15/23 P313.33)</t>
        </is>
      </c>
      <c r="LU1" t="inlineStr">
        <is>
          <t>BBG01H8N2731 Equity (TSLA US 09/15/23 P315)</t>
        </is>
      </c>
      <c r="LY1" t="inlineStr">
        <is>
          <t>BBG015903637 Equity (TSLA US 09/15/23 P316.67)</t>
        </is>
      </c>
      <c r="MC1" t="inlineStr">
        <is>
          <t>BBG017FXMMW6 Equity (TSLA US 09/15/23 P320)</t>
        </is>
      </c>
      <c r="MG1" t="inlineStr">
        <is>
          <t>BBG015903762 Equity (TSLA US 09/15/23 P325)</t>
        </is>
      </c>
      <c r="MK1" t="inlineStr">
        <is>
          <t>BBG017FXMNZ1 Equity (TSLA US 09/15/23 P326.67)</t>
        </is>
      </c>
      <c r="MO1" t="inlineStr">
        <is>
          <t>BBG01GZR8XH6 Equity (TSLA US 09/15/23 P330)</t>
        </is>
      </c>
      <c r="MS1" t="inlineStr">
        <is>
          <t>BBG015903897 Equity (TSLA US 09/15/23 P333.33)</t>
        </is>
      </c>
      <c r="MW1" t="inlineStr">
        <is>
          <t>BBG01H8N2875 Equity (TSLA US 09/15/23 P335)</t>
        </is>
      </c>
      <c r="NA1" t="inlineStr">
        <is>
          <t>BBG017FXMQ20 Equity (TSLA US 09/15/23 P340)</t>
        </is>
      </c>
      <c r="NE1" t="inlineStr">
        <is>
          <t>BBG0159039L1 Equity (TSLA US 09/15/23 P341.67)</t>
        </is>
      </c>
      <c r="NI1" t="inlineStr">
        <is>
          <t>BBG01H8N29B8 Equity (TSLA US 09/15/23 P345)</t>
        </is>
      </c>
      <c r="NM1" t="inlineStr">
        <is>
          <t>BBG017FXMR73 Equity (TSLA US 09/15/23 P346.67)</t>
        </is>
      </c>
      <c r="NQ1" t="inlineStr">
        <is>
          <t>BBG015903BP2 Equity (TSLA US 09/15/23 P350)</t>
        </is>
      </c>
      <c r="NU1" t="inlineStr">
        <is>
          <t>BBG017FXMSB6 Equity (TSLA US 09/15/23 P353.33)</t>
        </is>
      </c>
      <c r="NY1" t="inlineStr">
        <is>
          <t>BBG01H8N2BF9 Equity (TSLA US 09/15/23 P355)</t>
        </is>
      </c>
      <c r="OC1" t="inlineStr">
        <is>
          <t>BBG015903CS7 Equity (TSLA US 09/15/23 P358.33)</t>
        </is>
      </c>
      <c r="OG1" t="inlineStr">
        <is>
          <t>BBG017FXMTF0 Equity (TSLA US 09/15/23 P360)</t>
        </is>
      </c>
      <c r="OK1" t="inlineStr">
        <is>
          <t>BBG01FQ9LQ42 Equity (TSLA US 10/20/23 P205)</t>
        </is>
      </c>
      <c r="OO1" t="inlineStr">
        <is>
          <t>BBG01FQ9LR86 Equity (TSLA US 10/20/23 P210)</t>
        </is>
      </c>
      <c r="OS1" t="inlineStr">
        <is>
          <t>BBG01FQ9LSC9 Equity (TSLA US 10/20/23 P215)</t>
        </is>
      </c>
      <c r="OW1" t="inlineStr">
        <is>
          <t>BBG01FQ9LTG3 Equity (TSLA US 10/20/23 P220)</t>
        </is>
      </c>
      <c r="PA1" t="inlineStr">
        <is>
          <t>BBG01FQ9LVL2 Equity (TSLA US 10/20/23 P225)</t>
        </is>
      </c>
      <c r="PE1" t="inlineStr">
        <is>
          <t>BBG01FQ9LWP6 Equity (TSLA US 10/20/23 P230)</t>
        </is>
      </c>
      <c r="PI1" t="inlineStr">
        <is>
          <t>BBG01FQ9LXS1 Equity (TSLA US 10/20/23 P235)</t>
        </is>
      </c>
      <c r="PM1" t="inlineStr">
        <is>
          <t>BBG01FQ9LYX3 Equity (TSLA US 10/20/23 P240)</t>
        </is>
      </c>
      <c r="PQ1" t="inlineStr">
        <is>
          <t>BBG01FQ9M002 Equity (TSLA US 10/20/23 P245)</t>
        </is>
      </c>
      <c r="PU1" t="inlineStr">
        <is>
          <t>BBG01JF6SDD4 Equity (TSLA US 10/20/23 P247.5)</t>
        </is>
      </c>
      <c r="PY1" t="inlineStr">
        <is>
          <t>BBG01FQ9M137 Equity (TSLA US 10/20/23 P250)</t>
        </is>
      </c>
      <c r="QC1" t="inlineStr">
        <is>
          <t>BBG01JF6SFJ3 Equity (TSLA US 10/20/23 P252.5)</t>
        </is>
      </c>
      <c r="QG1" t="inlineStr">
        <is>
          <t>BBG01FQ9M271 Equity (TSLA US 10/20/23 P255)</t>
        </is>
      </c>
      <c r="QK1" t="inlineStr">
        <is>
          <t>BBG01JF6SGM7 Equity (TSLA US 10/20/23 P257.5)</t>
        </is>
      </c>
      <c r="QO1" t="inlineStr">
        <is>
          <t>BBG01FQ9M3B4 Equity (TSLA US 10/20/23 P260)</t>
        </is>
      </c>
      <c r="QS1" t="inlineStr">
        <is>
          <t>BBG01JF6SHR0 Equity (TSLA US 10/20/23 P262.5)</t>
        </is>
      </c>
      <c r="QW1" t="inlineStr">
        <is>
          <t>BBG01FQ9M4F8 Equity (TSLA US 10/20/23 P265)</t>
        </is>
      </c>
      <c r="RA1" t="inlineStr">
        <is>
          <t>BBG01JF6SJV1 Equity (TSLA US 10/20/23 P267.5)</t>
        </is>
      </c>
      <c r="RE1" t="inlineStr">
        <is>
          <t>BBG01FQ9M5K9 Equity (TSLA US 10/20/23 P270)</t>
        </is>
      </c>
      <c r="RI1" t="inlineStr">
        <is>
          <t>BBG01JF6SKY5 Equity (TSLA US 10/20/23 P272.5)</t>
        </is>
      </c>
      <c r="RM1" t="inlineStr">
        <is>
          <t>BBG01FQ9M6N4 Equity (TSLA US 10/20/23 P275)</t>
        </is>
      </c>
      <c r="RQ1" t="inlineStr">
        <is>
          <t>BBG01JF6SM26 Equity (TSLA US 10/20/23 P277.5)</t>
        </is>
      </c>
      <c r="RU1" t="inlineStr">
        <is>
          <t>BBG01FQ9M7R8 Equity (TSLA US 10/20/23 P280)</t>
        </is>
      </c>
      <c r="RY1" t="inlineStr">
        <is>
          <t>BBG01JF6SN51 Equity (TSLA US 10/20/23 P282.5)</t>
        </is>
      </c>
      <c r="SC1" t="inlineStr">
        <is>
          <t>BBG01FQ9M8W0 Equity (TSLA US 10/20/23 P285)</t>
        </is>
      </c>
      <c r="SG1" t="inlineStr">
        <is>
          <t>BBG01JF6SP83 Equity (TSLA US 10/20/23 P287.5)</t>
        </is>
      </c>
      <c r="SK1" t="inlineStr">
        <is>
          <t>BBG01FQ9M9Z5 Equity (TSLA US 10/20/23 P290)</t>
        </is>
      </c>
      <c r="SO1" t="inlineStr">
        <is>
          <t>BBG01JF6SQD5 Equity (TSLA US 10/20/23 P292.5)</t>
        </is>
      </c>
      <c r="SS1" t="inlineStr">
        <is>
          <t>BBG01FQ9MC24 Equity (TSLA US 10/20/23 P295)</t>
        </is>
      </c>
      <c r="SW1" t="inlineStr">
        <is>
          <t>BBG01JF6SRH9 Equity (TSLA US 10/20/23 P297.5)</t>
        </is>
      </c>
      <c r="TA1" t="inlineStr">
        <is>
          <t>BBG01FQ9MD68 Equity (TSLA US 10/20/23 P300)</t>
        </is>
      </c>
      <c r="TE1" t="inlineStr">
        <is>
          <t>BBG01JF6SSL2 Equity (TSLA US 10/20/23 P302.5)</t>
        </is>
      </c>
      <c r="TI1" t="inlineStr">
        <is>
          <t>BBG01FQ9MF90 Equity (TSLA US 10/20/23 P305)</t>
        </is>
      </c>
      <c r="TM1" t="inlineStr">
        <is>
          <t>BBG01FQ9MGD3 Equity (TSLA US 10/20/23 P310)</t>
        </is>
      </c>
      <c r="TQ1" t="inlineStr">
        <is>
          <t>BBG01FQ9MHK3 Equity (TSLA US 10/20/23 P315)</t>
        </is>
      </c>
      <c r="TU1" t="inlineStr">
        <is>
          <t>BBG01FQ9MJN6 Equity (TSLA US 10/20/23 P320)</t>
        </is>
      </c>
      <c r="TY1" t="inlineStr">
        <is>
          <t>BBG01FQ9MKR9 Equity (TSLA US 10/20/23 P325)</t>
        </is>
      </c>
      <c r="UC1" t="inlineStr">
        <is>
          <t>BBG01FQ9MLW1 Equity (TSLA US 10/20/23 P330)</t>
        </is>
      </c>
      <c r="UG1" t="inlineStr">
        <is>
          <t>BBG01FQ9MMZ6 Equity (TSLA US 10/20/23 P335)</t>
        </is>
      </c>
      <c r="UK1" t="inlineStr">
        <is>
          <t>BBG01FQ9MP25 Equity (TSLA US 10/20/23 P340)</t>
        </is>
      </c>
      <c r="UO1" t="inlineStr">
        <is>
          <t>BBG01FQ9MQ69 Equity (TSLA US 10/20/23 P345)</t>
        </is>
      </c>
      <c r="US1" t="inlineStr">
        <is>
          <t>BBG01FQ9MR94 Equity (TSLA US 10/20/23 P350)</t>
        </is>
      </c>
      <c r="UW1" t="inlineStr">
        <is>
          <t>BBG01FQ9MSF5 Equity (TSLA US 10/20/23 P355)</t>
        </is>
      </c>
      <c r="VA1" t="inlineStr">
        <is>
          <t>BBG01FQ9MTJ9 Equity (TSLA US 10/20/23 P360)</t>
        </is>
      </c>
      <c r="VE1" t="inlineStr">
        <is>
          <t>BBG01FN9DM25 Equity (TSLA US 11/17/23 P205)</t>
        </is>
      </c>
      <c r="VI1" t="inlineStr">
        <is>
          <t>BBG01FN9DN50 Equity (TSLA US 11/17/23 P210)</t>
        </is>
      </c>
      <c r="VM1" t="inlineStr">
        <is>
          <t>BBG01FN9DP82 Equity (TSLA US 11/17/23 P215)</t>
        </is>
      </c>
      <c r="VQ1" t="inlineStr">
        <is>
          <t>BBG01FN9DQD4 Equity (TSLA US 11/17/23 P220)</t>
        </is>
      </c>
      <c r="VU1" t="inlineStr">
        <is>
          <t>BBG01FN9DRH8 Equity (TSLA US 11/17/23 P225)</t>
        </is>
      </c>
      <c r="VY1" t="inlineStr">
        <is>
          <t>BBG01FN9DSL1 Equity (TSLA US 11/17/23 P230)</t>
        </is>
      </c>
      <c r="WC1" t="inlineStr">
        <is>
          <t>BBG01FN9DTQ4 Equity (TSLA US 11/17/23 P235)</t>
        </is>
      </c>
      <c r="WG1" t="inlineStr">
        <is>
          <t>BBG01FN9DVT6 Equity (TSLA US 11/17/23 P240)</t>
        </is>
      </c>
      <c r="WK1" t="inlineStr">
        <is>
          <t>BBG01FN9DWX9 Equity (TSLA US 11/17/23 P245)</t>
        </is>
      </c>
      <c r="WO1" t="inlineStr">
        <is>
          <t>BBG01FN9DY10 Equity (TSLA US 11/17/23 P250)</t>
        </is>
      </c>
      <c r="WS1" t="inlineStr">
        <is>
          <t>BBG01FN9DZ44 Equity (TSLA US 11/17/23 P255)</t>
        </is>
      </c>
      <c r="WW1" t="inlineStr">
        <is>
          <t>BBG01FN9F076 Equity (TSLA US 11/17/23 P260)</t>
        </is>
      </c>
      <c r="XA1" t="inlineStr">
        <is>
          <t>BBG01FN9F1C8 Equity (TSLA US 11/17/23 P265)</t>
        </is>
      </c>
      <c r="XE1" t="inlineStr">
        <is>
          <t>BBG01FN9F2G2 Equity (TSLA US 11/17/23 P270)</t>
        </is>
      </c>
      <c r="XI1" t="inlineStr">
        <is>
          <t>BBG01FN9F3L4 Equity (TSLA US 11/17/23 P275)</t>
        </is>
      </c>
      <c r="XM1" t="inlineStr">
        <is>
          <t>BBG01FN9F4P8 Equity (TSLA US 11/17/23 P280)</t>
        </is>
      </c>
      <c r="XQ1" t="inlineStr">
        <is>
          <t>BBG01FN9F5S2 Equity (TSLA US 11/17/23 P285)</t>
        </is>
      </c>
      <c r="XU1" t="inlineStr">
        <is>
          <t>BBG01FN9F6X4 Equity (TSLA US 11/17/23 P290)</t>
        </is>
      </c>
      <c r="XY1" t="inlineStr">
        <is>
          <t>BBG01FN9F806 Equity (TSLA US 11/17/23 P295)</t>
        </is>
      </c>
      <c r="YC1" t="inlineStr">
        <is>
          <t>BBG01FN9F931 Equity (TSLA US 11/17/23 P300)</t>
        </is>
      </c>
      <c r="YG1" t="inlineStr">
        <is>
          <t>BBG01FN9FB72 Equity (TSLA US 11/17/23 P305)</t>
        </is>
      </c>
      <c r="YK1" t="inlineStr">
        <is>
          <t>BBG01FN9FCB5 Equity (TSLA US 11/17/23 P310)</t>
        </is>
      </c>
      <c r="YO1" t="inlineStr">
        <is>
          <t>BBG01FN9FDF9 Equity (TSLA US 11/17/23 P315)</t>
        </is>
      </c>
      <c r="YS1" t="inlineStr">
        <is>
          <t>BBG01FN9FFK8 Equity (TSLA US 11/17/23 P320)</t>
        </is>
      </c>
      <c r="YW1" t="inlineStr">
        <is>
          <t>BBG01FN9FGN3 Equity (TSLA US 11/17/23 P325)</t>
        </is>
      </c>
      <c r="ZA1" t="inlineStr">
        <is>
          <t>BBG01FN9FHR7 Equity (TSLA US 11/17/23 P330)</t>
        </is>
      </c>
      <c r="ZE1" t="inlineStr">
        <is>
          <t>BBG01FN9FJW7 Equity (TSLA US 11/17/23 P335)</t>
        </is>
      </c>
      <c r="ZI1" t="inlineStr">
        <is>
          <t>BBG01FN9FKZ1 Equity (TSLA US 11/17/23 P340)</t>
        </is>
      </c>
      <c r="ZM1" t="inlineStr">
        <is>
          <t>BBG01FN9FM23 Equity (TSLA US 11/17/23 P345)</t>
        </is>
      </c>
      <c r="ZQ1" t="inlineStr">
        <is>
          <t>BBG01FN9FN67 Equity (TSLA US 11/17/23 P350)</t>
        </is>
      </c>
      <c r="ZU1" t="inlineStr">
        <is>
          <t>BBG01FN9FP99 Equity (TSLA US 11/17/23 P355)</t>
        </is>
      </c>
      <c r="ZY1" t="inlineStr">
        <is>
          <t>BBG01FN9FQD2 Equity (TSLA US 11/17/23 P360)</t>
        </is>
      </c>
      <c r="AAC1" t="inlineStr">
        <is>
          <t>BBG01C3MZB98 Equity (TSLA US 12/15/23 P205)</t>
        </is>
      </c>
      <c r="AAG1" t="inlineStr">
        <is>
          <t>BBG01C3MZCD1 Equity (TSLA US 12/15/23 P210)</t>
        </is>
      </c>
      <c r="AAK1" t="inlineStr">
        <is>
          <t>BBG01C3MZDH5 Equity (TSLA US 12/15/23 P215)</t>
        </is>
      </c>
      <c r="AAO1" t="inlineStr">
        <is>
          <t>BBG01C3MZFM4 Equity (TSLA US 12/15/23 P220)</t>
        </is>
      </c>
      <c r="AAS1" t="inlineStr">
        <is>
          <t>BBG01C3MZGQ8 Equity (TSLA US 12/15/23 P225)</t>
        </is>
      </c>
      <c r="AAW1" t="inlineStr">
        <is>
          <t>BBG01C3MZHT3 Equity (TSLA US 12/15/23 P230)</t>
        </is>
      </c>
      <c r="ABA1" t="inlineStr">
        <is>
          <t>BBG01C3MZJY3 Equity (TSLA US 12/15/23 P235)</t>
        </is>
      </c>
      <c r="ABE1" t="inlineStr">
        <is>
          <t>BBG01C3MZL14 Equity (TSLA US 12/15/23 P240)</t>
        </is>
      </c>
      <c r="ABI1" t="inlineStr">
        <is>
          <t>BBG01C3MZM49 Equity (TSLA US 12/15/23 P245)</t>
        </is>
      </c>
      <c r="ABM1" t="inlineStr">
        <is>
          <t>BBG01C3MZN83 Equity (TSLA US 12/15/23 P250)</t>
        </is>
      </c>
      <c r="ABQ1" t="inlineStr">
        <is>
          <t>BBG01FN9G3L3 Equity (TSLA US 12/15/23 P255)</t>
        </is>
      </c>
      <c r="ABU1" t="inlineStr">
        <is>
          <t>BBG01DJ4Q5B9 Equity (TSLA US 12/15/23 P260)</t>
        </is>
      </c>
      <c r="ABY1" t="inlineStr">
        <is>
          <t>BBG01FN9G4P7 Equity (TSLA US 12/15/23 P265)</t>
        </is>
      </c>
      <c r="ACC1" t="inlineStr">
        <is>
          <t>BBG01DJ4Q6F3 Equity (TSLA US 12/15/23 P270)</t>
        </is>
      </c>
      <c r="ACG1" t="inlineStr">
        <is>
          <t>BBG01FN9G5T0 Equity (TSLA US 12/15/23 P275)</t>
        </is>
      </c>
      <c r="ACK1" t="inlineStr">
        <is>
          <t>BBG01DJ4Q7K5 Equity (TSLA US 12/15/23 P280)</t>
        </is>
      </c>
      <c r="ACO1" t="inlineStr">
        <is>
          <t>BBG01FN9G6X3 Equity (TSLA US 12/15/23 P285)</t>
        </is>
      </c>
      <c r="ACS1" t="inlineStr">
        <is>
          <t>BBG01DJ4Q8N0 Equity (TSLA US 12/15/23 P290)</t>
        </is>
      </c>
      <c r="ACW1" t="inlineStr">
        <is>
          <t>BBG01FN9G814 Equity (TSLA US 12/15/23 P295)</t>
        </is>
      </c>
      <c r="ADA1" t="inlineStr">
        <is>
          <t>BBG01DJ4Q9R4 Equity (TSLA US 12/15/23 P300)</t>
        </is>
      </c>
      <c r="ADE1" t="inlineStr">
        <is>
          <t>BBG01FN9G949 Equity (TSLA US 12/15/23 P305)</t>
        </is>
      </c>
      <c r="ADI1" t="inlineStr">
        <is>
          <t>BBG01DJ4QBX2 Equity (TSLA US 12/15/23 P310)</t>
        </is>
      </c>
      <c r="ADM1" t="inlineStr">
        <is>
          <t>BBG01FN9GB71 Equity (TSLA US 12/15/23 P315)</t>
        </is>
      </c>
      <c r="ADQ1" t="inlineStr">
        <is>
          <t>BBG01DJ4QD04 Equity (TSLA US 12/15/23 P320)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BDH("BBG01FQ9J480 Equity","PX_LAST,PX_VOLUME","1/1/2020","6/10/2026")</f>
        <v/>
      </c>
      <c r="E3">
        <f>BDH("BBG01FQ9J5D1 Equity","PX_LAST,PX_VOLUME","1/1/2020","6/10/2026")</f>
        <v/>
      </c>
      <c r="I3">
        <f>BDH("BBG01FQ9J6H5 Equity","PX_LAST,PX_VOLUME","1/1/2020","6/10/2026")</f>
        <v/>
      </c>
      <c r="M3">
        <f>BDH("BBG01FQ9J7M7 Equity","PX_LAST,PX_VOLUME","1/1/2020","6/10/2026")</f>
        <v/>
      </c>
      <c r="Q3">
        <f>BDH("BBG01FQ9J8Q1 Equity","PX_LAST,PX_VOLUME","1/1/2020","6/10/2026")</f>
        <v/>
      </c>
      <c r="U3">
        <f>BDH("BBG01FQ9J9T6 Equity","PX_LAST,PX_VOLUME","1/1/2020","6/10/2026")</f>
        <v/>
      </c>
      <c r="Y3">
        <f>BDH("BBG01FQ9JBY5 Equity","PX_LAST,PX_VOLUME","1/1/2020","6/10/2026")</f>
        <v/>
      </c>
      <c r="AC3">
        <f>BDH("BBG01FQ9JD17 Equity","PX_LAST,PX_VOLUME","1/1/2020","6/10/2026")</f>
        <v/>
      </c>
      <c r="AG3">
        <f>BDH("BBG01FQ9JF49 Equity","PX_LAST,PX_VOLUME","1/1/2020","6/10/2026")</f>
        <v/>
      </c>
      <c r="AK3">
        <f>BDH("BBG01FQ9JG83 Equity","PX_LAST,PX_VOLUME","1/1/2020","6/10/2026")</f>
        <v/>
      </c>
      <c r="AO3">
        <f>BDH("BBG01FQ9JHC6 Equity","PX_LAST,PX_VOLUME","1/1/2020","6/10/2026")</f>
        <v/>
      </c>
      <c r="AS3">
        <f>BDH("BBG01FQ9JJG8 Equity","PX_LAST,PX_VOLUME","1/1/2020","6/10/2026")</f>
        <v/>
      </c>
      <c r="AW3">
        <f>BDH("BBG01FQ9JKL9 Equity","PX_LAST,PX_VOLUME","1/1/2020","6/10/2026")</f>
        <v/>
      </c>
      <c r="BA3">
        <f>BDH("BBG01FQ9JLP3 Equity","PX_LAST,PX_VOLUME","1/1/2020","6/10/2026")</f>
        <v/>
      </c>
      <c r="BE3">
        <f>BDH("BBG01FQ9JMS8 Equity","PX_LAST,PX_VOLUME","1/1/2020","6/10/2026")</f>
        <v/>
      </c>
      <c r="BI3">
        <f>BDH("BBG01FQ9JNX0 Equity","PX_LAST,PX_VOLUME","1/1/2020","6/10/2026")</f>
        <v/>
      </c>
      <c r="BM3">
        <f>BDH("BBG01FQ9JQ09 Equity","PX_LAST,PX_VOLUME","1/1/2020","6/10/2026")</f>
        <v/>
      </c>
      <c r="BQ3">
        <f>BDH("BBG01FQ9JR34 Equity","PX_LAST,PX_VOLUME","1/1/2020","6/10/2026")</f>
        <v/>
      </c>
      <c r="BU3">
        <f>BDH("BBG01FQ9JS78 Equity","PX_LAST,PX_VOLUME","1/1/2020","6/10/2026")</f>
        <v/>
      </c>
      <c r="BY3">
        <f>BDH("BBG01FQ9JTB1 Equity","PX_LAST,PX_VOLUME","1/1/2020","6/10/2026")</f>
        <v/>
      </c>
      <c r="CC3">
        <f>BDH("BBG01FQ9JVF2 Equity","PX_LAST,PX_VOLUME","1/1/2020","6/10/2026")</f>
        <v/>
      </c>
      <c r="CG3">
        <f>BDH("BBG01FQ9JWK4 Equity","PX_LAST,PX_VOLUME","1/1/2020","6/10/2026")</f>
        <v/>
      </c>
      <c r="CK3">
        <f>BDH("BBG01FQ9JXN9 Equity","PX_LAST,PX_VOLUME","1/1/2020","6/10/2026")</f>
        <v/>
      </c>
      <c r="CO3">
        <f>BDH("BBG01FQ9JYR3 Equity","PX_LAST,PX_VOLUME","1/1/2020","6/10/2026")</f>
        <v/>
      </c>
      <c r="CS3">
        <f>BDH("BBG017FXLWB8 Equity","PX_LAST,PX_VOLUME","1/1/2020","6/10/2026")</f>
        <v/>
      </c>
      <c r="CW3">
        <f>BDH("BBG015902H34 Equity","PX_LAST,PX_VOLUME","1/1/2020","6/10/2026")</f>
        <v/>
      </c>
      <c r="DA3">
        <f>BDH("BBG017FXLXG1 Equity","PX_LAST,PX_VOLUME","1/1/2020","6/10/2026")</f>
        <v/>
      </c>
      <c r="DE3">
        <f>BDH("BBG017FXLYK4 Equity","PX_LAST,PX_VOLUME","1/1/2020","6/10/2026")</f>
        <v/>
      </c>
      <c r="DI3">
        <f>BDH("BBG01C5CN0P7 Equity","PX_LAST,PX_VOLUME","1/1/2020","6/10/2026")</f>
        <v/>
      </c>
      <c r="DM3">
        <f>BDH("BBG015902JB1 Equity","PX_LAST,PX_VOLUME","1/1/2020","6/10/2026")</f>
        <v/>
      </c>
      <c r="DQ3">
        <f>BDH("BBG01C5CN1S2 Equity","PX_LAST,PX_VOLUME","1/1/2020","6/10/2026")</f>
        <v/>
      </c>
      <c r="DU3">
        <f>BDH("BBG017FXLZN8 Equity","PX_LAST,PX_VOLUME","1/1/2020","6/10/2026")</f>
        <v/>
      </c>
      <c r="DY3">
        <f>BDH("BBG015902KF4 Equity","PX_LAST,PX_VOLUME","1/1/2020","6/10/2026")</f>
        <v/>
      </c>
      <c r="EC3">
        <f>BDH("BBG017FXM0V5 Equity","PX_LAST,PX_VOLUME","1/1/2020","6/10/2026")</f>
        <v/>
      </c>
      <c r="EG3">
        <f>BDH("BBG015902LJ8 Equity","PX_LAST,PX_VOLUME","1/1/2020","6/10/2026")</f>
        <v/>
      </c>
      <c r="EK3">
        <f>BDH("BBG01CG2DWG8 Equity","PX_LAST,PX_VOLUME","1/1/2020","6/10/2026")</f>
        <v/>
      </c>
      <c r="EO3">
        <f>BDH("BBG017FXM1Y0 Equity","PX_LAST,PX_VOLUME","1/1/2020","6/10/2026")</f>
        <v/>
      </c>
      <c r="ES3">
        <f>BDH("BBG01CG2DXK1 Equity","PX_LAST,PX_VOLUME","1/1/2020","6/10/2026")</f>
        <v/>
      </c>
      <c r="EW3">
        <f>BDH("BBG015902MT5 Equity","PX_LAST,PX_VOLUME","1/1/2020","6/10/2026")</f>
        <v/>
      </c>
      <c r="FA3">
        <f>BDH("BBG017FXM312 Equity","PX_LAST,PX_VOLUME","1/1/2020","6/10/2026")</f>
        <v/>
      </c>
      <c r="FE3">
        <f>BDH("BBG01CG2DYN6 Equity","PX_LAST,PX_VOLUME","1/1/2020","6/10/2026")</f>
        <v/>
      </c>
      <c r="FI3">
        <f>BDH("BBG015902NX8 Equity","PX_LAST,PX_VOLUME","1/1/2020","6/10/2026")</f>
        <v/>
      </c>
      <c r="FM3">
        <f>BDH("BBG01CG2DZT7 Equity","PX_LAST,PX_VOLUME","1/1/2020","6/10/2026")</f>
        <v/>
      </c>
      <c r="FQ3">
        <f>BDH("BBG017FXM465 Equity","PX_LAST,PX_VOLUME","1/1/2020","6/10/2026")</f>
        <v/>
      </c>
      <c r="FU3">
        <f>BDH("BBG015902Q07 Equity","PX_LAST,PX_VOLUME","1/1/2020","6/10/2026")</f>
        <v/>
      </c>
      <c r="FY3">
        <f>BDH("BBG01CG2F0X7 Equity","PX_LAST,PX_VOLUME","1/1/2020","6/10/2026")</f>
        <v/>
      </c>
      <c r="GC3">
        <f>BDH("BBG017FXM599 Equity","PX_LAST,PX_VOLUME","1/1/2020","6/10/2026")</f>
        <v/>
      </c>
      <c r="GG3">
        <f>BDH("BBG01CG2F209 Equity","PX_LAST,PX_VOLUME","1/1/2020","6/10/2026")</f>
        <v/>
      </c>
      <c r="GK3">
        <f>BDH("BBG015902R87 Equity","PX_LAST,PX_VOLUME","1/1/2020","6/10/2026")</f>
        <v/>
      </c>
      <c r="GO3">
        <f>BDH("BBG017FXM6D2 Equity","PX_LAST,PX_VOLUME","1/1/2020","6/10/2026")</f>
        <v/>
      </c>
      <c r="GS3">
        <f>BDH("BBG015902SC0 Equity","PX_LAST,PX_VOLUME","1/1/2020","6/10/2026")</f>
        <v/>
      </c>
      <c r="GW3">
        <f>BDH("BBG017FXM7K2 Equity","PX_LAST,PX_VOLUME","1/1/2020","6/10/2026")</f>
        <v/>
      </c>
      <c r="HA3">
        <f>BDH("BBG01CG2F343 Equity","PX_LAST,PX_VOLUME","1/1/2020","6/10/2026")</f>
        <v/>
      </c>
      <c r="HE3">
        <f>BDH("BBG015902TG4 Equity","PX_LAST,PX_VOLUME","1/1/2020","6/10/2026")</f>
        <v/>
      </c>
      <c r="HI3">
        <f>BDH("BBG01CTQYD70 Equity","PX_LAST,PX_VOLUME","1/1/2020","6/10/2026")</f>
        <v/>
      </c>
      <c r="HM3">
        <f>BDH("BBG017FXM8N7 Equity","PX_LAST,PX_VOLUME","1/1/2020","6/10/2026")</f>
        <v/>
      </c>
      <c r="HQ3">
        <f>BDH("BBG015902VQ8 Equity","PX_LAST,PX_VOLUME","1/1/2020","6/10/2026")</f>
        <v/>
      </c>
      <c r="HU3">
        <f>BDH("BBG01CTQYLT8 Equity","PX_LAST,PX_VOLUME","1/1/2020","6/10/2026")</f>
        <v/>
      </c>
      <c r="HY3">
        <f>BDH("BBG017FXM9R1 Equity","PX_LAST,PX_VOLUME","1/1/2020","6/10/2026")</f>
        <v/>
      </c>
      <c r="IC3">
        <f>BDH("BBG015902WT3 Equity","PX_LAST,PX_VOLUME","1/1/2020","6/10/2026")</f>
        <v/>
      </c>
      <c r="IG3">
        <f>BDH("BBG017FXMBX9 Equity","PX_LAST,PX_VOLUME","1/1/2020","6/10/2026")</f>
        <v/>
      </c>
      <c r="IK3">
        <f>BDH("BBG01CTQYMX1 Equity","PX_LAST,PX_VOLUME","1/1/2020","6/10/2026")</f>
        <v/>
      </c>
      <c r="IO3">
        <f>BDH("BBG015902XX6 Equity","PX_LAST,PX_VOLUME","1/1/2020","6/10/2026")</f>
        <v/>
      </c>
      <c r="IS3">
        <f>BDH("BBG017FXMD01 Equity","PX_LAST,PX_VOLUME","1/1/2020","6/10/2026")</f>
        <v/>
      </c>
      <c r="IW3">
        <f>BDH("BBG01CTQYP00 Equity","PX_LAST,PX_VOLUME","1/1/2020","6/10/2026")</f>
        <v/>
      </c>
      <c r="JA3">
        <f>BDH("BBG015902Z34 Equity","PX_LAST,PX_VOLUME","1/1/2020","6/10/2026")</f>
        <v/>
      </c>
      <c r="JE3">
        <f>BDH("BBG01CTQYR97 Equity","PX_LAST,PX_VOLUME","1/1/2020","6/10/2026")</f>
        <v/>
      </c>
      <c r="JI3">
        <f>BDH("BBG017FXMF33 Equity","PX_LAST,PX_VOLUME","1/1/2020","6/10/2026")</f>
        <v/>
      </c>
      <c r="JM3">
        <f>BDH("BBG015903067 Equity","PX_LAST,PX_VOLUME","1/1/2020","6/10/2026")</f>
        <v/>
      </c>
      <c r="JQ3">
        <f>BDH("BBG017FXMG77 Equity","PX_LAST,PX_VOLUME","1/1/2020","6/10/2026")</f>
        <v/>
      </c>
      <c r="JU3">
        <f>BDH("BBG015903192 Equity","PX_LAST,PX_VOLUME","1/1/2020","6/10/2026")</f>
        <v/>
      </c>
      <c r="JY3">
        <f>BDH("BBG01H8N23S3 Equity","PX_LAST,PX_VOLUME","1/1/2020","6/10/2026")</f>
        <v/>
      </c>
      <c r="KC3">
        <f>BDH("BBG017FXMHB0 Equity","PX_LAST,PX_VOLUME","1/1/2020","6/10/2026")</f>
        <v/>
      </c>
      <c r="KG3">
        <f>BDH("BBG01F3WH7H9 Equity","PX_LAST,PX_VOLUME","1/1/2020","6/10/2026")</f>
        <v/>
      </c>
      <c r="KK3">
        <f>BDH("BBG0159032L6 Equity","PX_LAST,PX_VOLUME","1/1/2020","6/10/2026")</f>
        <v/>
      </c>
      <c r="KO3">
        <f>BDH("BBG017FXMJF2 Equity","PX_LAST,PX_VOLUME","1/1/2020","6/10/2026")</f>
        <v/>
      </c>
      <c r="KS3">
        <f>BDH("BBG01H8N24X5 Equity","PX_LAST,PX_VOLUME","1/1/2020","6/10/2026")</f>
        <v/>
      </c>
      <c r="KW3">
        <f>BDH("BBG0159033P0 Equity","PX_LAST,PX_VOLUME","1/1/2020","6/10/2026")</f>
        <v/>
      </c>
      <c r="LA3">
        <f>BDH("BBG01H8N2606 Equity","PX_LAST,PX_VOLUME","1/1/2020","6/10/2026")</f>
        <v/>
      </c>
      <c r="LE3">
        <f>BDH("BBG017FXMKL2 Equity","PX_LAST,PX_VOLUME","1/1/2020","6/10/2026")</f>
        <v/>
      </c>
      <c r="LI3">
        <f>BDH("BBG0159034S5 Equity","PX_LAST,PX_VOLUME","1/1/2020","6/10/2026")</f>
        <v/>
      </c>
      <c r="LM3">
        <f>BDH("BBG01F723VH3 Equity","PX_LAST,PX_VOLUME","1/1/2020","6/10/2026")</f>
        <v/>
      </c>
      <c r="LQ3">
        <f>BDH("BBG017FXMLP6 Equity","PX_LAST,PX_VOLUME","1/1/2020","6/10/2026")</f>
        <v/>
      </c>
      <c r="LU3">
        <f>BDH("BBG01H8N2731 Equity","PX_LAST,PX_VOLUME","1/1/2020","6/10/2026")</f>
        <v/>
      </c>
      <c r="LY3">
        <f>BDH("BBG015903637 Equity","PX_LAST,PX_VOLUME","1/1/2020","6/10/2026")</f>
        <v/>
      </c>
      <c r="MC3">
        <f>BDH("BBG017FXMMW6 Equity","PX_LAST,PX_VOLUME","1/1/2020","6/10/2026")</f>
        <v/>
      </c>
      <c r="MG3">
        <f>BDH("BBG015903762 Equity","PX_LAST,PX_VOLUME","1/1/2020","6/10/2026")</f>
        <v/>
      </c>
      <c r="MK3">
        <f>BDH("BBG017FXMNZ1 Equity","PX_LAST,PX_VOLUME","1/1/2020","6/10/2026")</f>
        <v/>
      </c>
      <c r="MO3">
        <f>BDH("BBG01GZR8XH6 Equity","PX_LAST,PX_VOLUME","1/1/2020","6/10/2026")</f>
        <v/>
      </c>
      <c r="MS3">
        <f>BDH("BBG015903897 Equity","PX_LAST,PX_VOLUME","1/1/2020","6/10/2026")</f>
        <v/>
      </c>
      <c r="MW3">
        <f>BDH("BBG01H8N2875 Equity","PX_LAST,PX_VOLUME","1/1/2020","6/10/2026")</f>
        <v/>
      </c>
      <c r="NA3">
        <f>BDH("BBG017FXMQ20 Equity","PX_LAST,PX_VOLUME","1/1/2020","6/10/2026")</f>
        <v/>
      </c>
      <c r="NE3">
        <f>BDH("BBG0159039L1 Equity","PX_LAST,PX_VOLUME","1/1/2020","6/10/2026")</f>
        <v/>
      </c>
      <c r="NI3">
        <f>BDH("BBG01H8N29B8 Equity","PX_LAST,PX_VOLUME","1/1/2020","6/10/2026")</f>
        <v/>
      </c>
      <c r="NM3">
        <f>BDH("BBG017FXMR73 Equity","PX_LAST,PX_VOLUME","1/1/2020","6/10/2026")</f>
        <v/>
      </c>
      <c r="NQ3">
        <f>BDH("BBG015903BP2 Equity","PX_LAST,PX_VOLUME","1/1/2020","6/10/2026")</f>
        <v/>
      </c>
      <c r="NU3">
        <f>BDH("BBG017FXMSB6 Equity","PX_LAST,PX_VOLUME","1/1/2020","6/10/2026")</f>
        <v/>
      </c>
      <c r="NY3">
        <f>BDH("BBG01H8N2BF9 Equity","PX_LAST,PX_VOLUME","1/1/2020","6/10/2026")</f>
        <v/>
      </c>
      <c r="OC3">
        <f>BDH("BBG015903CS7 Equity","PX_LAST,PX_VOLUME","1/1/2020","6/10/2026")</f>
        <v/>
      </c>
      <c r="OG3">
        <f>BDH("BBG017FXMTF0 Equity","PX_LAST,PX_VOLUME","1/1/2020","6/10/2026")</f>
        <v/>
      </c>
      <c r="OK3">
        <f>BDH("BBG01FQ9LQ42 Equity","PX_LAST,PX_VOLUME","1/1/2020","6/10/2026")</f>
        <v/>
      </c>
      <c r="OO3">
        <f>BDH("BBG01FQ9LR86 Equity","PX_LAST,PX_VOLUME","1/1/2020","6/10/2026")</f>
        <v/>
      </c>
      <c r="OS3">
        <f>BDH("BBG01FQ9LSC9 Equity","PX_LAST,PX_VOLUME","1/1/2020","6/10/2026")</f>
        <v/>
      </c>
      <c r="OW3">
        <f>BDH("BBG01FQ9LTG3 Equity","PX_LAST,PX_VOLUME","1/1/2020","6/10/2026")</f>
        <v/>
      </c>
      <c r="PA3">
        <f>BDH("BBG01FQ9LVL2 Equity","PX_LAST,PX_VOLUME","1/1/2020","6/10/2026")</f>
        <v/>
      </c>
      <c r="PE3">
        <f>BDH("BBG01FQ9LWP6 Equity","PX_LAST,PX_VOLUME","1/1/2020","6/10/2026")</f>
        <v/>
      </c>
      <c r="PI3">
        <f>BDH("BBG01FQ9LXS1 Equity","PX_LAST,PX_VOLUME","1/1/2020","6/10/2026")</f>
        <v/>
      </c>
      <c r="PM3">
        <f>BDH("BBG01FQ9LYX3 Equity","PX_LAST,PX_VOLUME","1/1/2020","6/10/2026")</f>
        <v/>
      </c>
      <c r="PQ3">
        <f>BDH("BBG01FQ9M002 Equity","PX_LAST,PX_VOLUME","1/1/2020","6/10/2026")</f>
        <v/>
      </c>
      <c r="PU3">
        <f>BDH("BBG01JF6SDD4 Equity","PX_LAST,PX_VOLUME","1/1/2020","6/10/2026")</f>
        <v/>
      </c>
      <c r="PY3">
        <f>BDH("BBG01FQ9M137 Equity","PX_LAST,PX_VOLUME","1/1/2020","6/10/2026")</f>
        <v/>
      </c>
      <c r="QC3">
        <f>BDH("BBG01JF6SFJ3 Equity","PX_LAST,PX_VOLUME","1/1/2020","6/10/2026")</f>
        <v/>
      </c>
      <c r="QG3">
        <f>BDH("BBG01FQ9M271 Equity","PX_LAST,PX_VOLUME","1/1/2020","6/10/2026")</f>
        <v/>
      </c>
      <c r="QK3">
        <f>BDH("BBG01JF6SGM7 Equity","PX_LAST,PX_VOLUME","1/1/2020","6/10/2026")</f>
        <v/>
      </c>
      <c r="QO3">
        <f>BDH("BBG01FQ9M3B4 Equity","PX_LAST,PX_VOLUME","1/1/2020","6/10/2026")</f>
        <v/>
      </c>
      <c r="QS3">
        <f>BDH("BBG01JF6SHR0 Equity","PX_LAST,PX_VOLUME","1/1/2020","6/10/2026")</f>
        <v/>
      </c>
      <c r="QW3">
        <f>BDH("BBG01FQ9M4F8 Equity","PX_LAST,PX_VOLUME","1/1/2020","6/10/2026")</f>
        <v/>
      </c>
      <c r="RA3">
        <f>BDH("BBG01JF6SJV1 Equity","PX_LAST,PX_VOLUME","1/1/2020","6/10/2026")</f>
        <v/>
      </c>
      <c r="RE3">
        <f>BDH("BBG01FQ9M5K9 Equity","PX_LAST,PX_VOLUME","1/1/2020","6/10/2026")</f>
        <v/>
      </c>
      <c r="RI3">
        <f>BDH("BBG01JF6SKY5 Equity","PX_LAST,PX_VOLUME","1/1/2020","6/10/2026")</f>
        <v/>
      </c>
      <c r="RM3">
        <f>BDH("BBG01FQ9M6N4 Equity","PX_LAST,PX_VOLUME","1/1/2020","6/10/2026")</f>
        <v/>
      </c>
      <c r="RQ3">
        <f>BDH("BBG01JF6SM26 Equity","PX_LAST,PX_VOLUME","1/1/2020","6/10/2026")</f>
        <v/>
      </c>
      <c r="RU3">
        <f>BDH("BBG01FQ9M7R8 Equity","PX_LAST,PX_VOLUME","1/1/2020","6/10/2026")</f>
        <v/>
      </c>
      <c r="RY3">
        <f>BDH("BBG01JF6SN51 Equity","PX_LAST,PX_VOLUME","1/1/2020","6/10/2026")</f>
        <v/>
      </c>
      <c r="SC3">
        <f>BDH("BBG01FQ9M8W0 Equity","PX_LAST,PX_VOLUME","1/1/2020","6/10/2026")</f>
        <v/>
      </c>
      <c r="SG3">
        <f>BDH("BBG01JF6SP83 Equity","PX_LAST,PX_VOLUME","1/1/2020","6/10/2026")</f>
        <v/>
      </c>
      <c r="SK3">
        <f>BDH("BBG01FQ9M9Z5 Equity","PX_LAST,PX_VOLUME","1/1/2020","6/10/2026")</f>
        <v/>
      </c>
      <c r="SO3">
        <f>BDH("BBG01JF6SQD5 Equity","PX_LAST,PX_VOLUME","1/1/2020","6/10/2026")</f>
        <v/>
      </c>
      <c r="SS3">
        <f>BDH("BBG01FQ9MC24 Equity","PX_LAST,PX_VOLUME","1/1/2020","6/10/2026")</f>
        <v/>
      </c>
      <c r="SW3">
        <f>BDH("BBG01JF6SRH9 Equity","PX_LAST,PX_VOLUME","1/1/2020","6/10/2026")</f>
        <v/>
      </c>
      <c r="TA3">
        <f>BDH("BBG01FQ9MD68 Equity","PX_LAST,PX_VOLUME","1/1/2020","6/10/2026")</f>
        <v/>
      </c>
      <c r="TE3">
        <f>BDH("BBG01JF6SSL2 Equity","PX_LAST,PX_VOLUME","1/1/2020","6/10/2026")</f>
        <v/>
      </c>
      <c r="TI3">
        <f>BDH("BBG01FQ9MF90 Equity","PX_LAST,PX_VOLUME","1/1/2020","6/10/2026")</f>
        <v/>
      </c>
      <c r="TM3">
        <f>BDH("BBG01FQ9MGD3 Equity","PX_LAST,PX_VOLUME","1/1/2020","6/10/2026")</f>
        <v/>
      </c>
      <c r="TQ3">
        <f>BDH("BBG01FQ9MHK3 Equity","PX_LAST,PX_VOLUME","1/1/2020","6/10/2026")</f>
        <v/>
      </c>
      <c r="TU3">
        <f>BDH("BBG01FQ9MJN6 Equity","PX_LAST,PX_VOLUME","1/1/2020","6/10/2026")</f>
        <v/>
      </c>
      <c r="TY3">
        <f>BDH("BBG01FQ9MKR9 Equity","PX_LAST,PX_VOLUME","1/1/2020","6/10/2026")</f>
        <v/>
      </c>
      <c r="UC3">
        <f>BDH("BBG01FQ9MLW1 Equity","PX_LAST,PX_VOLUME","1/1/2020","6/10/2026")</f>
        <v/>
      </c>
      <c r="UG3">
        <f>BDH("BBG01FQ9MMZ6 Equity","PX_LAST,PX_VOLUME","1/1/2020","6/10/2026")</f>
        <v/>
      </c>
      <c r="UK3">
        <f>BDH("BBG01FQ9MP25 Equity","PX_LAST,PX_VOLUME","1/1/2020","6/10/2026")</f>
        <v/>
      </c>
      <c r="UO3">
        <f>BDH("BBG01FQ9MQ69 Equity","PX_LAST,PX_VOLUME","1/1/2020","6/10/2026")</f>
        <v/>
      </c>
      <c r="US3">
        <f>BDH("BBG01FQ9MR94 Equity","PX_LAST,PX_VOLUME","1/1/2020","6/10/2026")</f>
        <v/>
      </c>
      <c r="UW3">
        <f>BDH("BBG01FQ9MSF5 Equity","PX_LAST,PX_VOLUME","1/1/2020","6/10/2026")</f>
        <v/>
      </c>
      <c r="VA3">
        <f>BDH("BBG01FQ9MTJ9 Equity","PX_LAST,PX_VOLUME","1/1/2020","6/10/2026")</f>
        <v/>
      </c>
      <c r="VE3">
        <f>BDH("BBG01FN9DM25 Equity","PX_LAST,PX_VOLUME","1/1/2020","6/10/2026")</f>
        <v/>
      </c>
      <c r="VI3">
        <f>BDH("BBG01FN9DN50 Equity","PX_LAST,PX_VOLUME","1/1/2020","6/10/2026")</f>
        <v/>
      </c>
      <c r="VM3">
        <f>BDH("BBG01FN9DP82 Equity","PX_LAST,PX_VOLUME","1/1/2020","6/10/2026")</f>
        <v/>
      </c>
      <c r="VQ3">
        <f>BDH("BBG01FN9DQD4 Equity","PX_LAST,PX_VOLUME","1/1/2020","6/10/2026")</f>
        <v/>
      </c>
      <c r="VU3">
        <f>BDH("BBG01FN9DRH8 Equity","PX_LAST,PX_VOLUME","1/1/2020","6/10/2026")</f>
        <v/>
      </c>
      <c r="VY3">
        <f>BDH("BBG01FN9DSL1 Equity","PX_LAST,PX_VOLUME","1/1/2020","6/10/2026")</f>
        <v/>
      </c>
      <c r="WC3">
        <f>BDH("BBG01FN9DTQ4 Equity","PX_LAST,PX_VOLUME","1/1/2020","6/10/2026")</f>
        <v/>
      </c>
      <c r="WG3">
        <f>BDH("BBG01FN9DVT6 Equity","PX_LAST,PX_VOLUME","1/1/2020","6/10/2026")</f>
        <v/>
      </c>
      <c r="WK3">
        <f>BDH("BBG01FN9DWX9 Equity","PX_LAST,PX_VOLUME","1/1/2020","6/10/2026")</f>
        <v/>
      </c>
      <c r="WO3">
        <f>BDH("BBG01FN9DY10 Equity","PX_LAST,PX_VOLUME","1/1/2020","6/10/2026")</f>
        <v/>
      </c>
      <c r="WS3">
        <f>BDH("BBG01FN9DZ44 Equity","PX_LAST,PX_VOLUME","1/1/2020","6/10/2026")</f>
        <v/>
      </c>
      <c r="WW3">
        <f>BDH("BBG01FN9F076 Equity","PX_LAST,PX_VOLUME","1/1/2020","6/10/2026")</f>
        <v/>
      </c>
      <c r="XA3">
        <f>BDH("BBG01FN9F1C8 Equity","PX_LAST,PX_VOLUME","1/1/2020","6/10/2026")</f>
        <v/>
      </c>
      <c r="XE3">
        <f>BDH("BBG01FN9F2G2 Equity","PX_LAST,PX_VOLUME","1/1/2020","6/10/2026")</f>
        <v/>
      </c>
      <c r="XI3">
        <f>BDH("BBG01FN9F3L4 Equity","PX_LAST,PX_VOLUME","1/1/2020","6/10/2026")</f>
        <v/>
      </c>
      <c r="XM3">
        <f>BDH("BBG01FN9F4P8 Equity","PX_LAST,PX_VOLUME","1/1/2020","6/10/2026")</f>
        <v/>
      </c>
      <c r="XQ3">
        <f>BDH("BBG01FN9F5S2 Equity","PX_LAST,PX_VOLUME","1/1/2020","6/10/2026")</f>
        <v/>
      </c>
      <c r="XU3">
        <f>BDH("BBG01FN9F6X4 Equity","PX_LAST,PX_VOLUME","1/1/2020","6/10/2026")</f>
        <v/>
      </c>
      <c r="XY3">
        <f>BDH("BBG01FN9F806 Equity","PX_LAST,PX_VOLUME","1/1/2020","6/10/2026")</f>
        <v/>
      </c>
      <c r="YC3">
        <f>BDH("BBG01FN9F931 Equity","PX_LAST,PX_VOLUME","1/1/2020","6/10/2026")</f>
        <v/>
      </c>
      <c r="YG3">
        <f>BDH("BBG01FN9FB72 Equity","PX_LAST,PX_VOLUME","1/1/2020","6/10/2026")</f>
        <v/>
      </c>
      <c r="YK3">
        <f>BDH("BBG01FN9FCB5 Equity","PX_LAST,PX_VOLUME","1/1/2020","6/10/2026")</f>
        <v/>
      </c>
      <c r="YO3">
        <f>BDH("BBG01FN9FDF9 Equity","PX_LAST,PX_VOLUME","1/1/2020","6/10/2026")</f>
        <v/>
      </c>
      <c r="YS3">
        <f>BDH("BBG01FN9FFK8 Equity","PX_LAST,PX_VOLUME","1/1/2020","6/10/2026")</f>
        <v/>
      </c>
      <c r="YW3">
        <f>BDH("BBG01FN9FGN3 Equity","PX_LAST,PX_VOLUME","1/1/2020","6/10/2026")</f>
        <v/>
      </c>
      <c r="ZA3">
        <f>BDH("BBG01FN9FHR7 Equity","PX_LAST,PX_VOLUME","1/1/2020","6/10/2026")</f>
        <v/>
      </c>
      <c r="ZE3">
        <f>BDH("BBG01FN9FJW7 Equity","PX_LAST,PX_VOLUME","1/1/2020","6/10/2026")</f>
        <v/>
      </c>
      <c r="ZI3">
        <f>BDH("BBG01FN9FKZ1 Equity","PX_LAST,PX_VOLUME","1/1/2020","6/10/2026")</f>
        <v/>
      </c>
      <c r="ZM3">
        <f>BDH("BBG01FN9FM23 Equity","PX_LAST,PX_VOLUME","1/1/2020","6/10/2026")</f>
        <v/>
      </c>
      <c r="ZQ3">
        <f>BDH("BBG01FN9FN67 Equity","PX_LAST,PX_VOLUME","1/1/2020","6/10/2026")</f>
        <v/>
      </c>
      <c r="ZU3">
        <f>BDH("BBG01FN9FP99 Equity","PX_LAST,PX_VOLUME","1/1/2020","6/10/2026")</f>
        <v/>
      </c>
      <c r="ZY3">
        <f>BDH("BBG01FN9FQD2 Equity","PX_LAST,PX_VOLUME","1/1/2020","6/10/2026")</f>
        <v/>
      </c>
      <c r="AAC3">
        <f>BDH("BBG01C3MZB98 Equity","PX_LAST,PX_VOLUME","1/1/2020","6/10/2026")</f>
        <v/>
      </c>
      <c r="AAG3">
        <f>BDH("BBG01C3MZCD1 Equity","PX_LAST,PX_VOLUME","1/1/2020","6/10/2026")</f>
        <v/>
      </c>
      <c r="AAK3">
        <f>BDH("BBG01C3MZDH5 Equity","PX_LAST,PX_VOLUME","1/1/2020","6/10/2026")</f>
        <v/>
      </c>
      <c r="AAO3">
        <f>BDH("BBG01C3MZFM4 Equity","PX_LAST,PX_VOLUME","1/1/2020","6/10/2026")</f>
        <v/>
      </c>
      <c r="AAS3">
        <f>BDH("BBG01C3MZGQ8 Equity","PX_LAST,PX_VOLUME","1/1/2020","6/10/2026")</f>
        <v/>
      </c>
      <c r="AAW3">
        <f>BDH("BBG01C3MZHT3 Equity","PX_LAST,PX_VOLUME","1/1/2020","6/10/2026")</f>
        <v/>
      </c>
      <c r="ABA3">
        <f>BDH("BBG01C3MZJY3 Equity","PX_LAST,PX_VOLUME","1/1/2020","6/10/2026")</f>
        <v/>
      </c>
      <c r="ABE3">
        <f>BDH("BBG01C3MZL14 Equity","PX_LAST,PX_VOLUME","1/1/2020","6/10/2026")</f>
        <v/>
      </c>
      <c r="ABI3">
        <f>BDH("BBG01C3MZM49 Equity","PX_LAST,PX_VOLUME","1/1/2020","6/10/2026")</f>
        <v/>
      </c>
      <c r="ABM3">
        <f>BDH("BBG01C3MZN83 Equity","PX_LAST,PX_VOLUME","1/1/2020","6/10/2026")</f>
        <v/>
      </c>
      <c r="ABQ3">
        <f>BDH("BBG01FN9G3L3 Equity","PX_LAST,PX_VOLUME","1/1/2020","6/10/2026")</f>
        <v/>
      </c>
      <c r="ABU3">
        <f>BDH("BBG01DJ4Q5B9 Equity","PX_LAST,PX_VOLUME","1/1/2020","6/10/2026")</f>
        <v/>
      </c>
      <c r="ABY3">
        <f>BDH("BBG01FN9G4P7 Equity","PX_LAST,PX_VOLUME","1/1/2020","6/10/2026")</f>
        <v/>
      </c>
      <c r="ACC3">
        <f>BDH("BBG01DJ4Q6F3 Equity","PX_LAST,PX_VOLUME","1/1/2020","6/10/2026")</f>
        <v/>
      </c>
      <c r="ACG3">
        <f>BDH("BBG01FN9G5T0 Equity","PX_LAST,PX_VOLUME","1/1/2020","6/10/2026")</f>
        <v/>
      </c>
      <c r="ACK3">
        <f>BDH("BBG01DJ4Q7K5 Equity","PX_LAST,PX_VOLUME","1/1/2020","6/10/2026")</f>
        <v/>
      </c>
      <c r="ACO3">
        <f>BDH("BBG01FN9G6X3 Equity","PX_LAST,PX_VOLUME","1/1/2020","6/10/2026")</f>
        <v/>
      </c>
      <c r="ACS3">
        <f>BDH("BBG01DJ4Q8N0 Equity","PX_LAST,PX_VOLUME","1/1/2020","6/10/2026")</f>
        <v/>
      </c>
      <c r="ACW3">
        <f>BDH("BBG01FN9G814 Equity","PX_LAST,PX_VOLUME","1/1/2020","6/10/2026")</f>
        <v/>
      </c>
      <c r="ADA3">
        <f>BDH("BBG01DJ4Q9R4 Equity","PX_LAST,PX_VOLUME","1/1/2020","6/10/2026")</f>
        <v/>
      </c>
      <c r="ADE3">
        <f>BDH("BBG01FN9G949 Equity","PX_LAST,PX_VOLUME","1/1/2020","6/10/2026")</f>
        <v/>
      </c>
      <c r="ADI3">
        <f>BDH("BBG01DJ4QBX2 Equity","PX_LAST,PX_VOLUME","1/1/2020","6/10/2026")</f>
        <v/>
      </c>
      <c r="ADM3">
        <f>BDH("BBG01FN9GB71 Equity","PX_LAST,PX_VOLUME","1/1/2020","6/10/2026")</f>
        <v/>
      </c>
      <c r="ADQ3">
        <f>BDH("BBG01DJ4QD04 Equity","PX_LAST,PX_VOLUME","1/1/2020","6/10/2026")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BBG01FN9GCC3 Equity (TSLA US 12/15/23 P325)</t>
        </is>
      </c>
      <c r="E1" t="inlineStr">
        <is>
          <t>BBG01DMN5CR4 Equity (TSLA US 12/15/23 P330)</t>
        </is>
      </c>
      <c r="I1" t="inlineStr">
        <is>
          <t>BBG01H73TD89 Equity (TSLA US 12/15/23 P335)</t>
        </is>
      </c>
      <c r="M1" t="inlineStr">
        <is>
          <t>BBG01DMN5DV7 Equity (TSLA US 12/15/23 P340)</t>
        </is>
      </c>
      <c r="Q1" t="inlineStr">
        <is>
          <t>BBG01H73TFG5 Equity (TSLA US 12/15/23 P345)</t>
        </is>
      </c>
      <c r="U1" t="inlineStr">
        <is>
          <t>BBG01DMN5FZ8 Equity (TSLA US 12/15/23 P350)</t>
        </is>
      </c>
      <c r="Y1" t="inlineStr">
        <is>
          <t>BBG01H73TGK8 Equity (TSLA US 12/15/23 P355)</t>
        </is>
      </c>
      <c r="AC1" t="inlineStr">
        <is>
          <t>BBG01DMN5H20 Equity (TSLA US 12/15/23 P360)</t>
        </is>
      </c>
      <c r="AG1" t="inlineStr">
        <is>
          <t>BBG012J61FH7 Equity (TSLA US 01/19/24 P200)</t>
        </is>
      </c>
      <c r="AK1" t="inlineStr">
        <is>
          <t>BBG012NFX106 Equity (TSLA US 01/19/24 P203.33)</t>
        </is>
      </c>
      <c r="AO1" t="inlineStr">
        <is>
          <t>BBG01JX1VNV9 Equity (TSLA US 01/19/24 P205)</t>
        </is>
      </c>
      <c r="AS1" t="inlineStr">
        <is>
          <t>BBG012J61GL0 Equity (TSLA US 01/19/24 P206.67)</t>
        </is>
      </c>
      <c r="AW1" t="inlineStr">
        <is>
          <t>BBG012HFH2X3 Equity (TSLA US 01/19/24 P210)</t>
        </is>
      </c>
      <c r="BA1" t="inlineStr">
        <is>
          <t>BBG012HFH405 Equity (TSLA US 01/19/24 P213.33)</t>
        </is>
      </c>
      <c r="BE1" t="inlineStr">
        <is>
          <t>BBG01JX1VPY1 Equity (TSLA US 01/19/24 P215)</t>
        </is>
      </c>
      <c r="BI1" t="inlineStr">
        <is>
          <t>BBG012HFH539 Equity (TSLA US 01/19/24 P216.67)</t>
        </is>
      </c>
      <c r="BM1" t="inlineStr">
        <is>
          <t>BBG012HFH673 Equity (TSLA US 01/19/24 P220)</t>
        </is>
      </c>
      <c r="BQ1" t="inlineStr">
        <is>
          <t>BBG01KNTMQF7 Equity (TSLA US 01/19/24 P222.5)</t>
        </is>
      </c>
      <c r="BU1" t="inlineStr">
        <is>
          <t>BBG012HFH7B6 Equity (TSLA US 01/19/24 P223.33)</t>
        </is>
      </c>
      <c r="BY1" t="inlineStr">
        <is>
          <t>BBG01JX1VR31 Equity (TSLA US 01/19/24 P225)</t>
        </is>
      </c>
      <c r="CC1" t="inlineStr">
        <is>
          <t>BBG012HFH8G9 Equity (TSLA US 01/19/24 P226.67)</t>
        </is>
      </c>
      <c r="CG1" t="inlineStr">
        <is>
          <t>BBG01KNTMRJ1 Equity (TSLA US 01/19/24 P227.5)</t>
        </is>
      </c>
      <c r="CK1" t="inlineStr">
        <is>
          <t>BBG012HFH9K2 Equity (TSLA US 01/19/24 P230)</t>
        </is>
      </c>
      <c r="CO1" t="inlineStr">
        <is>
          <t>BBG01KNTMSN4 Equity (TSLA US 01/19/24 P232.5)</t>
        </is>
      </c>
      <c r="CS1" t="inlineStr">
        <is>
          <t>BBG012HFHBN4 Equity (TSLA US 01/19/24 P233.33)</t>
        </is>
      </c>
      <c r="CW1" t="inlineStr">
        <is>
          <t>BBG01JX1VS66 Equity (TSLA US 01/19/24 P235)</t>
        </is>
      </c>
      <c r="DA1" t="inlineStr">
        <is>
          <t>BBG012HFHCS7 Equity (TSLA US 01/19/24 P236.67)</t>
        </is>
      </c>
      <c r="DE1" t="inlineStr">
        <is>
          <t>BBG01KNTMTR8 Equity (TSLA US 01/19/24 P237.5)</t>
        </is>
      </c>
      <c r="DI1" t="inlineStr">
        <is>
          <t>BBG012HFHDW0 Equity (TSLA US 01/19/24 P240)</t>
        </is>
      </c>
      <c r="DM1" t="inlineStr">
        <is>
          <t>BBG01KNTMVV8 Equity (TSLA US 01/19/24 P242.5)</t>
        </is>
      </c>
      <c r="DQ1" t="inlineStr">
        <is>
          <t>BBG012HFHFZ2 Equity (TSLA US 01/19/24 P243.33)</t>
        </is>
      </c>
      <c r="DU1" t="inlineStr">
        <is>
          <t>BBG01JX1VT91 Equity (TSLA US 01/19/24 P245)</t>
        </is>
      </c>
      <c r="DY1" t="inlineStr">
        <is>
          <t>BBG012HFHH33 Equity (TSLA US 01/19/24 P246.67)</t>
        </is>
      </c>
      <c r="EC1" t="inlineStr">
        <is>
          <t>BBG01KNTMWZ2 Equity (TSLA US 01/19/24 P247.5)</t>
        </is>
      </c>
      <c r="EG1" t="inlineStr">
        <is>
          <t>BBG012HFHJ66 Equity (TSLA US 01/19/24 P250)</t>
        </is>
      </c>
      <c r="EK1" t="inlineStr">
        <is>
          <t>BBG01KNTMY24 Equity (TSLA US 01/19/24 P252.5)</t>
        </is>
      </c>
      <c r="EO1" t="inlineStr">
        <is>
          <t>BBG012HFHK90 Equity (TSLA US 01/19/24 P253.33)</t>
        </is>
      </c>
      <c r="ES1" t="inlineStr">
        <is>
          <t>BBG01JX1VVG8 Equity (TSLA US 01/19/24 P255)</t>
        </is>
      </c>
      <c r="EW1" t="inlineStr">
        <is>
          <t>BBG012HFHLF1 Equity (TSLA US 01/19/24 P256.67)</t>
        </is>
      </c>
      <c r="FA1" t="inlineStr">
        <is>
          <t>BBG01KNTMZ58 Equity (TSLA US 01/19/24 P257.5)</t>
        </is>
      </c>
      <c r="FE1" t="inlineStr">
        <is>
          <t>BBG012HFHMJ5 Equity (TSLA US 01/19/24 P260)</t>
        </is>
      </c>
      <c r="FI1" t="inlineStr">
        <is>
          <t>BBG01KNTN090 Equity (TSLA US 01/19/24 P262.5)</t>
        </is>
      </c>
      <c r="FM1" t="inlineStr">
        <is>
          <t>BBG012HFHNM9 Equity (TSLA US 01/19/24 P263.33)</t>
        </is>
      </c>
      <c r="FQ1" t="inlineStr">
        <is>
          <t>BBG01JX1VWK1 Equity (TSLA US 01/19/24 P265)</t>
        </is>
      </c>
      <c r="FU1" t="inlineStr">
        <is>
          <t>BBG012HFHPR9 Equity (TSLA US 01/19/24 P266.67)</t>
        </is>
      </c>
      <c r="FY1" t="inlineStr">
        <is>
          <t>BBG01KNTN1D3 Equity (TSLA US 01/19/24 P267.5)</t>
        </is>
      </c>
      <c r="GC1" t="inlineStr">
        <is>
          <t>BBG012HFHQV2 Equity (TSLA US 01/19/24 P270)</t>
        </is>
      </c>
      <c r="GG1" t="inlineStr">
        <is>
          <t>BBG01KNTN2H7 Equity (TSLA US 01/19/24 P272.5)</t>
        </is>
      </c>
      <c r="GK1" t="inlineStr">
        <is>
          <t>BBG012HFHRY7 Equity (TSLA US 01/19/24 P273.33)</t>
        </is>
      </c>
      <c r="GO1" t="inlineStr">
        <is>
          <t>BBG01JX1VXN6 Equity (TSLA US 01/19/24 P275)</t>
        </is>
      </c>
      <c r="GS1" t="inlineStr">
        <is>
          <t>BBG012HFHT28 Equity (TSLA US 01/19/24 P276.67)</t>
        </is>
      </c>
      <c r="GW1" t="inlineStr">
        <is>
          <t>BBG01KNTN3M9 Equity (TSLA US 01/19/24 P277.5)</t>
        </is>
      </c>
      <c r="HA1" t="inlineStr">
        <is>
          <t>BBG012HFHV50 Equity (TSLA US 01/19/24 P280)</t>
        </is>
      </c>
      <c r="HE1" t="inlineStr">
        <is>
          <t>BBG01KQXVJ70 Equity (TSLA US 01/19/24 P282.5)</t>
        </is>
      </c>
      <c r="HI1" t="inlineStr">
        <is>
          <t>BBG012HFHW85 Equity (TSLA US 01/19/24 P283.33)</t>
        </is>
      </c>
      <c r="HM1" t="inlineStr">
        <is>
          <t>BBG01JX1VYS9 Equity (TSLA US 01/19/24 P285)</t>
        </is>
      </c>
      <c r="HQ1" t="inlineStr">
        <is>
          <t>BBG012HFHXD7 Equity (TSLA US 01/19/24 P286.67)</t>
        </is>
      </c>
      <c r="HU1" t="inlineStr">
        <is>
          <t>BBG01KSYCVH9 Equity (TSLA US 01/19/24 P287.5)</t>
        </is>
      </c>
      <c r="HY1" t="inlineStr">
        <is>
          <t>BBG012HFHYH1 Equity (TSLA US 01/19/24 P290)</t>
        </is>
      </c>
      <c r="IC1" t="inlineStr">
        <is>
          <t>BBG012HFHZL3 Equity (TSLA US 01/19/24 P293.33)</t>
        </is>
      </c>
      <c r="IG1" t="inlineStr">
        <is>
          <t>BBG01JX1VZW1 Equity (TSLA US 01/19/24 P295)</t>
        </is>
      </c>
      <c r="IK1" t="inlineStr">
        <is>
          <t>BBG012HFJ0Q3 Equity (TSLA US 01/19/24 P296.67)</t>
        </is>
      </c>
      <c r="IO1" t="inlineStr">
        <is>
          <t>BBG012J61HP4 Equity (TSLA US 01/19/24 P300)</t>
        </is>
      </c>
      <c r="IS1" t="inlineStr">
        <is>
          <t>BBG014TNYQV9 Equity (TSLA US 01/19/24 P303.33)</t>
        </is>
      </c>
      <c r="IW1" t="inlineStr">
        <is>
          <t>BBG01JX1W0Z4 Equity (TSLA US 01/19/24 P305)</t>
        </is>
      </c>
      <c r="JA1" t="inlineStr">
        <is>
          <t>BBG012J61JV3 Equity (TSLA US 01/19/24 P306.67)</t>
        </is>
      </c>
      <c r="JE1" t="inlineStr">
        <is>
          <t>BBG014TNYRY4 Equity (TSLA US 01/19/24 P310)</t>
        </is>
      </c>
      <c r="JI1" t="inlineStr">
        <is>
          <t>BBG012J61KY7 Equity (TSLA US 01/19/24 P313.33)</t>
        </is>
      </c>
      <c r="JM1" t="inlineStr">
        <is>
          <t>BBG01K17QCY5 Equity (TSLA US 01/19/24 P315)</t>
        </is>
      </c>
      <c r="JQ1" t="inlineStr">
        <is>
          <t>BBG012J61M28 Equity (TSLA US 01/19/24 P316.67)</t>
        </is>
      </c>
      <c r="JU1" t="inlineStr">
        <is>
          <t>BBG012J61N53 Equity (TSLA US 01/19/24 P320)</t>
        </is>
      </c>
      <c r="JY1" t="inlineStr">
        <is>
          <t>BBG014TNYT25 Equity (TSLA US 01/19/24 P323.33)</t>
        </is>
      </c>
      <c r="KC1" t="inlineStr">
        <is>
          <t>BBG012NFX231 Equity (TSLA US 01/19/24 P325)</t>
        </is>
      </c>
      <c r="KG1" t="inlineStr">
        <is>
          <t>BBG012J61P85 Equity (TSLA US 01/19/24 P326.67)</t>
        </is>
      </c>
      <c r="KK1" t="inlineStr">
        <is>
          <t>BBG01HX6DYF6 Equity (TSLA US 02/16/24 P200)</t>
        </is>
      </c>
      <c r="KO1" t="inlineStr">
        <is>
          <t>BBG01HX6DZJ9 Equity (TSLA US 02/16/24 P205)</t>
        </is>
      </c>
      <c r="KS1" t="inlineStr">
        <is>
          <t>BBG01HX6F0M0 Equity (TSLA US 02/16/24 P210)</t>
        </is>
      </c>
      <c r="KW1" t="inlineStr">
        <is>
          <t>BBG01HX6F1S2 Equity (TSLA US 02/16/24 P215)</t>
        </is>
      </c>
      <c r="LA1" t="inlineStr">
        <is>
          <t>BBG01HX6F2W5 Equity (TSLA US 02/16/24 P220)</t>
        </is>
      </c>
      <c r="LE1" t="inlineStr">
        <is>
          <t>BBG01HX6F3Z0 Equity (TSLA US 02/16/24 P225)</t>
        </is>
      </c>
      <c r="LI1" t="inlineStr">
        <is>
          <t>BBG01HX6F530 Equity (TSLA US 02/16/24 P230)</t>
        </is>
      </c>
      <c r="LM1" t="inlineStr">
        <is>
          <t>BBG01HX6F665 Equity (TSLA US 02/16/24 P235)</t>
        </is>
      </c>
      <c r="LQ1" t="inlineStr">
        <is>
          <t>BBG01HX6F790 Equity (TSLA US 02/16/24 P240)</t>
        </is>
      </c>
      <c r="LU1" t="inlineStr">
        <is>
          <t>BBG01HX6F8F1 Equity (TSLA US 02/16/24 P245)</t>
        </is>
      </c>
      <c r="LY1" t="inlineStr">
        <is>
          <t>BBG01HX6F9J5 Equity (TSLA US 02/16/24 P250)</t>
        </is>
      </c>
      <c r="MC1" t="inlineStr">
        <is>
          <t>BBG01HX6FBM6 Equity (TSLA US 02/16/24 P255)</t>
        </is>
      </c>
      <c r="MG1" t="inlineStr">
        <is>
          <t>BBG01HX6FCR9 Equity (TSLA US 02/16/24 P260)</t>
        </is>
      </c>
      <c r="MK1" t="inlineStr">
        <is>
          <t>BBG01HX6FDV2 Equity (TSLA US 02/16/24 P265)</t>
        </is>
      </c>
      <c r="MO1" t="inlineStr">
        <is>
          <t>BBG01HX6FFY4 Equity (TSLA US 02/16/24 P270)</t>
        </is>
      </c>
      <c r="MS1" t="inlineStr">
        <is>
          <t>BBG01HX6FH34 Equity (TSLA US 02/16/24 P275)</t>
        </is>
      </c>
      <c r="MW1" t="inlineStr">
        <is>
          <t>BBG01HX6FJ67 Equity (TSLA US 02/16/24 P280)</t>
        </is>
      </c>
      <c r="NA1" t="inlineStr">
        <is>
          <t>BBG01HX6FK91 Equity (TSLA US 02/16/24 P285)</t>
        </is>
      </c>
      <c r="NE1" t="inlineStr">
        <is>
          <t>BBG01HX6FLF2 Equity (TSLA US 02/16/24 P290)</t>
        </is>
      </c>
      <c r="NI1" t="inlineStr">
        <is>
          <t>BBG01HX6FMJ6 Equity (TSLA US 02/16/24 P295)</t>
        </is>
      </c>
      <c r="NM1" t="inlineStr">
        <is>
          <t>BBG01HX6FNN9 Equity (TSLA US 02/16/24 P300)</t>
        </is>
      </c>
      <c r="NQ1" t="inlineStr">
        <is>
          <t>BBG01HX6FPR0 Equity (TSLA US 02/16/24 P305)</t>
        </is>
      </c>
      <c r="NU1" t="inlineStr">
        <is>
          <t>BBG01HX6FQV3 Equity (TSLA US 02/16/24 P310)</t>
        </is>
      </c>
      <c r="NY1" t="inlineStr">
        <is>
          <t>BBG01HX6FRZ7 Equity (TSLA US 02/16/24 P315)</t>
        </is>
      </c>
      <c r="OC1" t="inlineStr">
        <is>
          <t>BBG01HX6FT29 Equity (TSLA US 02/16/24 P320)</t>
        </is>
      </c>
      <c r="OG1" t="inlineStr">
        <is>
          <t>BBG01HX6FV51 Equity (TSLA US 02/16/24 P325)</t>
        </is>
      </c>
      <c r="OK1" t="inlineStr">
        <is>
          <t>BBG018H63CC6 Equity (TSLA US 03/15/24 P200)</t>
        </is>
      </c>
      <c r="OO1" t="inlineStr">
        <is>
          <t>BBG01HKKQ0F9 Equity (TSLA US 03/15/24 P205)</t>
        </is>
      </c>
      <c r="OS1" t="inlineStr">
        <is>
          <t>BBG018H63DG0 Equity (TSLA US 03/15/24 P208.33)</t>
        </is>
      </c>
      <c r="OW1" t="inlineStr">
        <is>
          <t>BBG01DC5S709 Equity (TSLA US 03/15/24 P210)</t>
        </is>
      </c>
      <c r="PA1" t="inlineStr">
        <is>
          <t>BBG01HKKQ1J3 Equity (TSLA US 03/15/24 P215)</t>
        </is>
      </c>
      <c r="PE1" t="inlineStr">
        <is>
          <t>BBG018H63FK0 Equity (TSLA US 03/15/24 P216.67)</t>
        </is>
      </c>
      <c r="PI1" t="inlineStr">
        <is>
          <t>BBG01DJ4QF36 Equity (TSLA US 03/15/24 P220)</t>
        </is>
      </c>
      <c r="PM1" t="inlineStr">
        <is>
          <t>BBG018H63GP3 Equity (TSLA US 03/15/24 P225)</t>
        </is>
      </c>
      <c r="PQ1" t="inlineStr">
        <is>
          <t>BBG01DJ4QG89 Equity (TSLA US 03/15/24 P230)</t>
        </is>
      </c>
      <c r="PU1" t="inlineStr">
        <is>
          <t>BBG018H63HS8 Equity (TSLA US 03/15/24 P233.33)</t>
        </is>
      </c>
      <c r="PY1" t="inlineStr">
        <is>
          <t>BBG01HKKQ2M7 Equity (TSLA US 03/15/24 P235)</t>
        </is>
      </c>
      <c r="QC1" t="inlineStr">
        <is>
          <t>BBG01DMTJ0M7 Equity (TSLA US 03/15/24 P240)</t>
        </is>
      </c>
      <c r="QG1" t="inlineStr">
        <is>
          <t>BBG018H63JW9 Equity (TSLA US 03/15/24 P241.67)</t>
        </is>
      </c>
      <c r="QK1" t="inlineStr">
        <is>
          <t>BBG01HKKQ3R0 Equity (TSLA US 03/15/24 P245)</t>
        </is>
      </c>
      <c r="QO1" t="inlineStr">
        <is>
          <t>BBG018H63L09 Equity (TSLA US 03/15/24 P250)</t>
        </is>
      </c>
      <c r="QS1" t="inlineStr">
        <is>
          <t>BBG01HKKQ4V3 Equity (TSLA US 03/15/24 P255)</t>
        </is>
      </c>
      <c r="QW1" t="inlineStr">
        <is>
          <t>BBG018H63M34 Equity (TSLA US 03/15/24 P258.33)</t>
        </is>
      </c>
      <c r="RA1" t="inlineStr">
        <is>
          <t>BBG01DMTJ1S9 Equity (TSLA US 03/15/24 P260)</t>
        </is>
      </c>
      <c r="RE1" t="inlineStr">
        <is>
          <t>BBG01HKKQ5Y7 Equity (TSLA US 03/15/24 P265)</t>
        </is>
      </c>
      <c r="RI1" t="inlineStr">
        <is>
          <t>BBG018H63N69 Equity (TSLA US 03/15/24 P266.67)</t>
        </is>
      </c>
      <c r="RM1" t="inlineStr">
        <is>
          <t>BBG01F2T75B8 Equity (TSLA US 03/15/24 P270)</t>
        </is>
      </c>
      <c r="RQ1" t="inlineStr">
        <is>
          <t>BBG018H63PB8 Equity (TSLA US 03/15/24 P275)</t>
        </is>
      </c>
      <c r="RU1" t="inlineStr">
        <is>
          <t>BBG01F2T76F2 Equity (TSLA US 03/15/24 P280)</t>
        </is>
      </c>
      <c r="RY1" t="inlineStr">
        <is>
          <t>BBG018H63QF2 Equity (TSLA US 03/15/24 P283.33)</t>
        </is>
      </c>
      <c r="SC1" t="inlineStr">
        <is>
          <t>BBG01HKKQ728 Equity (TSLA US 03/15/24 P285)</t>
        </is>
      </c>
      <c r="SG1" t="inlineStr">
        <is>
          <t>BBG01F3WH8V1 Equity (TSLA US 03/15/24 P290)</t>
        </is>
      </c>
      <c r="SK1" t="inlineStr">
        <is>
          <t>BBG018H63RJ6 Equity (TSLA US 03/15/24 P291.67)</t>
        </is>
      </c>
      <c r="SO1" t="inlineStr">
        <is>
          <t>BBG01HKKQ853 Equity (TSLA US 03/15/24 P295)</t>
        </is>
      </c>
      <c r="SS1" t="inlineStr">
        <is>
          <t>BBG018H63SN9 Equity (TSLA US 03/15/24 P300)</t>
        </is>
      </c>
      <c r="SW1" t="inlineStr">
        <is>
          <t>BBG01HKKQ997 Equity (TSLA US 03/15/24 P305)</t>
        </is>
      </c>
      <c r="TA1" t="inlineStr">
        <is>
          <t>BBG018H63TR3 Equity (TSLA US 03/15/24 P308.33)</t>
        </is>
      </c>
      <c r="TE1" t="inlineStr">
        <is>
          <t>BBG01F723WP2 Equity (TSLA US 03/15/24 P310)</t>
        </is>
      </c>
      <c r="TI1" t="inlineStr">
        <is>
          <t>BBG01HKKQBD7 Equity (TSLA US 03/15/24 P315)</t>
        </is>
      </c>
      <c r="TM1" t="inlineStr">
        <is>
          <t>BBG018H63VV3 Equity (TSLA US 03/15/24 P316.67)</t>
        </is>
      </c>
      <c r="TQ1" t="inlineStr">
        <is>
          <t>BBG01GZR9DZ9 Equity (TSLA US 03/15/24 P320)</t>
        </is>
      </c>
      <c r="TU1" t="inlineStr">
        <is>
          <t>BBG018H63WZ7 Equity (TSLA US 03/15/24 P325)</t>
        </is>
      </c>
      <c r="TY1" t="inlineStr">
        <is>
          <t>BBG01J3VT2N4 Equity (TSLA US 04/19/24 P145)</t>
        </is>
      </c>
      <c r="UC1" t="inlineStr">
        <is>
          <t>BBG01J3VT3R8 Equity (TSLA US 04/19/24 P150)</t>
        </is>
      </c>
      <c r="UG1" t="inlineStr">
        <is>
          <t>BBG01M24NHN1 Equity (TSLA US 04/19/24 P152.5)</t>
        </is>
      </c>
      <c r="UK1" t="inlineStr">
        <is>
          <t>BBG01J3VT4V1 Equity (TSLA US 04/19/24 P155)</t>
        </is>
      </c>
      <c r="UO1" t="inlineStr">
        <is>
          <t>BBG01M24NJT1 Equity (TSLA US 04/19/24 P157.5)</t>
        </is>
      </c>
      <c r="US1" t="inlineStr">
        <is>
          <t>BBG01J3VT5Z4 Equity (TSLA US 04/19/24 P160)</t>
        </is>
      </c>
      <c r="UW1" t="inlineStr">
        <is>
          <t>BBG01M24NKZ1 Equity (TSLA US 04/19/24 P162.5)</t>
        </is>
      </c>
      <c r="VA1" t="inlineStr">
        <is>
          <t>BBG01J3VT726 Equity (TSLA US 04/19/24 P165)</t>
        </is>
      </c>
      <c r="VE1" t="inlineStr">
        <is>
          <t>BBG01M24NM50 Equity (TSLA US 04/19/24 P167.5)</t>
        </is>
      </c>
      <c r="VI1" t="inlineStr">
        <is>
          <t>BBG01J3VT851 Equity (TSLA US 04/19/24 P170)</t>
        </is>
      </c>
      <c r="VM1" t="inlineStr">
        <is>
          <t>BBG01M24NNB1 Equity (TSLA US 04/19/24 P172.5)</t>
        </is>
      </c>
      <c r="VQ1" t="inlineStr">
        <is>
          <t>BBG01J3VT995 Equity (TSLA US 04/19/24 P175)</t>
        </is>
      </c>
      <c r="VU1" t="inlineStr">
        <is>
          <t>BBG01M24NPJ8 Equity (TSLA US 04/19/24 P177.5)</t>
        </is>
      </c>
      <c r="VY1" t="inlineStr">
        <is>
          <t>BBG01J3VTBD5 Equity (TSLA US 04/19/24 P180)</t>
        </is>
      </c>
      <c r="WC1" t="inlineStr">
        <is>
          <t>BBG01M24NQP9 Equity (TSLA US 04/19/24 P182.5)</t>
        </is>
      </c>
      <c r="WG1" t="inlineStr">
        <is>
          <t>BBG01J3VTCH9 Equity (TSLA US 04/19/24 P185)</t>
        </is>
      </c>
      <c r="WK1" t="inlineStr">
        <is>
          <t>BBG01M24NRV0 Equity (TSLA US 04/19/24 P187.5)</t>
        </is>
      </c>
      <c r="WO1" t="inlineStr">
        <is>
          <t>BBG01J3VTDM1 Equity (TSLA US 04/19/24 P190)</t>
        </is>
      </c>
      <c r="WS1" t="inlineStr">
        <is>
          <t>BBG01M3Z7R48 Equity (TSLA US 04/19/24 P192.5)</t>
        </is>
      </c>
      <c r="WW1" t="inlineStr">
        <is>
          <t>BBG01J3VTFQ2 Equity (TSLA US 04/19/24 P195)</t>
        </is>
      </c>
      <c r="XA1" t="inlineStr">
        <is>
          <t>BBG01M3Z7S91 Equity (TSLA US 04/19/24 P197.5)</t>
        </is>
      </c>
      <c r="XE1" t="inlineStr">
        <is>
          <t>BBG01J3VTGT7 Equity (TSLA US 04/19/24 P200)</t>
        </is>
      </c>
      <c r="XI1" t="inlineStr">
        <is>
          <t>BBG01M3Z7TG1 Equity (TSLA US 04/19/24 P202.5)</t>
        </is>
      </c>
      <c r="XM1" t="inlineStr">
        <is>
          <t>BBG01J3VTHY9 Equity (TSLA US 04/19/24 P205)</t>
        </is>
      </c>
      <c r="XQ1" t="inlineStr">
        <is>
          <t>BBG01J3VTK18 Equity (TSLA US 04/19/24 P210)</t>
        </is>
      </c>
      <c r="XU1" t="inlineStr">
        <is>
          <t>BBG01J3VTL43 Equity (TSLA US 04/19/24 P215)</t>
        </is>
      </c>
      <c r="XY1" t="inlineStr">
        <is>
          <t>BBG01J3VTM87 Equity (TSLA US 04/19/24 P220)</t>
        </is>
      </c>
      <c r="YC1" t="inlineStr">
        <is>
          <t>BBG01J3VTNC0 Equity (TSLA US 04/19/24 P225)</t>
        </is>
      </c>
      <c r="YG1" t="inlineStr">
        <is>
          <t>BBG01J3VTPG1 Equity (TSLA US 04/19/24 P230)</t>
        </is>
      </c>
      <c r="YK1" t="inlineStr">
        <is>
          <t>BBG01J3VTQL3 Equity (TSLA US 04/19/24 P235)</t>
        </is>
      </c>
      <c r="YO1" t="inlineStr">
        <is>
          <t>BBG01J3VTRP7 Equity (TSLA US 04/19/24 P240)</t>
        </is>
      </c>
      <c r="YS1" t="inlineStr">
        <is>
          <t>BBG01J3VTST1 Equity (TSLA US 04/19/24 P245)</t>
        </is>
      </c>
      <c r="YW1" t="inlineStr">
        <is>
          <t>BBG01J3VTTX4 Equity (TSLA US 04/19/24 P250)</t>
        </is>
      </c>
      <c r="ZA1" t="inlineStr">
        <is>
          <t>BBG01J3VTW03 Equity (TSLA US 04/19/24 P255)</t>
        </is>
      </c>
      <c r="ZE1" t="inlineStr">
        <is>
          <t>BBG01J3VTX47 Equity (TSLA US 04/19/24 P260)</t>
        </is>
      </c>
      <c r="ZI1" t="inlineStr">
        <is>
          <t>BBG01J3VTY72 Equity (TSLA US 04/19/24 P265)</t>
        </is>
      </c>
      <c r="ZM1" t="inlineStr">
        <is>
          <t>BBG01J3VTZB4 Equity (TSLA US 04/19/24 P270)</t>
        </is>
      </c>
      <c r="ZQ1" t="inlineStr">
        <is>
          <t>BBG01J3VV0G3 Equity (TSLA US 04/19/24 P275)</t>
        </is>
      </c>
      <c r="ZU1" t="inlineStr">
        <is>
          <t>BBG01J3VV1K6 Equity (TSLA US 04/19/24 P280)</t>
        </is>
      </c>
      <c r="ZY1" t="inlineStr">
        <is>
          <t>BBG01J3VV2N1 Equity (TSLA US 04/19/24 P285)</t>
        </is>
      </c>
      <c r="AAC1" t="inlineStr">
        <is>
          <t>BBG01J3VV3S4 Equity (TSLA US 04/19/24 P290)</t>
        </is>
      </c>
      <c r="AAG1" t="inlineStr">
        <is>
          <t>BBG01J3VV4W7 Equity (TSLA US 04/19/24 P295)</t>
        </is>
      </c>
      <c r="AAK1" t="inlineStr">
        <is>
          <t>BBG01J3VV5Z1 Equity (TSLA US 04/19/24 P300)</t>
        </is>
      </c>
      <c r="AAO1" t="inlineStr">
        <is>
          <t>BBG01J3VV732 Equity (TSLA US 04/19/24 P305)</t>
        </is>
      </c>
      <c r="AAS1" t="inlineStr">
        <is>
          <t>BBG01J3VV867 Equity (TSLA US 04/19/24 P310)</t>
        </is>
      </c>
      <c r="AAW1" t="inlineStr">
        <is>
          <t>BBG01J3VV992 Equity (TSLA US 04/19/24 P315)</t>
        </is>
      </c>
      <c r="ABA1" t="inlineStr">
        <is>
          <t>BBG01J3VVBF0 Equity (TSLA US 04/19/24 P320)</t>
        </is>
      </c>
      <c r="ABE1" t="inlineStr">
        <is>
          <t>BBG01JJDNJ10 Equity (TSLA US 05/17/24 P145)</t>
        </is>
      </c>
      <c r="ABI1" t="inlineStr">
        <is>
          <t>BBG01JJDNK44 Equity (TSLA US 05/17/24 P150)</t>
        </is>
      </c>
      <c r="ABM1" t="inlineStr">
        <is>
          <t>BBG01JJDNL79 Equity (TSLA US 05/17/24 P155)</t>
        </is>
      </c>
      <c r="ABQ1" t="inlineStr">
        <is>
          <t>BBG01JJDNMC1 Equity (TSLA US 05/17/24 P160)</t>
        </is>
      </c>
      <c r="ABU1" t="inlineStr">
        <is>
          <t>BBG01JJDNNG5 Equity (TSLA US 05/17/24 P165)</t>
        </is>
      </c>
      <c r="ABY1" t="inlineStr">
        <is>
          <t>BBG01JJDNPL4 Equity (TSLA US 05/17/24 P170)</t>
        </is>
      </c>
      <c r="ACC1" t="inlineStr">
        <is>
          <t>BBG01JJDNQP8 Equity (TSLA US 05/17/24 P175)</t>
        </is>
      </c>
      <c r="ACG1" t="inlineStr">
        <is>
          <t>BBG01JJDNRS3 Equity (TSLA US 05/17/24 P180)</t>
        </is>
      </c>
      <c r="ACK1" t="inlineStr">
        <is>
          <t>BBG01JJDNSX5 Equity (TSLA US 05/17/24 P185)</t>
        </is>
      </c>
      <c r="ACO1" t="inlineStr">
        <is>
          <t>BBG01JJDNV04 Equity (TSLA US 05/17/24 P190)</t>
        </is>
      </c>
      <c r="ACS1" t="inlineStr">
        <is>
          <t>BBG01JJDNW39 Equity (TSLA US 05/17/24 P195)</t>
        </is>
      </c>
      <c r="ACW1" t="inlineStr">
        <is>
          <t>BBG01JJDNX73 Equity (TSLA US 05/17/24 P200)</t>
        </is>
      </c>
      <c r="ADA1" t="inlineStr">
        <is>
          <t>BBG01JJDNYB6 Equity (TSLA US 05/17/24 P205)</t>
        </is>
      </c>
      <c r="ADE1" t="inlineStr">
        <is>
          <t>BBG01JJDNZF9 Equity (TSLA US 05/17/24 P210)</t>
        </is>
      </c>
      <c r="ADI1" t="inlineStr">
        <is>
          <t>BBG01JJDP0K8 Equity (TSLA US 05/17/24 P215)</t>
        </is>
      </c>
      <c r="ADM1" t="inlineStr">
        <is>
          <t>BBG01JJDP1N3 Equity (TSLA US 05/17/24 P220)</t>
        </is>
      </c>
      <c r="ADQ1" t="inlineStr">
        <is>
          <t>BBG01JJDP2R7 Equity (TSLA US 05/17/24 P225)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BDH("BBG01FN9GCC3 Equity","PX_LAST,PX_VOLUME","1/1/2020","6/10/2026")</f>
        <v/>
      </c>
      <c r="E3">
        <f>BDH("BBG01DMN5CR4 Equity","PX_LAST,PX_VOLUME","1/1/2020","6/10/2026")</f>
        <v/>
      </c>
      <c r="I3">
        <f>BDH("BBG01H73TD89 Equity","PX_LAST,PX_VOLUME","1/1/2020","6/10/2026")</f>
        <v/>
      </c>
      <c r="M3">
        <f>BDH("BBG01DMN5DV7 Equity","PX_LAST,PX_VOLUME","1/1/2020","6/10/2026")</f>
        <v/>
      </c>
      <c r="Q3">
        <f>BDH("BBG01H73TFG5 Equity","PX_LAST,PX_VOLUME","1/1/2020","6/10/2026")</f>
        <v/>
      </c>
      <c r="U3">
        <f>BDH("BBG01DMN5FZ8 Equity","PX_LAST,PX_VOLUME","1/1/2020","6/10/2026")</f>
        <v/>
      </c>
      <c r="Y3">
        <f>BDH("BBG01H73TGK8 Equity","PX_LAST,PX_VOLUME","1/1/2020","6/10/2026")</f>
        <v/>
      </c>
      <c r="AC3">
        <f>BDH("BBG01DMN5H20 Equity","PX_LAST,PX_VOLUME","1/1/2020","6/10/2026")</f>
        <v/>
      </c>
      <c r="AG3">
        <f>BDH("BBG012J61FH7 Equity","PX_LAST,PX_VOLUME","1/1/2020","6/10/2026")</f>
        <v/>
      </c>
      <c r="AK3">
        <f>BDH("BBG012NFX106 Equity","PX_LAST,PX_VOLUME","1/1/2020","6/10/2026")</f>
        <v/>
      </c>
      <c r="AO3">
        <f>BDH("BBG01JX1VNV9 Equity","PX_LAST,PX_VOLUME","1/1/2020","6/10/2026")</f>
        <v/>
      </c>
      <c r="AS3">
        <f>BDH("BBG012J61GL0 Equity","PX_LAST,PX_VOLUME","1/1/2020","6/10/2026")</f>
        <v/>
      </c>
      <c r="AW3">
        <f>BDH("BBG012HFH2X3 Equity","PX_LAST,PX_VOLUME","1/1/2020","6/10/2026")</f>
        <v/>
      </c>
      <c r="BA3">
        <f>BDH("BBG012HFH405 Equity","PX_LAST,PX_VOLUME","1/1/2020","6/10/2026")</f>
        <v/>
      </c>
      <c r="BE3">
        <f>BDH("BBG01JX1VPY1 Equity","PX_LAST,PX_VOLUME","1/1/2020","6/10/2026")</f>
        <v/>
      </c>
      <c r="BI3">
        <f>BDH("BBG012HFH539 Equity","PX_LAST,PX_VOLUME","1/1/2020","6/10/2026")</f>
        <v/>
      </c>
      <c r="BM3">
        <f>BDH("BBG012HFH673 Equity","PX_LAST,PX_VOLUME","1/1/2020","6/10/2026")</f>
        <v/>
      </c>
      <c r="BQ3">
        <f>BDH("BBG01KNTMQF7 Equity","PX_LAST,PX_VOLUME","1/1/2020","6/10/2026")</f>
        <v/>
      </c>
      <c r="BU3">
        <f>BDH("BBG012HFH7B6 Equity","PX_LAST,PX_VOLUME","1/1/2020","6/10/2026")</f>
        <v/>
      </c>
      <c r="BY3">
        <f>BDH("BBG01JX1VR31 Equity","PX_LAST,PX_VOLUME","1/1/2020","6/10/2026")</f>
        <v/>
      </c>
      <c r="CC3">
        <f>BDH("BBG012HFH8G9 Equity","PX_LAST,PX_VOLUME","1/1/2020","6/10/2026")</f>
        <v/>
      </c>
      <c r="CG3">
        <f>BDH("BBG01KNTMRJ1 Equity","PX_LAST,PX_VOLUME","1/1/2020","6/10/2026")</f>
        <v/>
      </c>
      <c r="CK3">
        <f>BDH("BBG012HFH9K2 Equity","PX_LAST,PX_VOLUME","1/1/2020","6/10/2026")</f>
        <v/>
      </c>
      <c r="CO3">
        <f>BDH("BBG01KNTMSN4 Equity","PX_LAST,PX_VOLUME","1/1/2020","6/10/2026")</f>
        <v/>
      </c>
      <c r="CS3">
        <f>BDH("BBG012HFHBN4 Equity","PX_LAST,PX_VOLUME","1/1/2020","6/10/2026")</f>
        <v/>
      </c>
      <c r="CW3">
        <f>BDH("BBG01JX1VS66 Equity","PX_LAST,PX_VOLUME","1/1/2020","6/10/2026")</f>
        <v/>
      </c>
      <c r="DA3">
        <f>BDH("BBG012HFHCS7 Equity","PX_LAST,PX_VOLUME","1/1/2020","6/10/2026")</f>
        <v/>
      </c>
      <c r="DE3">
        <f>BDH("BBG01KNTMTR8 Equity","PX_LAST,PX_VOLUME","1/1/2020","6/10/2026")</f>
        <v/>
      </c>
      <c r="DI3">
        <f>BDH("BBG012HFHDW0 Equity","PX_LAST,PX_VOLUME","1/1/2020","6/10/2026")</f>
        <v/>
      </c>
      <c r="DM3">
        <f>BDH("BBG01KNTMVV8 Equity","PX_LAST,PX_VOLUME","1/1/2020","6/10/2026")</f>
        <v/>
      </c>
      <c r="DQ3">
        <f>BDH("BBG012HFHFZ2 Equity","PX_LAST,PX_VOLUME","1/1/2020","6/10/2026")</f>
        <v/>
      </c>
      <c r="DU3">
        <f>BDH("BBG01JX1VT91 Equity","PX_LAST,PX_VOLUME","1/1/2020","6/10/2026")</f>
        <v/>
      </c>
      <c r="DY3">
        <f>BDH("BBG012HFHH33 Equity","PX_LAST,PX_VOLUME","1/1/2020","6/10/2026")</f>
        <v/>
      </c>
      <c r="EC3">
        <f>BDH("BBG01KNTMWZ2 Equity","PX_LAST,PX_VOLUME","1/1/2020","6/10/2026")</f>
        <v/>
      </c>
      <c r="EG3">
        <f>BDH("BBG012HFHJ66 Equity","PX_LAST,PX_VOLUME","1/1/2020","6/10/2026")</f>
        <v/>
      </c>
      <c r="EK3">
        <f>BDH("BBG01KNTMY24 Equity","PX_LAST,PX_VOLUME","1/1/2020","6/10/2026")</f>
        <v/>
      </c>
      <c r="EO3">
        <f>BDH("BBG012HFHK90 Equity","PX_LAST,PX_VOLUME","1/1/2020","6/10/2026")</f>
        <v/>
      </c>
      <c r="ES3">
        <f>BDH("BBG01JX1VVG8 Equity","PX_LAST,PX_VOLUME","1/1/2020","6/10/2026")</f>
        <v/>
      </c>
      <c r="EW3">
        <f>BDH("BBG012HFHLF1 Equity","PX_LAST,PX_VOLUME","1/1/2020","6/10/2026")</f>
        <v/>
      </c>
      <c r="FA3">
        <f>BDH("BBG01KNTMZ58 Equity","PX_LAST,PX_VOLUME","1/1/2020","6/10/2026")</f>
        <v/>
      </c>
      <c r="FE3">
        <f>BDH("BBG012HFHMJ5 Equity","PX_LAST,PX_VOLUME","1/1/2020","6/10/2026")</f>
        <v/>
      </c>
      <c r="FI3">
        <f>BDH("BBG01KNTN090 Equity","PX_LAST,PX_VOLUME","1/1/2020","6/10/2026")</f>
        <v/>
      </c>
      <c r="FM3">
        <f>BDH("BBG012HFHNM9 Equity","PX_LAST,PX_VOLUME","1/1/2020","6/10/2026")</f>
        <v/>
      </c>
      <c r="FQ3">
        <f>BDH("BBG01JX1VWK1 Equity","PX_LAST,PX_VOLUME","1/1/2020","6/10/2026")</f>
        <v/>
      </c>
      <c r="FU3">
        <f>BDH("BBG012HFHPR9 Equity","PX_LAST,PX_VOLUME","1/1/2020","6/10/2026")</f>
        <v/>
      </c>
      <c r="FY3">
        <f>BDH("BBG01KNTN1D3 Equity","PX_LAST,PX_VOLUME","1/1/2020","6/10/2026")</f>
        <v/>
      </c>
      <c r="GC3">
        <f>BDH("BBG012HFHQV2 Equity","PX_LAST,PX_VOLUME","1/1/2020","6/10/2026")</f>
        <v/>
      </c>
      <c r="GG3">
        <f>BDH("BBG01KNTN2H7 Equity","PX_LAST,PX_VOLUME","1/1/2020","6/10/2026")</f>
        <v/>
      </c>
      <c r="GK3">
        <f>BDH("BBG012HFHRY7 Equity","PX_LAST,PX_VOLUME","1/1/2020","6/10/2026")</f>
        <v/>
      </c>
      <c r="GO3">
        <f>BDH("BBG01JX1VXN6 Equity","PX_LAST,PX_VOLUME","1/1/2020","6/10/2026")</f>
        <v/>
      </c>
      <c r="GS3">
        <f>BDH("BBG012HFHT28 Equity","PX_LAST,PX_VOLUME","1/1/2020","6/10/2026")</f>
        <v/>
      </c>
      <c r="GW3">
        <f>BDH("BBG01KNTN3M9 Equity","PX_LAST,PX_VOLUME","1/1/2020","6/10/2026")</f>
        <v/>
      </c>
      <c r="HA3">
        <f>BDH("BBG012HFHV50 Equity","PX_LAST,PX_VOLUME","1/1/2020","6/10/2026")</f>
        <v/>
      </c>
      <c r="HE3">
        <f>BDH("BBG01KQXVJ70 Equity","PX_LAST,PX_VOLUME","1/1/2020","6/10/2026")</f>
        <v/>
      </c>
      <c r="HI3">
        <f>BDH("BBG012HFHW85 Equity","PX_LAST,PX_VOLUME","1/1/2020","6/10/2026")</f>
        <v/>
      </c>
      <c r="HM3">
        <f>BDH("BBG01JX1VYS9 Equity","PX_LAST,PX_VOLUME","1/1/2020","6/10/2026")</f>
        <v/>
      </c>
      <c r="HQ3">
        <f>BDH("BBG012HFHXD7 Equity","PX_LAST,PX_VOLUME","1/1/2020","6/10/2026")</f>
        <v/>
      </c>
      <c r="HU3">
        <f>BDH("BBG01KSYCVH9 Equity","PX_LAST,PX_VOLUME","1/1/2020","6/10/2026")</f>
        <v/>
      </c>
      <c r="HY3">
        <f>BDH("BBG012HFHYH1 Equity","PX_LAST,PX_VOLUME","1/1/2020","6/10/2026")</f>
        <v/>
      </c>
      <c r="IC3">
        <f>BDH("BBG012HFHZL3 Equity","PX_LAST,PX_VOLUME","1/1/2020","6/10/2026")</f>
        <v/>
      </c>
      <c r="IG3">
        <f>BDH("BBG01JX1VZW1 Equity","PX_LAST,PX_VOLUME","1/1/2020","6/10/2026")</f>
        <v/>
      </c>
      <c r="IK3">
        <f>BDH("BBG012HFJ0Q3 Equity","PX_LAST,PX_VOLUME","1/1/2020","6/10/2026")</f>
        <v/>
      </c>
      <c r="IO3">
        <f>BDH("BBG012J61HP4 Equity","PX_LAST,PX_VOLUME","1/1/2020","6/10/2026")</f>
        <v/>
      </c>
      <c r="IS3">
        <f>BDH("BBG014TNYQV9 Equity","PX_LAST,PX_VOLUME","1/1/2020","6/10/2026")</f>
        <v/>
      </c>
      <c r="IW3">
        <f>BDH("BBG01JX1W0Z4 Equity","PX_LAST,PX_VOLUME","1/1/2020","6/10/2026")</f>
        <v/>
      </c>
      <c r="JA3">
        <f>BDH("BBG012J61JV3 Equity","PX_LAST,PX_VOLUME","1/1/2020","6/10/2026")</f>
        <v/>
      </c>
      <c r="JE3">
        <f>BDH("BBG014TNYRY4 Equity","PX_LAST,PX_VOLUME","1/1/2020","6/10/2026")</f>
        <v/>
      </c>
      <c r="JI3">
        <f>BDH("BBG012J61KY7 Equity","PX_LAST,PX_VOLUME","1/1/2020","6/10/2026")</f>
        <v/>
      </c>
      <c r="JM3">
        <f>BDH("BBG01K17QCY5 Equity","PX_LAST,PX_VOLUME","1/1/2020","6/10/2026")</f>
        <v/>
      </c>
      <c r="JQ3">
        <f>BDH("BBG012J61M28 Equity","PX_LAST,PX_VOLUME","1/1/2020","6/10/2026")</f>
        <v/>
      </c>
      <c r="JU3">
        <f>BDH("BBG012J61N53 Equity","PX_LAST,PX_VOLUME","1/1/2020","6/10/2026")</f>
        <v/>
      </c>
      <c r="JY3">
        <f>BDH("BBG014TNYT25 Equity","PX_LAST,PX_VOLUME","1/1/2020","6/10/2026")</f>
        <v/>
      </c>
      <c r="KC3">
        <f>BDH("BBG012NFX231 Equity","PX_LAST,PX_VOLUME","1/1/2020","6/10/2026")</f>
        <v/>
      </c>
      <c r="KG3">
        <f>BDH("BBG012J61P85 Equity","PX_LAST,PX_VOLUME","1/1/2020","6/10/2026")</f>
        <v/>
      </c>
      <c r="KK3">
        <f>BDH("BBG01HX6DYF6 Equity","PX_LAST,PX_VOLUME","1/1/2020","6/10/2026")</f>
        <v/>
      </c>
      <c r="KO3">
        <f>BDH("BBG01HX6DZJ9 Equity","PX_LAST,PX_VOLUME","1/1/2020","6/10/2026")</f>
        <v/>
      </c>
      <c r="KS3">
        <f>BDH("BBG01HX6F0M0 Equity","PX_LAST,PX_VOLUME","1/1/2020","6/10/2026")</f>
        <v/>
      </c>
      <c r="KW3">
        <f>BDH("BBG01HX6F1S2 Equity","PX_LAST,PX_VOLUME","1/1/2020","6/10/2026")</f>
        <v/>
      </c>
      <c r="LA3">
        <f>BDH("BBG01HX6F2W5 Equity","PX_LAST,PX_VOLUME","1/1/2020","6/10/2026")</f>
        <v/>
      </c>
      <c r="LE3">
        <f>BDH("BBG01HX6F3Z0 Equity","PX_LAST,PX_VOLUME","1/1/2020","6/10/2026")</f>
        <v/>
      </c>
      <c r="LI3">
        <f>BDH("BBG01HX6F530 Equity","PX_LAST,PX_VOLUME","1/1/2020","6/10/2026")</f>
        <v/>
      </c>
      <c r="LM3">
        <f>BDH("BBG01HX6F665 Equity","PX_LAST,PX_VOLUME","1/1/2020","6/10/2026")</f>
        <v/>
      </c>
      <c r="LQ3">
        <f>BDH("BBG01HX6F790 Equity","PX_LAST,PX_VOLUME","1/1/2020","6/10/2026")</f>
        <v/>
      </c>
      <c r="LU3">
        <f>BDH("BBG01HX6F8F1 Equity","PX_LAST,PX_VOLUME","1/1/2020","6/10/2026")</f>
        <v/>
      </c>
      <c r="LY3">
        <f>BDH("BBG01HX6F9J5 Equity","PX_LAST,PX_VOLUME","1/1/2020","6/10/2026")</f>
        <v/>
      </c>
      <c r="MC3">
        <f>BDH("BBG01HX6FBM6 Equity","PX_LAST,PX_VOLUME","1/1/2020","6/10/2026")</f>
        <v/>
      </c>
      <c r="MG3">
        <f>BDH("BBG01HX6FCR9 Equity","PX_LAST,PX_VOLUME","1/1/2020","6/10/2026")</f>
        <v/>
      </c>
      <c r="MK3">
        <f>BDH("BBG01HX6FDV2 Equity","PX_LAST,PX_VOLUME","1/1/2020","6/10/2026")</f>
        <v/>
      </c>
      <c r="MO3">
        <f>BDH("BBG01HX6FFY4 Equity","PX_LAST,PX_VOLUME","1/1/2020","6/10/2026")</f>
        <v/>
      </c>
      <c r="MS3">
        <f>BDH("BBG01HX6FH34 Equity","PX_LAST,PX_VOLUME","1/1/2020","6/10/2026")</f>
        <v/>
      </c>
      <c r="MW3">
        <f>BDH("BBG01HX6FJ67 Equity","PX_LAST,PX_VOLUME","1/1/2020","6/10/2026")</f>
        <v/>
      </c>
      <c r="NA3">
        <f>BDH("BBG01HX6FK91 Equity","PX_LAST,PX_VOLUME","1/1/2020","6/10/2026")</f>
        <v/>
      </c>
      <c r="NE3">
        <f>BDH("BBG01HX6FLF2 Equity","PX_LAST,PX_VOLUME","1/1/2020","6/10/2026")</f>
        <v/>
      </c>
      <c r="NI3">
        <f>BDH("BBG01HX6FMJ6 Equity","PX_LAST,PX_VOLUME","1/1/2020","6/10/2026")</f>
        <v/>
      </c>
      <c r="NM3">
        <f>BDH("BBG01HX6FNN9 Equity","PX_LAST,PX_VOLUME","1/1/2020","6/10/2026")</f>
        <v/>
      </c>
      <c r="NQ3">
        <f>BDH("BBG01HX6FPR0 Equity","PX_LAST,PX_VOLUME","1/1/2020","6/10/2026")</f>
        <v/>
      </c>
      <c r="NU3">
        <f>BDH("BBG01HX6FQV3 Equity","PX_LAST,PX_VOLUME","1/1/2020","6/10/2026")</f>
        <v/>
      </c>
      <c r="NY3">
        <f>BDH("BBG01HX6FRZ7 Equity","PX_LAST,PX_VOLUME","1/1/2020","6/10/2026")</f>
        <v/>
      </c>
      <c r="OC3">
        <f>BDH("BBG01HX6FT29 Equity","PX_LAST,PX_VOLUME","1/1/2020","6/10/2026")</f>
        <v/>
      </c>
      <c r="OG3">
        <f>BDH("BBG01HX6FV51 Equity","PX_LAST,PX_VOLUME","1/1/2020","6/10/2026")</f>
        <v/>
      </c>
      <c r="OK3">
        <f>BDH("BBG018H63CC6 Equity","PX_LAST,PX_VOLUME","1/1/2020","6/10/2026")</f>
        <v/>
      </c>
      <c r="OO3">
        <f>BDH("BBG01HKKQ0F9 Equity","PX_LAST,PX_VOLUME","1/1/2020","6/10/2026")</f>
        <v/>
      </c>
      <c r="OS3">
        <f>BDH("BBG018H63DG0 Equity","PX_LAST,PX_VOLUME","1/1/2020","6/10/2026")</f>
        <v/>
      </c>
      <c r="OW3">
        <f>BDH("BBG01DC5S709 Equity","PX_LAST,PX_VOLUME","1/1/2020","6/10/2026")</f>
        <v/>
      </c>
      <c r="PA3">
        <f>BDH("BBG01HKKQ1J3 Equity","PX_LAST,PX_VOLUME","1/1/2020","6/10/2026")</f>
        <v/>
      </c>
      <c r="PE3">
        <f>BDH("BBG018H63FK0 Equity","PX_LAST,PX_VOLUME","1/1/2020","6/10/2026")</f>
        <v/>
      </c>
      <c r="PI3">
        <f>BDH("BBG01DJ4QF36 Equity","PX_LAST,PX_VOLUME","1/1/2020","6/10/2026")</f>
        <v/>
      </c>
      <c r="PM3">
        <f>BDH("BBG018H63GP3 Equity","PX_LAST,PX_VOLUME","1/1/2020","6/10/2026")</f>
        <v/>
      </c>
      <c r="PQ3">
        <f>BDH("BBG01DJ4QG89 Equity","PX_LAST,PX_VOLUME","1/1/2020","6/10/2026")</f>
        <v/>
      </c>
      <c r="PU3">
        <f>BDH("BBG018H63HS8 Equity","PX_LAST,PX_VOLUME","1/1/2020","6/10/2026")</f>
        <v/>
      </c>
      <c r="PY3">
        <f>BDH("BBG01HKKQ2M7 Equity","PX_LAST,PX_VOLUME","1/1/2020","6/10/2026")</f>
        <v/>
      </c>
      <c r="QC3">
        <f>BDH("BBG01DMTJ0M7 Equity","PX_LAST,PX_VOLUME","1/1/2020","6/10/2026")</f>
        <v/>
      </c>
      <c r="QG3">
        <f>BDH("BBG018H63JW9 Equity","PX_LAST,PX_VOLUME","1/1/2020","6/10/2026")</f>
        <v/>
      </c>
      <c r="QK3">
        <f>BDH("BBG01HKKQ3R0 Equity","PX_LAST,PX_VOLUME","1/1/2020","6/10/2026")</f>
        <v/>
      </c>
      <c r="QO3">
        <f>BDH("BBG018H63L09 Equity","PX_LAST,PX_VOLUME","1/1/2020","6/10/2026")</f>
        <v/>
      </c>
      <c r="QS3">
        <f>BDH("BBG01HKKQ4V3 Equity","PX_LAST,PX_VOLUME","1/1/2020","6/10/2026")</f>
        <v/>
      </c>
      <c r="QW3">
        <f>BDH("BBG018H63M34 Equity","PX_LAST,PX_VOLUME","1/1/2020","6/10/2026")</f>
        <v/>
      </c>
      <c r="RA3">
        <f>BDH("BBG01DMTJ1S9 Equity","PX_LAST,PX_VOLUME","1/1/2020","6/10/2026")</f>
        <v/>
      </c>
      <c r="RE3">
        <f>BDH("BBG01HKKQ5Y7 Equity","PX_LAST,PX_VOLUME","1/1/2020","6/10/2026")</f>
        <v/>
      </c>
      <c r="RI3">
        <f>BDH("BBG018H63N69 Equity","PX_LAST,PX_VOLUME","1/1/2020","6/10/2026")</f>
        <v/>
      </c>
      <c r="RM3">
        <f>BDH("BBG01F2T75B8 Equity","PX_LAST,PX_VOLUME","1/1/2020","6/10/2026")</f>
        <v/>
      </c>
      <c r="RQ3">
        <f>BDH("BBG018H63PB8 Equity","PX_LAST,PX_VOLUME","1/1/2020","6/10/2026")</f>
        <v/>
      </c>
      <c r="RU3">
        <f>BDH("BBG01F2T76F2 Equity","PX_LAST,PX_VOLUME","1/1/2020","6/10/2026")</f>
        <v/>
      </c>
      <c r="RY3">
        <f>BDH("BBG018H63QF2 Equity","PX_LAST,PX_VOLUME","1/1/2020","6/10/2026")</f>
        <v/>
      </c>
      <c r="SC3">
        <f>BDH("BBG01HKKQ728 Equity","PX_LAST,PX_VOLUME","1/1/2020","6/10/2026")</f>
        <v/>
      </c>
      <c r="SG3">
        <f>BDH("BBG01F3WH8V1 Equity","PX_LAST,PX_VOLUME","1/1/2020","6/10/2026")</f>
        <v/>
      </c>
      <c r="SK3">
        <f>BDH("BBG018H63RJ6 Equity","PX_LAST,PX_VOLUME","1/1/2020","6/10/2026")</f>
        <v/>
      </c>
      <c r="SO3">
        <f>BDH("BBG01HKKQ853 Equity","PX_LAST,PX_VOLUME","1/1/2020","6/10/2026")</f>
        <v/>
      </c>
      <c r="SS3">
        <f>BDH("BBG018H63SN9 Equity","PX_LAST,PX_VOLUME","1/1/2020","6/10/2026")</f>
        <v/>
      </c>
      <c r="SW3">
        <f>BDH("BBG01HKKQ997 Equity","PX_LAST,PX_VOLUME","1/1/2020","6/10/2026")</f>
        <v/>
      </c>
      <c r="TA3">
        <f>BDH("BBG018H63TR3 Equity","PX_LAST,PX_VOLUME","1/1/2020","6/10/2026")</f>
        <v/>
      </c>
      <c r="TE3">
        <f>BDH("BBG01F723WP2 Equity","PX_LAST,PX_VOLUME","1/1/2020","6/10/2026")</f>
        <v/>
      </c>
      <c r="TI3">
        <f>BDH("BBG01HKKQBD7 Equity","PX_LAST,PX_VOLUME","1/1/2020","6/10/2026")</f>
        <v/>
      </c>
      <c r="TM3">
        <f>BDH("BBG018H63VV3 Equity","PX_LAST,PX_VOLUME","1/1/2020","6/10/2026")</f>
        <v/>
      </c>
      <c r="TQ3">
        <f>BDH("BBG01GZR9DZ9 Equity","PX_LAST,PX_VOLUME","1/1/2020","6/10/2026")</f>
        <v/>
      </c>
      <c r="TU3">
        <f>BDH("BBG018H63WZ7 Equity","PX_LAST,PX_VOLUME","1/1/2020","6/10/2026")</f>
        <v/>
      </c>
      <c r="TY3">
        <f>BDH("BBG01J3VT2N4 Equity","PX_LAST,PX_VOLUME","1/1/2020","6/10/2026")</f>
        <v/>
      </c>
      <c r="UC3">
        <f>BDH("BBG01J3VT3R8 Equity","PX_LAST,PX_VOLUME","1/1/2020","6/10/2026")</f>
        <v/>
      </c>
      <c r="UG3">
        <f>BDH("BBG01M24NHN1 Equity","PX_LAST,PX_VOLUME","1/1/2020","6/10/2026")</f>
        <v/>
      </c>
      <c r="UK3">
        <f>BDH("BBG01J3VT4V1 Equity","PX_LAST,PX_VOLUME","1/1/2020","6/10/2026")</f>
        <v/>
      </c>
      <c r="UO3">
        <f>BDH("BBG01M24NJT1 Equity","PX_LAST,PX_VOLUME","1/1/2020","6/10/2026")</f>
        <v/>
      </c>
      <c r="US3">
        <f>BDH("BBG01J3VT5Z4 Equity","PX_LAST,PX_VOLUME","1/1/2020","6/10/2026")</f>
        <v/>
      </c>
      <c r="UW3">
        <f>BDH("BBG01M24NKZ1 Equity","PX_LAST,PX_VOLUME","1/1/2020","6/10/2026")</f>
        <v/>
      </c>
      <c r="VA3">
        <f>BDH("BBG01J3VT726 Equity","PX_LAST,PX_VOLUME","1/1/2020","6/10/2026")</f>
        <v/>
      </c>
      <c r="VE3">
        <f>BDH("BBG01M24NM50 Equity","PX_LAST,PX_VOLUME","1/1/2020","6/10/2026")</f>
        <v/>
      </c>
      <c r="VI3">
        <f>BDH("BBG01J3VT851 Equity","PX_LAST,PX_VOLUME","1/1/2020","6/10/2026")</f>
        <v/>
      </c>
      <c r="VM3">
        <f>BDH("BBG01M24NNB1 Equity","PX_LAST,PX_VOLUME","1/1/2020","6/10/2026")</f>
        <v/>
      </c>
      <c r="VQ3">
        <f>BDH("BBG01J3VT995 Equity","PX_LAST,PX_VOLUME","1/1/2020","6/10/2026")</f>
        <v/>
      </c>
      <c r="VU3">
        <f>BDH("BBG01M24NPJ8 Equity","PX_LAST,PX_VOLUME","1/1/2020","6/10/2026")</f>
        <v/>
      </c>
      <c r="VY3">
        <f>BDH("BBG01J3VTBD5 Equity","PX_LAST,PX_VOLUME","1/1/2020","6/10/2026")</f>
        <v/>
      </c>
      <c r="WC3">
        <f>BDH("BBG01M24NQP9 Equity","PX_LAST,PX_VOLUME","1/1/2020","6/10/2026")</f>
        <v/>
      </c>
      <c r="WG3">
        <f>BDH("BBG01J3VTCH9 Equity","PX_LAST,PX_VOLUME","1/1/2020","6/10/2026")</f>
        <v/>
      </c>
      <c r="WK3">
        <f>BDH("BBG01M24NRV0 Equity","PX_LAST,PX_VOLUME","1/1/2020","6/10/2026")</f>
        <v/>
      </c>
      <c r="WO3">
        <f>BDH("BBG01J3VTDM1 Equity","PX_LAST,PX_VOLUME","1/1/2020","6/10/2026")</f>
        <v/>
      </c>
      <c r="WS3">
        <f>BDH("BBG01M3Z7R48 Equity","PX_LAST,PX_VOLUME","1/1/2020","6/10/2026")</f>
        <v/>
      </c>
      <c r="WW3">
        <f>BDH("BBG01J3VTFQ2 Equity","PX_LAST,PX_VOLUME","1/1/2020","6/10/2026")</f>
        <v/>
      </c>
      <c r="XA3">
        <f>BDH("BBG01M3Z7S91 Equity","PX_LAST,PX_VOLUME","1/1/2020","6/10/2026")</f>
        <v/>
      </c>
      <c r="XE3">
        <f>BDH("BBG01J3VTGT7 Equity","PX_LAST,PX_VOLUME","1/1/2020","6/10/2026")</f>
        <v/>
      </c>
      <c r="XI3">
        <f>BDH("BBG01M3Z7TG1 Equity","PX_LAST,PX_VOLUME","1/1/2020","6/10/2026")</f>
        <v/>
      </c>
      <c r="XM3">
        <f>BDH("BBG01J3VTHY9 Equity","PX_LAST,PX_VOLUME","1/1/2020","6/10/2026")</f>
        <v/>
      </c>
      <c r="XQ3">
        <f>BDH("BBG01J3VTK18 Equity","PX_LAST,PX_VOLUME","1/1/2020","6/10/2026")</f>
        <v/>
      </c>
      <c r="XU3">
        <f>BDH("BBG01J3VTL43 Equity","PX_LAST,PX_VOLUME","1/1/2020","6/10/2026")</f>
        <v/>
      </c>
      <c r="XY3">
        <f>BDH("BBG01J3VTM87 Equity","PX_LAST,PX_VOLUME","1/1/2020","6/10/2026")</f>
        <v/>
      </c>
      <c r="YC3">
        <f>BDH("BBG01J3VTNC0 Equity","PX_LAST,PX_VOLUME","1/1/2020","6/10/2026")</f>
        <v/>
      </c>
      <c r="YG3">
        <f>BDH("BBG01J3VTPG1 Equity","PX_LAST,PX_VOLUME","1/1/2020","6/10/2026")</f>
        <v/>
      </c>
      <c r="YK3">
        <f>BDH("BBG01J3VTQL3 Equity","PX_LAST,PX_VOLUME","1/1/2020","6/10/2026")</f>
        <v/>
      </c>
      <c r="YO3">
        <f>BDH("BBG01J3VTRP7 Equity","PX_LAST,PX_VOLUME","1/1/2020","6/10/2026")</f>
        <v/>
      </c>
      <c r="YS3">
        <f>BDH("BBG01J3VTST1 Equity","PX_LAST,PX_VOLUME","1/1/2020","6/10/2026")</f>
        <v/>
      </c>
      <c r="YW3">
        <f>BDH("BBG01J3VTTX4 Equity","PX_LAST,PX_VOLUME","1/1/2020","6/10/2026")</f>
        <v/>
      </c>
      <c r="ZA3">
        <f>BDH("BBG01J3VTW03 Equity","PX_LAST,PX_VOLUME","1/1/2020","6/10/2026")</f>
        <v/>
      </c>
      <c r="ZE3">
        <f>BDH("BBG01J3VTX47 Equity","PX_LAST,PX_VOLUME","1/1/2020","6/10/2026")</f>
        <v/>
      </c>
      <c r="ZI3">
        <f>BDH("BBG01J3VTY72 Equity","PX_LAST,PX_VOLUME","1/1/2020","6/10/2026")</f>
        <v/>
      </c>
      <c r="ZM3">
        <f>BDH("BBG01J3VTZB4 Equity","PX_LAST,PX_VOLUME","1/1/2020","6/10/2026")</f>
        <v/>
      </c>
      <c r="ZQ3">
        <f>BDH("BBG01J3VV0G3 Equity","PX_LAST,PX_VOLUME","1/1/2020","6/10/2026")</f>
        <v/>
      </c>
      <c r="ZU3">
        <f>BDH("BBG01J3VV1K6 Equity","PX_LAST,PX_VOLUME","1/1/2020","6/10/2026")</f>
        <v/>
      </c>
      <c r="ZY3">
        <f>BDH("BBG01J3VV2N1 Equity","PX_LAST,PX_VOLUME","1/1/2020","6/10/2026")</f>
        <v/>
      </c>
      <c r="AAC3">
        <f>BDH("BBG01J3VV3S4 Equity","PX_LAST,PX_VOLUME","1/1/2020","6/10/2026")</f>
        <v/>
      </c>
      <c r="AAG3">
        <f>BDH("BBG01J3VV4W7 Equity","PX_LAST,PX_VOLUME","1/1/2020","6/10/2026")</f>
        <v/>
      </c>
      <c r="AAK3">
        <f>BDH("BBG01J3VV5Z1 Equity","PX_LAST,PX_VOLUME","1/1/2020","6/10/2026")</f>
        <v/>
      </c>
      <c r="AAO3">
        <f>BDH("BBG01J3VV732 Equity","PX_LAST,PX_VOLUME","1/1/2020","6/10/2026")</f>
        <v/>
      </c>
      <c r="AAS3">
        <f>BDH("BBG01J3VV867 Equity","PX_LAST,PX_VOLUME","1/1/2020","6/10/2026")</f>
        <v/>
      </c>
      <c r="AAW3">
        <f>BDH("BBG01J3VV992 Equity","PX_LAST,PX_VOLUME","1/1/2020","6/10/2026")</f>
        <v/>
      </c>
      <c r="ABA3">
        <f>BDH("BBG01J3VVBF0 Equity","PX_LAST,PX_VOLUME","1/1/2020","6/10/2026")</f>
        <v/>
      </c>
      <c r="ABE3">
        <f>BDH("BBG01JJDNJ10 Equity","PX_LAST,PX_VOLUME","1/1/2020","6/10/2026")</f>
        <v/>
      </c>
      <c r="ABI3">
        <f>BDH("BBG01JJDNK44 Equity","PX_LAST,PX_VOLUME","1/1/2020","6/10/2026")</f>
        <v/>
      </c>
      <c r="ABM3">
        <f>BDH("BBG01JJDNL79 Equity","PX_LAST,PX_VOLUME","1/1/2020","6/10/2026")</f>
        <v/>
      </c>
      <c r="ABQ3">
        <f>BDH("BBG01JJDNMC1 Equity","PX_LAST,PX_VOLUME","1/1/2020","6/10/2026")</f>
        <v/>
      </c>
      <c r="ABU3">
        <f>BDH("BBG01JJDNNG5 Equity","PX_LAST,PX_VOLUME","1/1/2020","6/10/2026")</f>
        <v/>
      </c>
      <c r="ABY3">
        <f>BDH("BBG01JJDNPL4 Equity","PX_LAST,PX_VOLUME","1/1/2020","6/10/2026")</f>
        <v/>
      </c>
      <c r="ACC3">
        <f>BDH("BBG01JJDNQP8 Equity","PX_LAST,PX_VOLUME","1/1/2020","6/10/2026")</f>
        <v/>
      </c>
      <c r="ACG3">
        <f>BDH("BBG01JJDNRS3 Equity","PX_LAST,PX_VOLUME","1/1/2020","6/10/2026")</f>
        <v/>
      </c>
      <c r="ACK3">
        <f>BDH("BBG01JJDNSX5 Equity","PX_LAST,PX_VOLUME","1/1/2020","6/10/2026")</f>
        <v/>
      </c>
      <c r="ACO3">
        <f>BDH("BBG01JJDNV04 Equity","PX_LAST,PX_VOLUME","1/1/2020","6/10/2026")</f>
        <v/>
      </c>
      <c r="ACS3">
        <f>BDH("BBG01JJDNW39 Equity","PX_LAST,PX_VOLUME","1/1/2020","6/10/2026")</f>
        <v/>
      </c>
      <c r="ACW3">
        <f>BDH("BBG01JJDNX73 Equity","PX_LAST,PX_VOLUME","1/1/2020","6/10/2026")</f>
        <v/>
      </c>
      <c r="ADA3">
        <f>BDH("BBG01JJDNYB6 Equity","PX_LAST,PX_VOLUME","1/1/2020","6/10/2026")</f>
        <v/>
      </c>
      <c r="ADE3">
        <f>BDH("BBG01JJDNZF9 Equity","PX_LAST,PX_VOLUME","1/1/2020","6/10/2026")</f>
        <v/>
      </c>
      <c r="ADI3">
        <f>BDH("BBG01JJDP0K8 Equity","PX_LAST,PX_VOLUME","1/1/2020","6/10/2026")</f>
        <v/>
      </c>
      <c r="ADM3">
        <f>BDH("BBG01JJDP1N3 Equity","PX_LAST,PX_VOLUME","1/1/2020","6/10/2026")</f>
        <v/>
      </c>
      <c r="ADQ3">
        <f>BDH("BBG01JJDP2R7 Equity","PX_LAST,PX_VOLUME","1/1/2020","6/10/2026")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BBG01JJDP3W9 Equity (TSLA US 05/17/24 P230)</t>
        </is>
      </c>
      <c r="E1" t="inlineStr">
        <is>
          <t>BBG01JJDP4Z4 Equity (TSLA US 05/17/24 P235)</t>
        </is>
      </c>
      <c r="I1" t="inlineStr">
        <is>
          <t>BBG01JJDP625 Equity (TSLA US 05/17/24 P240)</t>
        </is>
      </c>
      <c r="M1" t="inlineStr">
        <is>
          <t>BBG01JJDP769 Equity (TSLA US 05/17/24 P245)</t>
        </is>
      </c>
      <c r="Q1" t="inlineStr">
        <is>
          <t>BBG01JJDP894 Equity (TSLA US 05/17/24 P250)</t>
        </is>
      </c>
      <c r="U1" t="inlineStr">
        <is>
          <t>BBG01JJDP9D7 Equity (TSLA US 05/17/24 P255)</t>
        </is>
      </c>
      <c r="Y1" t="inlineStr">
        <is>
          <t>BBG01JJDPBJ6 Equity (TSLA US 05/17/24 P260)</t>
        </is>
      </c>
      <c r="AC1" t="inlineStr">
        <is>
          <t>BBG01JJDPCM0 Equity (TSLA US 05/17/24 P265)</t>
        </is>
      </c>
      <c r="AG1" t="inlineStr">
        <is>
          <t>BBG01JJDPDQ4 Equity (TSLA US 05/17/24 P270)</t>
        </is>
      </c>
      <c r="AK1" t="inlineStr">
        <is>
          <t>BBG01JJDPFV3 Equity (TSLA US 05/17/24 P275)</t>
        </is>
      </c>
      <c r="AO1" t="inlineStr">
        <is>
          <t>BBG01JJDPGY8 Equity (TSLA US 05/17/24 P280)</t>
        </is>
      </c>
      <c r="AS1" t="inlineStr">
        <is>
          <t>BBG01JJDPJ18 Equity (TSLA US 05/17/24 P285)</t>
        </is>
      </c>
      <c r="AW1" t="inlineStr">
        <is>
          <t>BBG01JJDPK51 Equity (TSLA US 05/17/24 P290)</t>
        </is>
      </c>
      <c r="BA1" t="inlineStr">
        <is>
          <t>BBG01JJDPL86 Equity (TSLA US 05/17/24 P295)</t>
        </is>
      </c>
      <c r="BE1" t="inlineStr">
        <is>
          <t>BBG01JJDPMC9 Equity (TSLA US 05/17/24 P300)</t>
        </is>
      </c>
      <c r="BI1" t="inlineStr">
        <is>
          <t>BBG01JJDPNH2 Equity (TSLA US 05/17/24 P305)</t>
        </is>
      </c>
      <c r="BM1" t="inlineStr">
        <is>
          <t>BBG01JJDPPL2 Equity (TSLA US 05/17/24 P310)</t>
        </is>
      </c>
      <c r="BQ1" t="inlineStr">
        <is>
          <t>BBG01JJDPQP6 Equity (TSLA US 05/17/24 P315)</t>
        </is>
      </c>
      <c r="BU1" t="inlineStr">
        <is>
          <t>BBG01JJDPRT0 Equity (TSLA US 05/17/24 P320)</t>
        </is>
      </c>
      <c r="BY1" t="inlineStr">
        <is>
          <t>BBG017FXN4K8 Equity (TSLA US 06/21/24 P143.33)</t>
        </is>
      </c>
      <c r="CC1" t="inlineStr">
        <is>
          <t>BBG01C5CPJ65 Equity (TSLA US 06/21/24 P145)</t>
        </is>
      </c>
      <c r="CG1" t="inlineStr">
        <is>
          <t>BBG017FXN5P0 Equity (TSLA US 06/21/24 P146.67)</t>
        </is>
      </c>
      <c r="CK1" t="inlineStr">
        <is>
          <t>BBG016D95KS1 Equity (TSLA US 06/21/24 P150)</t>
        </is>
      </c>
      <c r="CO1" t="inlineStr">
        <is>
          <t>BBG017FXN6S5 Equity (TSLA US 06/21/24 P153.33)</t>
        </is>
      </c>
      <c r="CS1" t="inlineStr">
        <is>
          <t>BBG01C5CPK99 Equity (TSLA US 06/21/24 P155)</t>
        </is>
      </c>
      <c r="CW1" t="inlineStr">
        <is>
          <t>BBG017FXN7W8 Equity (TSLA US 06/21/24 P156.67)</t>
        </is>
      </c>
      <c r="DA1" t="inlineStr">
        <is>
          <t>BBG017FXN927 Equity (TSLA US 06/21/24 P160)</t>
        </is>
      </c>
      <c r="DE1" t="inlineStr">
        <is>
          <t>BBG017FXNB59 Equity (TSLA US 06/21/24 P163.33)</t>
        </is>
      </c>
      <c r="DI1" t="inlineStr">
        <is>
          <t>BBG01C5CPLG9 Equity (TSLA US 06/21/24 P165)</t>
        </is>
      </c>
      <c r="DM1" t="inlineStr">
        <is>
          <t>BBG016D95LW4 Equity (TSLA US 06/21/24 P166.67)</t>
        </is>
      </c>
      <c r="DQ1" t="inlineStr">
        <is>
          <t>BBG01C5CPMK2 Equity (TSLA US 06/21/24 P170)</t>
        </is>
      </c>
      <c r="DU1" t="inlineStr">
        <is>
          <t>BBG017FXNC84 Equity (TSLA US 06/21/24 P173.33)</t>
        </is>
      </c>
      <c r="DY1" t="inlineStr">
        <is>
          <t>BBG01C5CPNN7 Equity (TSLA US 06/21/24 P175)</t>
        </is>
      </c>
      <c r="EC1" t="inlineStr">
        <is>
          <t>BBG017FXNDD6 Equity (TSLA US 06/21/24 P180)</t>
        </is>
      </c>
      <c r="EG1" t="inlineStr">
        <is>
          <t>BBG016D95N05 Equity (TSLA US 06/21/24 P183.33)</t>
        </is>
      </c>
      <c r="EK1" t="inlineStr">
        <is>
          <t>BBG01CGX3MZ2 Equity (TSLA US 06/21/24 P185)</t>
        </is>
      </c>
      <c r="EO1" t="inlineStr">
        <is>
          <t>BBG017FXNFH7 Equity (TSLA US 06/21/24 P186.67)</t>
        </is>
      </c>
      <c r="ES1" t="inlineStr">
        <is>
          <t>BBG01CGX3P30 Equity (TSLA US 06/21/24 P190)</t>
        </is>
      </c>
      <c r="EW1" t="inlineStr">
        <is>
          <t>BBG017FXNGL0 Equity (TSLA US 06/21/24 P193.33)</t>
        </is>
      </c>
      <c r="FA1" t="inlineStr">
        <is>
          <t>BBG01DC5S834 Equity (TSLA US 06/21/24 P195)</t>
        </is>
      </c>
      <c r="FE1" t="inlineStr">
        <is>
          <t>BBG016D95P37 Equity (TSLA US 06/21/24 P200)</t>
        </is>
      </c>
      <c r="FI1" t="inlineStr">
        <is>
          <t>BBG01JTQNKM4 Equity (TSLA US 06/21/24 P205)</t>
        </is>
      </c>
      <c r="FM1" t="inlineStr">
        <is>
          <t>BBG017FXNHQ3 Equity (TSLA US 06/21/24 P206.67)</t>
        </is>
      </c>
      <c r="FQ1" t="inlineStr">
        <is>
          <t>BBG01DC5S969 Equity (TSLA US 06/21/24 P210)</t>
        </is>
      </c>
      <c r="FU1" t="inlineStr">
        <is>
          <t>BBG017FXNJT6 Equity (TSLA US 06/21/24 P213.33)</t>
        </is>
      </c>
      <c r="FY1" t="inlineStr">
        <is>
          <t>BBG01JTQNLQ8 Equity (TSLA US 06/21/24 P215)</t>
        </is>
      </c>
      <c r="GC1" t="inlineStr">
        <is>
          <t>BBG016D95Q62 Equity (TSLA US 06/21/24 P216.67)</t>
        </is>
      </c>
      <c r="GG1" t="inlineStr">
        <is>
          <t>BBG017FXNKX8 Equity (TSLA US 06/21/24 P220)</t>
        </is>
      </c>
      <c r="GK1" t="inlineStr">
        <is>
          <t>BBG01JTQNMT3 Equity (TSLA US 06/21/24 P225)</t>
        </is>
      </c>
      <c r="GO1" t="inlineStr">
        <is>
          <t>BBG017FXNM37 Equity (TSLA US 06/21/24 P226.67)</t>
        </is>
      </c>
      <c r="GS1" t="inlineStr">
        <is>
          <t>BBG01DJ4QHC2 Equity (TSLA US 06/21/24 P230)</t>
        </is>
      </c>
      <c r="GW1" t="inlineStr">
        <is>
          <t>BBG016D95RB4 Equity (TSLA US 06/21/24 P233.33)</t>
        </is>
      </c>
      <c r="HA1" t="inlineStr">
        <is>
          <t>BBG01JTQNNY5 Equity (TSLA US 06/21/24 P235)</t>
        </is>
      </c>
      <c r="HE1" t="inlineStr">
        <is>
          <t>BBG017FXNN62 Equity (TSLA US 06/21/24 P240)</t>
        </is>
      </c>
      <c r="HI1" t="inlineStr">
        <is>
          <t>BBG01JTQNQ14 Equity (TSLA US 06/21/24 P245)</t>
        </is>
      </c>
      <c r="HM1" t="inlineStr">
        <is>
          <t>BBG017FXNP94 Equity (TSLA US 06/21/24 P246.67)</t>
        </is>
      </c>
      <c r="HQ1" t="inlineStr">
        <is>
          <t>BBG016D95SF8 Equity (TSLA US 06/21/24 P250)</t>
        </is>
      </c>
      <c r="HU1" t="inlineStr">
        <is>
          <t>BBG017FXNQF5 Equity (TSLA US 06/21/24 P253.33)</t>
        </is>
      </c>
      <c r="HY1" t="inlineStr">
        <is>
          <t>BBG01JTQNR49 Equity (TSLA US 06/21/24 P255)</t>
        </is>
      </c>
      <c r="IC1" t="inlineStr">
        <is>
          <t>BBG017FXNRJ9 Equity (TSLA US 06/21/24 P260)</t>
        </is>
      </c>
      <c r="IG1" t="inlineStr">
        <is>
          <t>BBG01JTQNS92 Equity (TSLA US 06/21/24 P265)</t>
        </is>
      </c>
      <c r="IK1" t="inlineStr">
        <is>
          <t>BBG016D95TJ2 Equity (TSLA US 06/21/24 P266.67)</t>
        </is>
      </c>
      <c r="IO1" t="inlineStr">
        <is>
          <t>BBG016D95VN2 Equity (TSLA US 06/21/24 P270)</t>
        </is>
      </c>
      <c r="IS1" t="inlineStr">
        <is>
          <t>BBG016D95WR6 Equity (TSLA US 06/21/24 P273.33)</t>
        </is>
      </c>
      <c r="IW1" t="inlineStr">
        <is>
          <t>BBG01JTQNTD5 Equity (TSLA US 06/21/24 P275)</t>
        </is>
      </c>
      <c r="JA1" t="inlineStr">
        <is>
          <t>BBG016D95XV9 Equity (TSLA US 06/21/24 P276.67)</t>
        </is>
      </c>
      <c r="JE1" t="inlineStr">
        <is>
          <t>BBG016D95YZ3 Equity (TSLA US 06/21/24 P280)</t>
        </is>
      </c>
      <c r="JI1" t="inlineStr">
        <is>
          <t>BBG016D96022 Equity (TSLA US 06/21/24 P283.33)</t>
        </is>
      </c>
      <c r="JM1" t="inlineStr">
        <is>
          <t>BBG01JTQNVH6 Equity (TSLA US 06/21/24 P285)</t>
        </is>
      </c>
      <c r="JQ1" t="inlineStr">
        <is>
          <t>BBG016D96157 Equity (TSLA US 06/21/24 P286.67)</t>
        </is>
      </c>
      <c r="JU1" t="inlineStr">
        <is>
          <t>BBG016D96291 Equity (TSLA US 06/21/24 P290)</t>
        </is>
      </c>
      <c r="JY1" t="inlineStr">
        <is>
          <t>BBG016D963D4 Equity (TSLA US 06/21/24 P293.33)</t>
        </is>
      </c>
      <c r="KC1" t="inlineStr">
        <is>
          <t>BBG01JTQNWM8 Equity (TSLA US 06/21/24 P295)</t>
        </is>
      </c>
      <c r="KG1" t="inlineStr">
        <is>
          <t>BBG016D964J6 Equity (TSLA US 06/21/24 P296.67)</t>
        </is>
      </c>
      <c r="KK1" t="inlineStr">
        <is>
          <t>BBG016D965M9 Equity (TSLA US 06/21/24 P300)</t>
        </is>
      </c>
      <c r="KO1" t="inlineStr">
        <is>
          <t>BBG016D966Q3 Equity (TSLA US 06/21/24 P303.33)</t>
        </is>
      </c>
      <c r="KS1" t="inlineStr">
        <is>
          <t>BBG01JTQNXQ2 Equity (TSLA US 06/21/24 P305)</t>
        </is>
      </c>
      <c r="KW1" t="inlineStr">
        <is>
          <t>BBG016D967V5 Equity (TSLA US 06/21/24 P306.67)</t>
        </is>
      </c>
      <c r="LA1" t="inlineStr">
        <is>
          <t>BBG016D968Y0 Equity (TSLA US 06/21/24 P310)</t>
        </is>
      </c>
      <c r="LE1" t="inlineStr">
        <is>
          <t>BBG016D96B19 Equity (TSLA US 06/21/24 P313.33)</t>
        </is>
      </c>
      <c r="LI1" t="inlineStr">
        <is>
          <t>BBG01JTQNYT7 Equity (TSLA US 06/21/24 P315)</t>
        </is>
      </c>
      <c r="LM1" t="inlineStr">
        <is>
          <t>BBG016D96C53 Equity (TSLA US 06/21/24 P316.67)</t>
        </is>
      </c>
      <c r="LQ1" t="inlineStr">
        <is>
          <t>BBG016D96D88 Equity (TSLA US 06/21/24 P320)</t>
        </is>
      </c>
      <c r="LU1" t="inlineStr">
        <is>
          <t>BBG01KGW7FT4 Equity (TSLA US 07/19/24 P145)</t>
        </is>
      </c>
      <c r="LY1" t="inlineStr">
        <is>
          <t>BBG01KGW7GX7 Equity (TSLA US 07/19/24 P150)</t>
        </is>
      </c>
      <c r="MC1" t="inlineStr">
        <is>
          <t>BBG01KGW7J16 Equity (TSLA US 07/19/24 P155)</t>
        </is>
      </c>
      <c r="MG1" t="inlineStr">
        <is>
          <t>BBG01NGYZTV0 Equity (TSLA US 07/19/24 P157.5)</t>
        </is>
      </c>
      <c r="MK1" t="inlineStr">
        <is>
          <t>BBG01KGW7K40 Equity (TSLA US 07/19/24 P160)</t>
        </is>
      </c>
      <c r="MO1" t="inlineStr">
        <is>
          <t>BBG01NGYZW07 Equity (TSLA US 07/19/24 P162.5)</t>
        </is>
      </c>
      <c r="MS1" t="inlineStr">
        <is>
          <t>BBG01KGW7L75 Equity (TSLA US 07/19/24 P165)</t>
        </is>
      </c>
      <c r="MW1" t="inlineStr">
        <is>
          <t>BBG01NGYZX69 Equity (TSLA US 07/19/24 P167.5)</t>
        </is>
      </c>
      <c r="NA1" t="inlineStr">
        <is>
          <t>BBG01KGW7MD6 Equity (TSLA US 07/19/24 P170)</t>
        </is>
      </c>
      <c r="NE1" t="inlineStr">
        <is>
          <t>BBG01NGYZYC0 Equity (TSLA US 07/19/24 P172.5)</t>
        </is>
      </c>
      <c r="NI1" t="inlineStr">
        <is>
          <t>BBG01KGW7NH0 Equity (TSLA US 07/19/24 P175)</t>
        </is>
      </c>
      <c r="NM1" t="inlineStr">
        <is>
          <t>BBG01NGYZZK8 Equity (TSLA US 07/19/24 P177.5)</t>
        </is>
      </c>
      <c r="NQ1" t="inlineStr">
        <is>
          <t>BBG01KGW7PL0 Equity (TSLA US 07/19/24 P180)</t>
        </is>
      </c>
      <c r="NU1" t="inlineStr">
        <is>
          <t>BBG01NGZ00Q4 Equity (TSLA US 07/19/24 P182.5)</t>
        </is>
      </c>
      <c r="NY1" t="inlineStr">
        <is>
          <t>BBG01KGW7QQ3 Equity (TSLA US 07/19/24 P185)</t>
        </is>
      </c>
      <c r="OC1" t="inlineStr">
        <is>
          <t>BBG01NGZ01W5 Equity (TSLA US 07/19/24 P187.5)</t>
        </is>
      </c>
      <c r="OG1" t="inlineStr">
        <is>
          <t>BBG01KGW7RT8 Equity (TSLA US 07/19/24 P190)</t>
        </is>
      </c>
      <c r="OK1" t="inlineStr">
        <is>
          <t>BBG01NGZ0324 Equity (TSLA US 07/19/24 P192.5)</t>
        </is>
      </c>
      <c r="OO1" t="inlineStr">
        <is>
          <t>BBG01KGW7SX1 Equity (TSLA US 07/19/24 P195)</t>
        </is>
      </c>
      <c r="OS1" t="inlineStr">
        <is>
          <t>BBG01NGZ0477 Equity (TSLA US 07/19/24 P197.5)</t>
        </is>
      </c>
      <c r="OW1" t="inlineStr">
        <is>
          <t>BBG01KGW7V19 Equity (TSLA US 07/19/24 P200)</t>
        </is>
      </c>
      <c r="PA1" t="inlineStr">
        <is>
          <t>BBG01NGZ05D7 Equity (TSLA US 07/19/24 P202.5)</t>
        </is>
      </c>
      <c r="PE1" t="inlineStr">
        <is>
          <t>BBG01KGW7W44 Equity (TSLA US 07/19/24 P205)</t>
        </is>
      </c>
      <c r="PI1" t="inlineStr">
        <is>
          <t>BBG01KGW7X79 Equity (TSLA US 07/19/24 P210)</t>
        </is>
      </c>
      <c r="PM1" t="inlineStr">
        <is>
          <t>BBG01NK2L9Z0 Equity (TSLA US 07/19/24 P212.5)</t>
        </is>
      </c>
      <c r="PQ1" t="inlineStr">
        <is>
          <t>BBG01KGW7YC1 Equity (TSLA US 07/19/24 P215)</t>
        </is>
      </c>
      <c r="PU1" t="inlineStr">
        <is>
          <t>BBG01NK2LC56 Equity (TSLA US 07/19/24 P217.5)</t>
        </is>
      </c>
      <c r="PY1" t="inlineStr">
        <is>
          <t>BBG01KGW7ZG4 Equity (TSLA US 07/19/24 P220)</t>
        </is>
      </c>
      <c r="QC1" t="inlineStr">
        <is>
          <t>BBG01KGW80K5 Equity (TSLA US 07/19/24 P225)</t>
        </is>
      </c>
      <c r="QG1" t="inlineStr">
        <is>
          <t>BBG01KGW81P8 Equity (TSLA US 07/19/24 P230)</t>
        </is>
      </c>
      <c r="QK1" t="inlineStr">
        <is>
          <t>BBG01KGW82S3 Equity (TSLA US 07/19/24 P235)</t>
        </is>
      </c>
      <c r="QO1" t="inlineStr">
        <is>
          <t>BBG01KGW83W6 Equity (TSLA US 07/19/24 P240)</t>
        </is>
      </c>
      <c r="QS1" t="inlineStr">
        <is>
          <t>BBG01KGW8515 Equity (TSLA US 07/19/24 P245)</t>
        </is>
      </c>
      <c r="QW1" t="inlineStr">
        <is>
          <t>BBG01KGW8640 Equity (TSLA US 07/19/24 P250)</t>
        </is>
      </c>
      <c r="RA1" t="inlineStr">
        <is>
          <t>BBG01KGW8775 Equity (TSLA US 07/19/24 P255)</t>
        </is>
      </c>
      <c r="RE1" t="inlineStr">
        <is>
          <t>BBG01KGW88C7 Equity (TSLA US 07/19/24 P260)</t>
        </is>
      </c>
      <c r="RI1" t="inlineStr">
        <is>
          <t>BBG01KGW89G1 Equity (TSLA US 07/19/24 P265)</t>
        </is>
      </c>
      <c r="RM1" t="inlineStr">
        <is>
          <t>BBG01KGW8BK1 Equity (TSLA US 07/19/24 P270)</t>
        </is>
      </c>
      <c r="RQ1" t="inlineStr">
        <is>
          <t>BBG01KXXNTZ8 Equity (TSLA US 08/16/24 P145)</t>
        </is>
      </c>
      <c r="RU1" t="inlineStr">
        <is>
          <t>BBG01KXXNW45 Equity (TSLA US 08/16/24 P150)</t>
        </is>
      </c>
      <c r="RY1" t="inlineStr">
        <is>
          <t>BBG01KXXNX98 Equity (TSLA US 08/16/24 P155)</t>
        </is>
      </c>
      <c r="SC1" t="inlineStr">
        <is>
          <t>BBG01KXXNYH7 Equity (TSLA US 08/16/24 P160)</t>
        </is>
      </c>
      <c r="SG1" t="inlineStr">
        <is>
          <t>BBG01KXXNZN7 Equity (TSLA US 08/16/24 P165)</t>
        </is>
      </c>
      <c r="SK1" t="inlineStr">
        <is>
          <t>BBG01KXXP0T6 Equity (TSLA US 08/16/24 P170)</t>
        </is>
      </c>
      <c r="SO1" t="inlineStr">
        <is>
          <t>BBG01KXXP203 Equity (TSLA US 08/16/24 P175)</t>
        </is>
      </c>
      <c r="SS1" t="inlineStr">
        <is>
          <t>BBG01KXXP356 Equity (TSLA US 08/16/24 P180)</t>
        </is>
      </c>
      <c r="SW1" t="inlineStr">
        <is>
          <t>BBG01KXXP4B7 Equity (TSLA US 08/16/24 P185)</t>
        </is>
      </c>
      <c r="TA1" t="inlineStr">
        <is>
          <t>BBG01KXXP5J6 Equity (TSLA US 08/16/24 P190)</t>
        </is>
      </c>
      <c r="TE1" t="inlineStr">
        <is>
          <t>BBG01KXXP6P7 Equity (TSLA US 08/16/24 P195)</t>
        </is>
      </c>
      <c r="TI1" t="inlineStr">
        <is>
          <t>BBG01KXXP7W7 Equity (TSLA US 08/16/24 P200)</t>
        </is>
      </c>
      <c r="TM1" t="inlineStr">
        <is>
          <t>BBG01KXXP917 Equity (TSLA US 08/16/24 P205)</t>
        </is>
      </c>
      <c r="TQ1" t="inlineStr">
        <is>
          <t>BBG01KXXPB67 Equity (TSLA US 08/16/24 P210)</t>
        </is>
      </c>
      <c r="TU1" t="inlineStr">
        <is>
          <t>BBG01KXXPCD7 Equity (TSLA US 08/16/24 P215)</t>
        </is>
      </c>
      <c r="TY1" t="inlineStr">
        <is>
          <t>BBG01KXXPDK7 Equity (TSLA US 08/16/24 P220)</t>
        </is>
      </c>
      <c r="UC1" t="inlineStr">
        <is>
          <t>BBG01KXXPFQ6 Equity (TSLA US 08/16/24 P225)</t>
        </is>
      </c>
      <c r="UG1" t="inlineStr">
        <is>
          <t>BBG01KXXPGX6 Equity (TSLA US 08/16/24 P230)</t>
        </is>
      </c>
      <c r="UK1" t="inlineStr">
        <is>
          <t>BBG01KXXPJ24 Equity (TSLA US 08/16/24 P235)</t>
        </is>
      </c>
      <c r="UO1" t="inlineStr">
        <is>
          <t>BBG01KXXPK76 Equity (TSLA US 08/16/24 P240)</t>
        </is>
      </c>
      <c r="US1" t="inlineStr">
        <is>
          <t>BBG01KXXPLF5 Equity (TSLA US 08/16/24 P245)</t>
        </is>
      </c>
      <c r="UW1" t="inlineStr">
        <is>
          <t>BBG01KXXPML6 Equity (TSLA US 08/16/24 P250)</t>
        </is>
      </c>
      <c r="VA1" t="inlineStr">
        <is>
          <t>BBG01KXXPNS7 Equity (TSLA US 08/16/24 P255)</t>
        </is>
      </c>
      <c r="VE1" t="inlineStr">
        <is>
          <t>BBG01KXXPPY5 Equity (TSLA US 08/16/24 P260)</t>
        </is>
      </c>
      <c r="VI1" t="inlineStr">
        <is>
          <t>BBG01KXXPR35 Equity (TSLA US 08/16/24 P265)</t>
        </is>
      </c>
      <c r="VM1" t="inlineStr">
        <is>
          <t>BBG01KXXPS97 Equity (TSLA US 08/16/24 P270)</t>
        </is>
      </c>
      <c r="VQ1" t="inlineStr">
        <is>
          <t>BBG01BYRX1X2 Equity (TSLA US 09/20/24 P145)</t>
        </is>
      </c>
      <c r="VU1" t="inlineStr">
        <is>
          <t>BBG01BYRX304 Equity (TSLA US 09/20/24 P150)</t>
        </is>
      </c>
      <c r="VY1" t="inlineStr">
        <is>
          <t>BBG01BYRX439 Equity (TSLA US 09/20/24 P155)</t>
        </is>
      </c>
      <c r="WC1" t="inlineStr">
        <is>
          <t>BBG01BYRX572 Equity (TSLA US 09/20/24 P160)</t>
        </is>
      </c>
      <c r="WG1" t="inlineStr">
        <is>
          <t>BBG01BYRX6B5 Equity (TSLA US 09/20/24 P165)</t>
        </is>
      </c>
      <c r="WK1" t="inlineStr">
        <is>
          <t>BBG01BYRX7F9 Equity (TSLA US 09/20/24 P170)</t>
        </is>
      </c>
      <c r="WO1" t="inlineStr">
        <is>
          <t>BBG01BYRX8L0 Equity (TSLA US 09/20/24 P175)</t>
        </is>
      </c>
      <c r="WS1" t="inlineStr">
        <is>
          <t>BBG01BYRX9P4 Equity (TSLA US 09/20/24 P180)</t>
        </is>
      </c>
      <c r="WW1" t="inlineStr">
        <is>
          <t>BBG01BYRXBS6 Equity (TSLA US 09/20/24 P185)</t>
        </is>
      </c>
      <c r="XA1" t="inlineStr">
        <is>
          <t>BBG01BYRXCX8 Equity (TSLA US 09/20/24 P190)</t>
        </is>
      </c>
      <c r="XE1" t="inlineStr">
        <is>
          <t>BBG01BYRXF07 Equity (TSLA US 09/20/24 P195)</t>
        </is>
      </c>
      <c r="XI1" t="inlineStr">
        <is>
          <t>BBG01BYRXG32 Equity (TSLA US 09/20/24 P200)</t>
        </is>
      </c>
      <c r="XM1" t="inlineStr">
        <is>
          <t>BBG01H73VJT0 Equity (TSLA US 09/20/24 P205)</t>
        </is>
      </c>
      <c r="XQ1" t="inlineStr">
        <is>
          <t>BBG01BYRXH76 Equity (TSLA US 09/20/24 P210)</t>
        </is>
      </c>
      <c r="XU1" t="inlineStr">
        <is>
          <t>BBG01H73VKY1 Equity (TSLA US 09/20/24 P215)</t>
        </is>
      </c>
      <c r="XY1" t="inlineStr">
        <is>
          <t>BBG01BYRXJB7 Equity (TSLA US 09/20/24 P220)</t>
        </is>
      </c>
      <c r="YC1" t="inlineStr">
        <is>
          <t>BBG01H73VM13 Equity (TSLA US 09/20/24 P225)</t>
        </is>
      </c>
      <c r="YG1" t="inlineStr">
        <is>
          <t>BBG01BYRXKG9 Equity (TSLA US 09/20/24 P230)</t>
        </is>
      </c>
      <c r="YK1" t="inlineStr">
        <is>
          <t>BBG01H73VN48 Equity (TSLA US 09/20/24 P235)</t>
        </is>
      </c>
      <c r="YO1" t="inlineStr">
        <is>
          <t>BBG01BYRXLK2 Equity (TSLA US 09/20/24 P240)</t>
        </is>
      </c>
      <c r="YS1" t="inlineStr">
        <is>
          <t>BBG01H73VP98 Equity (TSLA US 09/20/24 P245)</t>
        </is>
      </c>
      <c r="YW1" t="inlineStr">
        <is>
          <t>BBG01BYRXMN7 Equity (TSLA US 09/20/24 P250)</t>
        </is>
      </c>
      <c r="ZA1" t="inlineStr">
        <is>
          <t>BBG01H73VQD1 Equity (TSLA US 09/20/24 P255)</t>
        </is>
      </c>
      <c r="ZE1" t="inlineStr">
        <is>
          <t>BBG01BYRXNT9 Equity (TSLA US 09/20/24 P260)</t>
        </is>
      </c>
      <c r="ZI1" t="inlineStr">
        <is>
          <t>BBG01H73VRH5 Equity (TSLA US 09/20/24 P265)</t>
        </is>
      </c>
      <c r="ZM1" t="inlineStr">
        <is>
          <t>BBG01BYRXPX9 Equity (TSLA US 09/20/24 P270)</t>
        </is>
      </c>
      <c r="ZQ1" t="inlineStr">
        <is>
          <t>BBG01LCVFCZ9 Equity (TSLA US 10/18/24 P170)</t>
        </is>
      </c>
      <c r="ZU1" t="inlineStr">
        <is>
          <t>BBG01LCVFF46 Equity (TSLA US 10/18/24 P175)</t>
        </is>
      </c>
      <c r="ZY1" t="inlineStr">
        <is>
          <t>BBG01LCVFG99 Equity (TSLA US 10/18/24 P180)</t>
        </is>
      </c>
      <c r="AAC1" t="inlineStr">
        <is>
          <t>BBG01LCVFHH8 Equity (TSLA US 10/18/24 P185)</t>
        </is>
      </c>
      <c r="AAG1" t="inlineStr">
        <is>
          <t>BBG01LCVFJN7 Equity (TSLA US 10/18/24 P190)</t>
        </is>
      </c>
      <c r="AAK1" t="inlineStr">
        <is>
          <t>BBG01LCVFKT8 Equity (TSLA US 10/18/24 P195)</t>
        </is>
      </c>
      <c r="AAO1" t="inlineStr">
        <is>
          <t>BBG01LCVFM05 Equity (TSLA US 10/18/24 P200)</t>
        </is>
      </c>
      <c r="AAS1" t="inlineStr">
        <is>
          <t>BBG01LCVFN58 Equity (TSLA US 10/18/24 P205)</t>
        </is>
      </c>
      <c r="AAW1" t="inlineStr">
        <is>
          <t>BBG01LCVFPC5 Equity (TSLA US 10/18/24 P210)</t>
        </is>
      </c>
      <c r="ABA1" t="inlineStr">
        <is>
          <t>BBG01LCVFQJ6 Equity (TSLA US 10/18/24 P215)</t>
        </is>
      </c>
      <c r="ABE1" t="inlineStr">
        <is>
          <t>BBG01PZD2986 Equity (TSLA US 10/18/24 P217.5)</t>
        </is>
      </c>
      <c r="ABI1" t="inlineStr">
        <is>
          <t>BBG01LCVFRP7 Equity (TSLA US 10/18/24 P220)</t>
        </is>
      </c>
      <c r="ABM1" t="inlineStr">
        <is>
          <t>BBG01PZD0CG2 Equity (TSLA US 10/18/24 P222.5)</t>
        </is>
      </c>
      <c r="ABQ1" t="inlineStr">
        <is>
          <t>BBG01LCVFSW7 Equity (TSLA US 10/18/24 P225)</t>
        </is>
      </c>
      <c r="ABU1" t="inlineStr">
        <is>
          <t>BBG01PZD28N1 Equity (TSLA US 10/18/24 P227.5)</t>
        </is>
      </c>
      <c r="ABY1" t="inlineStr">
        <is>
          <t>BBG01LCVFV14 Equity (TSLA US 10/18/24 P230)</t>
        </is>
      </c>
      <c r="ACC1" t="inlineStr">
        <is>
          <t>BBG01PZD0D25 Equity (TSLA US 10/18/24 P232.5)</t>
        </is>
      </c>
      <c r="ACG1" t="inlineStr">
        <is>
          <t>BBG01LCVFW67 Equity (TSLA US 10/18/24 P235)</t>
        </is>
      </c>
      <c r="ACK1" t="inlineStr">
        <is>
          <t>BBG01PZD1S94 Equity (TSLA US 10/18/24 P237.5)</t>
        </is>
      </c>
      <c r="ACO1" t="inlineStr">
        <is>
          <t>BBG01LCVFXD7 Equity (TSLA US 10/18/24 P240)</t>
        </is>
      </c>
      <c r="ACS1" t="inlineStr">
        <is>
          <t>BBG01PZD29W9 Equity (TSLA US 10/18/24 P242.5)</t>
        </is>
      </c>
      <c r="ACW1" t="inlineStr">
        <is>
          <t>BBG01LCVFYK7 Equity (TSLA US 10/18/24 P245)</t>
        </is>
      </c>
      <c r="ADA1" t="inlineStr">
        <is>
          <t>BBG01PZD1SX7 Equity (TSLA US 10/18/24 P247.5)</t>
        </is>
      </c>
      <c r="ADE1" t="inlineStr">
        <is>
          <t>BBG01LCVFZQ8 Equity (TSLA US 10/18/24 P250)</t>
        </is>
      </c>
      <c r="ADI1" t="inlineStr">
        <is>
          <t>BBG01PZD2BH1 Equity (TSLA US 10/18/24 P252.5)</t>
        </is>
      </c>
      <c r="ADM1" t="inlineStr">
        <is>
          <t>BBG01LCVG0X6 Equity (TSLA US 10/18/24 P255)</t>
        </is>
      </c>
      <c r="ADQ1" t="inlineStr">
        <is>
          <t>BBG01PZD1RP8 Equity (TSLA US 10/18/24 P257.5)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BDH("BBG01JJDP3W9 Equity","PX_LAST,PX_VOLUME","1/1/2020","6/10/2026")</f>
        <v/>
      </c>
      <c r="E3">
        <f>BDH("BBG01JJDP4Z4 Equity","PX_LAST,PX_VOLUME","1/1/2020","6/10/2026")</f>
        <v/>
      </c>
      <c r="I3">
        <f>BDH("BBG01JJDP625 Equity","PX_LAST,PX_VOLUME","1/1/2020","6/10/2026")</f>
        <v/>
      </c>
      <c r="M3">
        <f>BDH("BBG01JJDP769 Equity","PX_LAST,PX_VOLUME","1/1/2020","6/10/2026")</f>
        <v/>
      </c>
      <c r="Q3">
        <f>BDH("BBG01JJDP894 Equity","PX_LAST,PX_VOLUME","1/1/2020","6/10/2026")</f>
        <v/>
      </c>
      <c r="U3">
        <f>BDH("BBG01JJDP9D7 Equity","PX_LAST,PX_VOLUME","1/1/2020","6/10/2026")</f>
        <v/>
      </c>
      <c r="Y3">
        <f>BDH("BBG01JJDPBJ6 Equity","PX_LAST,PX_VOLUME","1/1/2020","6/10/2026")</f>
        <v/>
      </c>
      <c r="AC3">
        <f>BDH("BBG01JJDPCM0 Equity","PX_LAST,PX_VOLUME","1/1/2020","6/10/2026")</f>
        <v/>
      </c>
      <c r="AG3">
        <f>BDH("BBG01JJDPDQ4 Equity","PX_LAST,PX_VOLUME","1/1/2020","6/10/2026")</f>
        <v/>
      </c>
      <c r="AK3">
        <f>BDH("BBG01JJDPFV3 Equity","PX_LAST,PX_VOLUME","1/1/2020","6/10/2026")</f>
        <v/>
      </c>
      <c r="AO3">
        <f>BDH("BBG01JJDPGY8 Equity","PX_LAST,PX_VOLUME","1/1/2020","6/10/2026")</f>
        <v/>
      </c>
      <c r="AS3">
        <f>BDH("BBG01JJDPJ18 Equity","PX_LAST,PX_VOLUME","1/1/2020","6/10/2026")</f>
        <v/>
      </c>
      <c r="AW3">
        <f>BDH("BBG01JJDPK51 Equity","PX_LAST,PX_VOLUME","1/1/2020","6/10/2026")</f>
        <v/>
      </c>
      <c r="BA3">
        <f>BDH("BBG01JJDPL86 Equity","PX_LAST,PX_VOLUME","1/1/2020","6/10/2026")</f>
        <v/>
      </c>
      <c r="BE3">
        <f>BDH("BBG01JJDPMC9 Equity","PX_LAST,PX_VOLUME","1/1/2020","6/10/2026")</f>
        <v/>
      </c>
      <c r="BI3">
        <f>BDH("BBG01JJDPNH2 Equity","PX_LAST,PX_VOLUME","1/1/2020","6/10/2026")</f>
        <v/>
      </c>
      <c r="BM3">
        <f>BDH("BBG01JJDPPL2 Equity","PX_LAST,PX_VOLUME","1/1/2020","6/10/2026")</f>
        <v/>
      </c>
      <c r="BQ3">
        <f>BDH("BBG01JJDPQP6 Equity","PX_LAST,PX_VOLUME","1/1/2020","6/10/2026")</f>
        <v/>
      </c>
      <c r="BU3">
        <f>BDH("BBG01JJDPRT0 Equity","PX_LAST,PX_VOLUME","1/1/2020","6/10/2026")</f>
        <v/>
      </c>
      <c r="BY3">
        <f>BDH("BBG017FXN4K8 Equity","PX_LAST,PX_VOLUME","1/1/2020","6/10/2026")</f>
        <v/>
      </c>
      <c r="CC3">
        <f>BDH("BBG01C5CPJ65 Equity","PX_LAST,PX_VOLUME","1/1/2020","6/10/2026")</f>
        <v/>
      </c>
      <c r="CG3">
        <f>BDH("BBG017FXN5P0 Equity","PX_LAST,PX_VOLUME","1/1/2020","6/10/2026")</f>
        <v/>
      </c>
      <c r="CK3">
        <f>BDH("BBG016D95KS1 Equity","PX_LAST,PX_VOLUME","1/1/2020","6/10/2026")</f>
        <v/>
      </c>
      <c r="CO3">
        <f>BDH("BBG017FXN6S5 Equity","PX_LAST,PX_VOLUME","1/1/2020","6/10/2026")</f>
        <v/>
      </c>
      <c r="CS3">
        <f>BDH("BBG01C5CPK99 Equity","PX_LAST,PX_VOLUME","1/1/2020","6/10/2026")</f>
        <v/>
      </c>
      <c r="CW3">
        <f>BDH("BBG017FXN7W8 Equity","PX_LAST,PX_VOLUME","1/1/2020","6/10/2026")</f>
        <v/>
      </c>
      <c r="DA3">
        <f>BDH("BBG017FXN927 Equity","PX_LAST,PX_VOLUME","1/1/2020","6/10/2026")</f>
        <v/>
      </c>
      <c r="DE3">
        <f>BDH("BBG017FXNB59 Equity","PX_LAST,PX_VOLUME","1/1/2020","6/10/2026")</f>
        <v/>
      </c>
      <c r="DI3">
        <f>BDH("BBG01C5CPLG9 Equity","PX_LAST,PX_VOLUME","1/1/2020","6/10/2026")</f>
        <v/>
      </c>
      <c r="DM3">
        <f>BDH("BBG016D95LW4 Equity","PX_LAST,PX_VOLUME","1/1/2020","6/10/2026")</f>
        <v/>
      </c>
      <c r="DQ3">
        <f>BDH("BBG01C5CPMK2 Equity","PX_LAST,PX_VOLUME","1/1/2020","6/10/2026")</f>
        <v/>
      </c>
      <c r="DU3">
        <f>BDH("BBG017FXNC84 Equity","PX_LAST,PX_VOLUME","1/1/2020","6/10/2026")</f>
        <v/>
      </c>
      <c r="DY3">
        <f>BDH("BBG01C5CPNN7 Equity","PX_LAST,PX_VOLUME","1/1/2020","6/10/2026")</f>
        <v/>
      </c>
      <c r="EC3">
        <f>BDH("BBG017FXNDD6 Equity","PX_LAST,PX_VOLUME","1/1/2020","6/10/2026")</f>
        <v/>
      </c>
      <c r="EG3">
        <f>BDH("BBG016D95N05 Equity","PX_LAST,PX_VOLUME","1/1/2020","6/10/2026")</f>
        <v/>
      </c>
      <c r="EK3">
        <f>BDH("BBG01CGX3MZ2 Equity","PX_LAST,PX_VOLUME","1/1/2020","6/10/2026")</f>
        <v/>
      </c>
      <c r="EO3">
        <f>BDH("BBG017FXNFH7 Equity","PX_LAST,PX_VOLUME","1/1/2020","6/10/2026")</f>
        <v/>
      </c>
      <c r="ES3">
        <f>BDH("BBG01CGX3P30 Equity","PX_LAST,PX_VOLUME","1/1/2020","6/10/2026")</f>
        <v/>
      </c>
      <c r="EW3">
        <f>BDH("BBG017FXNGL0 Equity","PX_LAST,PX_VOLUME","1/1/2020","6/10/2026")</f>
        <v/>
      </c>
      <c r="FA3">
        <f>BDH("BBG01DC5S834 Equity","PX_LAST,PX_VOLUME","1/1/2020","6/10/2026")</f>
        <v/>
      </c>
      <c r="FE3">
        <f>BDH("BBG016D95P37 Equity","PX_LAST,PX_VOLUME","1/1/2020","6/10/2026")</f>
        <v/>
      </c>
      <c r="FI3">
        <f>BDH("BBG01JTQNKM4 Equity","PX_LAST,PX_VOLUME","1/1/2020","6/10/2026")</f>
        <v/>
      </c>
      <c r="FM3">
        <f>BDH("BBG017FXNHQ3 Equity","PX_LAST,PX_VOLUME","1/1/2020","6/10/2026")</f>
        <v/>
      </c>
      <c r="FQ3">
        <f>BDH("BBG01DC5S969 Equity","PX_LAST,PX_VOLUME","1/1/2020","6/10/2026")</f>
        <v/>
      </c>
      <c r="FU3">
        <f>BDH("BBG017FXNJT6 Equity","PX_LAST,PX_VOLUME","1/1/2020","6/10/2026")</f>
        <v/>
      </c>
      <c r="FY3">
        <f>BDH("BBG01JTQNLQ8 Equity","PX_LAST,PX_VOLUME","1/1/2020","6/10/2026")</f>
        <v/>
      </c>
      <c r="GC3">
        <f>BDH("BBG016D95Q62 Equity","PX_LAST,PX_VOLUME","1/1/2020","6/10/2026")</f>
        <v/>
      </c>
      <c r="GG3">
        <f>BDH("BBG017FXNKX8 Equity","PX_LAST,PX_VOLUME","1/1/2020","6/10/2026")</f>
        <v/>
      </c>
      <c r="GK3">
        <f>BDH("BBG01JTQNMT3 Equity","PX_LAST,PX_VOLUME","1/1/2020","6/10/2026")</f>
        <v/>
      </c>
      <c r="GO3">
        <f>BDH("BBG017FXNM37 Equity","PX_LAST,PX_VOLUME","1/1/2020","6/10/2026")</f>
        <v/>
      </c>
      <c r="GS3">
        <f>BDH("BBG01DJ4QHC2 Equity","PX_LAST,PX_VOLUME","1/1/2020","6/10/2026")</f>
        <v/>
      </c>
      <c r="GW3">
        <f>BDH("BBG016D95RB4 Equity","PX_LAST,PX_VOLUME","1/1/2020","6/10/2026")</f>
        <v/>
      </c>
      <c r="HA3">
        <f>BDH("BBG01JTQNNY5 Equity","PX_LAST,PX_VOLUME","1/1/2020","6/10/2026")</f>
        <v/>
      </c>
      <c r="HE3">
        <f>BDH("BBG017FXNN62 Equity","PX_LAST,PX_VOLUME","1/1/2020","6/10/2026")</f>
        <v/>
      </c>
      <c r="HI3">
        <f>BDH("BBG01JTQNQ14 Equity","PX_LAST,PX_VOLUME","1/1/2020","6/10/2026")</f>
        <v/>
      </c>
      <c r="HM3">
        <f>BDH("BBG017FXNP94 Equity","PX_LAST,PX_VOLUME","1/1/2020","6/10/2026")</f>
        <v/>
      </c>
      <c r="HQ3">
        <f>BDH("BBG016D95SF8 Equity","PX_LAST,PX_VOLUME","1/1/2020","6/10/2026")</f>
        <v/>
      </c>
      <c r="HU3">
        <f>BDH("BBG017FXNQF5 Equity","PX_LAST,PX_VOLUME","1/1/2020","6/10/2026")</f>
        <v/>
      </c>
      <c r="HY3">
        <f>BDH("BBG01JTQNR49 Equity","PX_LAST,PX_VOLUME","1/1/2020","6/10/2026")</f>
        <v/>
      </c>
      <c r="IC3">
        <f>BDH("BBG017FXNRJ9 Equity","PX_LAST,PX_VOLUME","1/1/2020","6/10/2026")</f>
        <v/>
      </c>
      <c r="IG3">
        <f>BDH("BBG01JTQNS92 Equity","PX_LAST,PX_VOLUME","1/1/2020","6/10/2026")</f>
        <v/>
      </c>
      <c r="IK3">
        <f>BDH("BBG016D95TJ2 Equity","PX_LAST,PX_VOLUME","1/1/2020","6/10/2026")</f>
        <v/>
      </c>
      <c r="IO3">
        <f>BDH("BBG016D95VN2 Equity","PX_LAST,PX_VOLUME","1/1/2020","6/10/2026")</f>
        <v/>
      </c>
      <c r="IS3">
        <f>BDH("BBG016D95WR6 Equity","PX_LAST,PX_VOLUME","1/1/2020","6/10/2026")</f>
        <v/>
      </c>
      <c r="IW3">
        <f>BDH("BBG01JTQNTD5 Equity","PX_LAST,PX_VOLUME","1/1/2020","6/10/2026")</f>
        <v/>
      </c>
      <c r="JA3">
        <f>BDH("BBG016D95XV9 Equity","PX_LAST,PX_VOLUME","1/1/2020","6/10/2026")</f>
        <v/>
      </c>
      <c r="JE3">
        <f>BDH("BBG016D95YZ3 Equity","PX_LAST,PX_VOLUME","1/1/2020","6/10/2026")</f>
        <v/>
      </c>
      <c r="JI3">
        <f>BDH("BBG016D96022 Equity","PX_LAST,PX_VOLUME","1/1/2020","6/10/2026")</f>
        <v/>
      </c>
      <c r="JM3">
        <f>BDH("BBG01JTQNVH6 Equity","PX_LAST,PX_VOLUME","1/1/2020","6/10/2026")</f>
        <v/>
      </c>
      <c r="JQ3">
        <f>BDH("BBG016D96157 Equity","PX_LAST,PX_VOLUME","1/1/2020","6/10/2026")</f>
        <v/>
      </c>
      <c r="JU3">
        <f>BDH("BBG016D96291 Equity","PX_LAST,PX_VOLUME","1/1/2020","6/10/2026")</f>
        <v/>
      </c>
      <c r="JY3">
        <f>BDH("BBG016D963D4 Equity","PX_LAST,PX_VOLUME","1/1/2020","6/10/2026")</f>
        <v/>
      </c>
      <c r="KC3">
        <f>BDH("BBG01JTQNWM8 Equity","PX_LAST,PX_VOLUME","1/1/2020","6/10/2026")</f>
        <v/>
      </c>
      <c r="KG3">
        <f>BDH("BBG016D964J6 Equity","PX_LAST,PX_VOLUME","1/1/2020","6/10/2026")</f>
        <v/>
      </c>
      <c r="KK3">
        <f>BDH("BBG016D965M9 Equity","PX_LAST,PX_VOLUME","1/1/2020","6/10/2026")</f>
        <v/>
      </c>
      <c r="KO3">
        <f>BDH("BBG016D966Q3 Equity","PX_LAST,PX_VOLUME","1/1/2020","6/10/2026")</f>
        <v/>
      </c>
      <c r="KS3">
        <f>BDH("BBG01JTQNXQ2 Equity","PX_LAST,PX_VOLUME","1/1/2020","6/10/2026")</f>
        <v/>
      </c>
      <c r="KW3">
        <f>BDH("BBG016D967V5 Equity","PX_LAST,PX_VOLUME","1/1/2020","6/10/2026")</f>
        <v/>
      </c>
      <c r="LA3">
        <f>BDH("BBG016D968Y0 Equity","PX_LAST,PX_VOLUME","1/1/2020","6/10/2026")</f>
        <v/>
      </c>
      <c r="LE3">
        <f>BDH("BBG016D96B19 Equity","PX_LAST,PX_VOLUME","1/1/2020","6/10/2026")</f>
        <v/>
      </c>
      <c r="LI3">
        <f>BDH("BBG01JTQNYT7 Equity","PX_LAST,PX_VOLUME","1/1/2020","6/10/2026")</f>
        <v/>
      </c>
      <c r="LM3">
        <f>BDH("BBG016D96C53 Equity","PX_LAST,PX_VOLUME","1/1/2020","6/10/2026")</f>
        <v/>
      </c>
      <c r="LQ3">
        <f>BDH("BBG016D96D88 Equity","PX_LAST,PX_VOLUME","1/1/2020","6/10/2026")</f>
        <v/>
      </c>
      <c r="LU3">
        <f>BDH("BBG01KGW7FT4 Equity","PX_LAST,PX_VOLUME","1/1/2020","6/10/2026")</f>
        <v/>
      </c>
      <c r="LY3">
        <f>BDH("BBG01KGW7GX7 Equity","PX_LAST,PX_VOLUME","1/1/2020","6/10/2026")</f>
        <v/>
      </c>
      <c r="MC3">
        <f>BDH("BBG01KGW7J16 Equity","PX_LAST,PX_VOLUME","1/1/2020","6/10/2026")</f>
        <v/>
      </c>
      <c r="MG3">
        <f>BDH("BBG01NGYZTV0 Equity","PX_LAST,PX_VOLUME","1/1/2020","6/10/2026")</f>
        <v/>
      </c>
      <c r="MK3">
        <f>BDH("BBG01KGW7K40 Equity","PX_LAST,PX_VOLUME","1/1/2020","6/10/2026")</f>
        <v/>
      </c>
      <c r="MO3">
        <f>BDH("BBG01NGYZW07 Equity","PX_LAST,PX_VOLUME","1/1/2020","6/10/2026")</f>
        <v/>
      </c>
      <c r="MS3">
        <f>BDH("BBG01KGW7L75 Equity","PX_LAST,PX_VOLUME","1/1/2020","6/10/2026")</f>
        <v/>
      </c>
      <c r="MW3">
        <f>BDH("BBG01NGYZX69 Equity","PX_LAST,PX_VOLUME","1/1/2020","6/10/2026")</f>
        <v/>
      </c>
      <c r="NA3">
        <f>BDH("BBG01KGW7MD6 Equity","PX_LAST,PX_VOLUME","1/1/2020","6/10/2026")</f>
        <v/>
      </c>
      <c r="NE3">
        <f>BDH("BBG01NGYZYC0 Equity","PX_LAST,PX_VOLUME","1/1/2020","6/10/2026")</f>
        <v/>
      </c>
      <c r="NI3">
        <f>BDH("BBG01KGW7NH0 Equity","PX_LAST,PX_VOLUME","1/1/2020","6/10/2026")</f>
        <v/>
      </c>
      <c r="NM3">
        <f>BDH("BBG01NGYZZK8 Equity","PX_LAST,PX_VOLUME","1/1/2020","6/10/2026")</f>
        <v/>
      </c>
      <c r="NQ3">
        <f>BDH("BBG01KGW7PL0 Equity","PX_LAST,PX_VOLUME","1/1/2020","6/10/2026")</f>
        <v/>
      </c>
      <c r="NU3">
        <f>BDH("BBG01NGZ00Q4 Equity","PX_LAST,PX_VOLUME","1/1/2020","6/10/2026")</f>
        <v/>
      </c>
      <c r="NY3">
        <f>BDH("BBG01KGW7QQ3 Equity","PX_LAST,PX_VOLUME","1/1/2020","6/10/2026")</f>
        <v/>
      </c>
      <c r="OC3">
        <f>BDH("BBG01NGZ01W5 Equity","PX_LAST,PX_VOLUME","1/1/2020","6/10/2026")</f>
        <v/>
      </c>
      <c r="OG3">
        <f>BDH("BBG01KGW7RT8 Equity","PX_LAST,PX_VOLUME","1/1/2020","6/10/2026")</f>
        <v/>
      </c>
      <c r="OK3">
        <f>BDH("BBG01NGZ0324 Equity","PX_LAST,PX_VOLUME","1/1/2020","6/10/2026")</f>
        <v/>
      </c>
      <c r="OO3">
        <f>BDH("BBG01KGW7SX1 Equity","PX_LAST,PX_VOLUME","1/1/2020","6/10/2026")</f>
        <v/>
      </c>
      <c r="OS3">
        <f>BDH("BBG01NGZ0477 Equity","PX_LAST,PX_VOLUME","1/1/2020","6/10/2026")</f>
        <v/>
      </c>
      <c r="OW3">
        <f>BDH("BBG01KGW7V19 Equity","PX_LAST,PX_VOLUME","1/1/2020","6/10/2026")</f>
        <v/>
      </c>
      <c r="PA3">
        <f>BDH("BBG01NGZ05D7 Equity","PX_LAST,PX_VOLUME","1/1/2020","6/10/2026")</f>
        <v/>
      </c>
      <c r="PE3">
        <f>BDH("BBG01KGW7W44 Equity","PX_LAST,PX_VOLUME","1/1/2020","6/10/2026")</f>
        <v/>
      </c>
      <c r="PI3">
        <f>BDH("BBG01KGW7X79 Equity","PX_LAST,PX_VOLUME","1/1/2020","6/10/2026")</f>
        <v/>
      </c>
      <c r="PM3">
        <f>BDH("BBG01NK2L9Z0 Equity","PX_LAST,PX_VOLUME","1/1/2020","6/10/2026")</f>
        <v/>
      </c>
      <c r="PQ3">
        <f>BDH("BBG01KGW7YC1 Equity","PX_LAST,PX_VOLUME","1/1/2020","6/10/2026")</f>
        <v/>
      </c>
      <c r="PU3">
        <f>BDH("BBG01NK2LC56 Equity","PX_LAST,PX_VOLUME","1/1/2020","6/10/2026")</f>
        <v/>
      </c>
      <c r="PY3">
        <f>BDH("BBG01KGW7ZG4 Equity","PX_LAST,PX_VOLUME","1/1/2020","6/10/2026")</f>
        <v/>
      </c>
      <c r="QC3">
        <f>BDH("BBG01KGW80K5 Equity","PX_LAST,PX_VOLUME","1/1/2020","6/10/2026")</f>
        <v/>
      </c>
      <c r="QG3">
        <f>BDH("BBG01KGW81P8 Equity","PX_LAST,PX_VOLUME","1/1/2020","6/10/2026")</f>
        <v/>
      </c>
      <c r="QK3">
        <f>BDH("BBG01KGW82S3 Equity","PX_LAST,PX_VOLUME","1/1/2020","6/10/2026")</f>
        <v/>
      </c>
      <c r="QO3">
        <f>BDH("BBG01KGW83W6 Equity","PX_LAST,PX_VOLUME","1/1/2020","6/10/2026")</f>
        <v/>
      </c>
      <c r="QS3">
        <f>BDH("BBG01KGW8515 Equity","PX_LAST,PX_VOLUME","1/1/2020","6/10/2026")</f>
        <v/>
      </c>
      <c r="QW3">
        <f>BDH("BBG01KGW8640 Equity","PX_LAST,PX_VOLUME","1/1/2020","6/10/2026")</f>
        <v/>
      </c>
      <c r="RA3">
        <f>BDH("BBG01KGW8775 Equity","PX_LAST,PX_VOLUME","1/1/2020","6/10/2026")</f>
        <v/>
      </c>
      <c r="RE3">
        <f>BDH("BBG01KGW88C7 Equity","PX_LAST,PX_VOLUME","1/1/2020","6/10/2026")</f>
        <v/>
      </c>
      <c r="RI3">
        <f>BDH("BBG01KGW89G1 Equity","PX_LAST,PX_VOLUME","1/1/2020","6/10/2026")</f>
        <v/>
      </c>
      <c r="RM3">
        <f>BDH("BBG01KGW8BK1 Equity","PX_LAST,PX_VOLUME","1/1/2020","6/10/2026")</f>
        <v/>
      </c>
      <c r="RQ3">
        <f>BDH("BBG01KXXNTZ8 Equity","PX_LAST,PX_VOLUME","1/1/2020","6/10/2026")</f>
        <v/>
      </c>
      <c r="RU3">
        <f>BDH("BBG01KXXNW45 Equity","PX_LAST,PX_VOLUME","1/1/2020","6/10/2026")</f>
        <v/>
      </c>
      <c r="RY3">
        <f>BDH("BBG01KXXNX98 Equity","PX_LAST,PX_VOLUME","1/1/2020","6/10/2026")</f>
        <v/>
      </c>
      <c r="SC3">
        <f>BDH("BBG01KXXNYH7 Equity","PX_LAST,PX_VOLUME","1/1/2020","6/10/2026")</f>
        <v/>
      </c>
      <c r="SG3">
        <f>BDH("BBG01KXXNZN7 Equity","PX_LAST,PX_VOLUME","1/1/2020","6/10/2026")</f>
        <v/>
      </c>
      <c r="SK3">
        <f>BDH("BBG01KXXP0T6 Equity","PX_LAST,PX_VOLUME","1/1/2020","6/10/2026")</f>
        <v/>
      </c>
      <c r="SO3">
        <f>BDH("BBG01KXXP203 Equity","PX_LAST,PX_VOLUME","1/1/2020","6/10/2026")</f>
        <v/>
      </c>
      <c r="SS3">
        <f>BDH("BBG01KXXP356 Equity","PX_LAST,PX_VOLUME","1/1/2020","6/10/2026")</f>
        <v/>
      </c>
      <c r="SW3">
        <f>BDH("BBG01KXXP4B7 Equity","PX_LAST,PX_VOLUME","1/1/2020","6/10/2026")</f>
        <v/>
      </c>
      <c r="TA3">
        <f>BDH("BBG01KXXP5J6 Equity","PX_LAST,PX_VOLUME","1/1/2020","6/10/2026")</f>
        <v/>
      </c>
      <c r="TE3">
        <f>BDH("BBG01KXXP6P7 Equity","PX_LAST,PX_VOLUME","1/1/2020","6/10/2026")</f>
        <v/>
      </c>
      <c r="TI3">
        <f>BDH("BBG01KXXP7W7 Equity","PX_LAST,PX_VOLUME","1/1/2020","6/10/2026")</f>
        <v/>
      </c>
      <c r="TM3">
        <f>BDH("BBG01KXXP917 Equity","PX_LAST,PX_VOLUME","1/1/2020","6/10/2026")</f>
        <v/>
      </c>
      <c r="TQ3">
        <f>BDH("BBG01KXXPB67 Equity","PX_LAST,PX_VOLUME","1/1/2020","6/10/2026")</f>
        <v/>
      </c>
      <c r="TU3">
        <f>BDH("BBG01KXXPCD7 Equity","PX_LAST,PX_VOLUME","1/1/2020","6/10/2026")</f>
        <v/>
      </c>
      <c r="TY3">
        <f>BDH("BBG01KXXPDK7 Equity","PX_LAST,PX_VOLUME","1/1/2020","6/10/2026")</f>
        <v/>
      </c>
      <c r="UC3">
        <f>BDH("BBG01KXXPFQ6 Equity","PX_LAST,PX_VOLUME","1/1/2020","6/10/2026")</f>
        <v/>
      </c>
      <c r="UG3">
        <f>BDH("BBG01KXXPGX6 Equity","PX_LAST,PX_VOLUME","1/1/2020","6/10/2026")</f>
        <v/>
      </c>
      <c r="UK3">
        <f>BDH("BBG01KXXPJ24 Equity","PX_LAST,PX_VOLUME","1/1/2020","6/10/2026")</f>
        <v/>
      </c>
      <c r="UO3">
        <f>BDH("BBG01KXXPK76 Equity","PX_LAST,PX_VOLUME","1/1/2020","6/10/2026")</f>
        <v/>
      </c>
      <c r="US3">
        <f>BDH("BBG01KXXPLF5 Equity","PX_LAST,PX_VOLUME","1/1/2020","6/10/2026")</f>
        <v/>
      </c>
      <c r="UW3">
        <f>BDH("BBG01KXXPML6 Equity","PX_LAST,PX_VOLUME","1/1/2020","6/10/2026")</f>
        <v/>
      </c>
      <c r="VA3">
        <f>BDH("BBG01KXXPNS7 Equity","PX_LAST,PX_VOLUME","1/1/2020","6/10/2026")</f>
        <v/>
      </c>
      <c r="VE3">
        <f>BDH("BBG01KXXPPY5 Equity","PX_LAST,PX_VOLUME","1/1/2020","6/10/2026")</f>
        <v/>
      </c>
      <c r="VI3">
        <f>BDH("BBG01KXXPR35 Equity","PX_LAST,PX_VOLUME","1/1/2020","6/10/2026")</f>
        <v/>
      </c>
      <c r="VM3">
        <f>BDH("BBG01KXXPS97 Equity","PX_LAST,PX_VOLUME","1/1/2020","6/10/2026")</f>
        <v/>
      </c>
      <c r="VQ3">
        <f>BDH("BBG01BYRX1X2 Equity","PX_LAST,PX_VOLUME","1/1/2020","6/10/2026")</f>
        <v/>
      </c>
      <c r="VU3">
        <f>BDH("BBG01BYRX304 Equity","PX_LAST,PX_VOLUME","1/1/2020","6/10/2026")</f>
        <v/>
      </c>
      <c r="VY3">
        <f>BDH("BBG01BYRX439 Equity","PX_LAST,PX_VOLUME","1/1/2020","6/10/2026")</f>
        <v/>
      </c>
      <c r="WC3">
        <f>BDH("BBG01BYRX572 Equity","PX_LAST,PX_VOLUME","1/1/2020","6/10/2026")</f>
        <v/>
      </c>
      <c r="WG3">
        <f>BDH("BBG01BYRX6B5 Equity","PX_LAST,PX_VOLUME","1/1/2020","6/10/2026")</f>
        <v/>
      </c>
      <c r="WK3">
        <f>BDH("BBG01BYRX7F9 Equity","PX_LAST,PX_VOLUME","1/1/2020","6/10/2026")</f>
        <v/>
      </c>
      <c r="WO3">
        <f>BDH("BBG01BYRX8L0 Equity","PX_LAST,PX_VOLUME","1/1/2020","6/10/2026")</f>
        <v/>
      </c>
      <c r="WS3">
        <f>BDH("BBG01BYRX9P4 Equity","PX_LAST,PX_VOLUME","1/1/2020","6/10/2026")</f>
        <v/>
      </c>
      <c r="WW3">
        <f>BDH("BBG01BYRXBS6 Equity","PX_LAST,PX_VOLUME","1/1/2020","6/10/2026")</f>
        <v/>
      </c>
      <c r="XA3">
        <f>BDH("BBG01BYRXCX8 Equity","PX_LAST,PX_VOLUME","1/1/2020","6/10/2026")</f>
        <v/>
      </c>
      <c r="XE3">
        <f>BDH("BBG01BYRXF07 Equity","PX_LAST,PX_VOLUME","1/1/2020","6/10/2026")</f>
        <v/>
      </c>
      <c r="XI3">
        <f>BDH("BBG01BYRXG32 Equity","PX_LAST,PX_VOLUME","1/1/2020","6/10/2026")</f>
        <v/>
      </c>
      <c r="XM3">
        <f>BDH("BBG01H73VJT0 Equity","PX_LAST,PX_VOLUME","1/1/2020","6/10/2026")</f>
        <v/>
      </c>
      <c r="XQ3">
        <f>BDH("BBG01BYRXH76 Equity","PX_LAST,PX_VOLUME","1/1/2020","6/10/2026")</f>
        <v/>
      </c>
      <c r="XU3">
        <f>BDH("BBG01H73VKY1 Equity","PX_LAST,PX_VOLUME","1/1/2020","6/10/2026")</f>
        <v/>
      </c>
      <c r="XY3">
        <f>BDH("BBG01BYRXJB7 Equity","PX_LAST,PX_VOLUME","1/1/2020","6/10/2026")</f>
        <v/>
      </c>
      <c r="YC3">
        <f>BDH("BBG01H73VM13 Equity","PX_LAST,PX_VOLUME","1/1/2020","6/10/2026")</f>
        <v/>
      </c>
      <c r="YG3">
        <f>BDH("BBG01BYRXKG9 Equity","PX_LAST,PX_VOLUME","1/1/2020","6/10/2026")</f>
        <v/>
      </c>
      <c r="YK3">
        <f>BDH("BBG01H73VN48 Equity","PX_LAST,PX_VOLUME","1/1/2020","6/10/2026")</f>
        <v/>
      </c>
      <c r="YO3">
        <f>BDH("BBG01BYRXLK2 Equity","PX_LAST,PX_VOLUME","1/1/2020","6/10/2026")</f>
        <v/>
      </c>
      <c r="YS3">
        <f>BDH("BBG01H73VP98 Equity","PX_LAST,PX_VOLUME","1/1/2020","6/10/2026")</f>
        <v/>
      </c>
      <c r="YW3">
        <f>BDH("BBG01BYRXMN7 Equity","PX_LAST,PX_VOLUME","1/1/2020","6/10/2026")</f>
        <v/>
      </c>
      <c r="ZA3">
        <f>BDH("BBG01H73VQD1 Equity","PX_LAST,PX_VOLUME","1/1/2020","6/10/2026")</f>
        <v/>
      </c>
      <c r="ZE3">
        <f>BDH("BBG01BYRXNT9 Equity","PX_LAST,PX_VOLUME","1/1/2020","6/10/2026")</f>
        <v/>
      </c>
      <c r="ZI3">
        <f>BDH("BBG01H73VRH5 Equity","PX_LAST,PX_VOLUME","1/1/2020","6/10/2026")</f>
        <v/>
      </c>
      <c r="ZM3">
        <f>BDH("BBG01BYRXPX9 Equity","PX_LAST,PX_VOLUME","1/1/2020","6/10/2026")</f>
        <v/>
      </c>
      <c r="ZQ3">
        <f>BDH("BBG01LCVFCZ9 Equity","PX_LAST,PX_VOLUME","1/1/2020","6/10/2026")</f>
        <v/>
      </c>
      <c r="ZU3">
        <f>BDH("BBG01LCVFF46 Equity","PX_LAST,PX_VOLUME","1/1/2020","6/10/2026")</f>
        <v/>
      </c>
      <c r="ZY3">
        <f>BDH("BBG01LCVFG99 Equity","PX_LAST,PX_VOLUME","1/1/2020","6/10/2026")</f>
        <v/>
      </c>
      <c r="AAC3">
        <f>BDH("BBG01LCVFHH8 Equity","PX_LAST,PX_VOLUME","1/1/2020","6/10/2026")</f>
        <v/>
      </c>
      <c r="AAG3">
        <f>BDH("BBG01LCVFJN7 Equity","PX_LAST,PX_VOLUME","1/1/2020","6/10/2026")</f>
        <v/>
      </c>
      <c r="AAK3">
        <f>BDH("BBG01LCVFKT8 Equity","PX_LAST,PX_VOLUME","1/1/2020","6/10/2026")</f>
        <v/>
      </c>
      <c r="AAO3">
        <f>BDH("BBG01LCVFM05 Equity","PX_LAST,PX_VOLUME","1/1/2020","6/10/2026")</f>
        <v/>
      </c>
      <c r="AAS3">
        <f>BDH("BBG01LCVFN58 Equity","PX_LAST,PX_VOLUME","1/1/2020","6/10/2026")</f>
        <v/>
      </c>
      <c r="AAW3">
        <f>BDH("BBG01LCVFPC5 Equity","PX_LAST,PX_VOLUME","1/1/2020","6/10/2026")</f>
        <v/>
      </c>
      <c r="ABA3">
        <f>BDH("BBG01LCVFQJ6 Equity","PX_LAST,PX_VOLUME","1/1/2020","6/10/2026")</f>
        <v/>
      </c>
      <c r="ABE3">
        <f>BDH("BBG01PZD2986 Equity","PX_LAST,PX_VOLUME","1/1/2020","6/10/2026")</f>
        <v/>
      </c>
      <c r="ABI3">
        <f>BDH("BBG01LCVFRP7 Equity","PX_LAST,PX_VOLUME","1/1/2020","6/10/2026")</f>
        <v/>
      </c>
      <c r="ABM3">
        <f>BDH("BBG01PZD0CG2 Equity","PX_LAST,PX_VOLUME","1/1/2020","6/10/2026")</f>
        <v/>
      </c>
      <c r="ABQ3">
        <f>BDH("BBG01LCVFSW7 Equity","PX_LAST,PX_VOLUME","1/1/2020","6/10/2026")</f>
        <v/>
      </c>
      <c r="ABU3">
        <f>BDH("BBG01PZD28N1 Equity","PX_LAST,PX_VOLUME","1/1/2020","6/10/2026")</f>
        <v/>
      </c>
      <c r="ABY3">
        <f>BDH("BBG01LCVFV14 Equity","PX_LAST,PX_VOLUME","1/1/2020","6/10/2026")</f>
        <v/>
      </c>
      <c r="ACC3">
        <f>BDH("BBG01PZD0D25 Equity","PX_LAST,PX_VOLUME","1/1/2020","6/10/2026")</f>
        <v/>
      </c>
      <c r="ACG3">
        <f>BDH("BBG01LCVFW67 Equity","PX_LAST,PX_VOLUME","1/1/2020","6/10/2026")</f>
        <v/>
      </c>
      <c r="ACK3">
        <f>BDH("BBG01PZD1S94 Equity","PX_LAST,PX_VOLUME","1/1/2020","6/10/2026")</f>
        <v/>
      </c>
      <c r="ACO3">
        <f>BDH("BBG01LCVFXD7 Equity","PX_LAST,PX_VOLUME","1/1/2020","6/10/2026")</f>
        <v/>
      </c>
      <c r="ACS3">
        <f>BDH("BBG01PZD29W9 Equity","PX_LAST,PX_VOLUME","1/1/2020","6/10/2026")</f>
        <v/>
      </c>
      <c r="ACW3">
        <f>BDH("BBG01LCVFYK7 Equity","PX_LAST,PX_VOLUME","1/1/2020","6/10/2026")</f>
        <v/>
      </c>
      <c r="ADA3">
        <f>BDH("BBG01PZD1SX7 Equity","PX_LAST,PX_VOLUME","1/1/2020","6/10/2026")</f>
        <v/>
      </c>
      <c r="ADE3">
        <f>BDH("BBG01LCVFZQ8 Equity","PX_LAST,PX_VOLUME","1/1/2020","6/10/2026")</f>
        <v/>
      </c>
      <c r="ADI3">
        <f>BDH("BBG01PZD2BH1 Equity","PX_LAST,PX_VOLUME","1/1/2020","6/10/2026")</f>
        <v/>
      </c>
      <c r="ADM3">
        <f>BDH("BBG01LCVG0X6 Equity","PX_LAST,PX_VOLUME","1/1/2020","6/10/2026")</f>
        <v/>
      </c>
      <c r="ADQ3">
        <f>BDH("BBG01PZD1RP8 Equity","PX_LAST,PX_VOLUME","1/1/2020","6/10/2026")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BBG01LCVG226 Equity (TSLA US 10/18/24 P260)</t>
        </is>
      </c>
      <c r="E1" t="inlineStr">
        <is>
          <t>BBG01LCVG388 Equity (TSLA US 10/18/24 P265)</t>
        </is>
      </c>
      <c r="I1" t="inlineStr">
        <is>
          <t>BBG01LCVG4F8 Equity (TSLA US 10/18/24 P270)</t>
        </is>
      </c>
      <c r="M1" t="inlineStr">
        <is>
          <t>BBG01LCVG5L8 Equity (TSLA US 10/18/24 P275)</t>
        </is>
      </c>
      <c r="Q1" t="inlineStr">
        <is>
          <t>BBG01LCVG6T8 Equity (TSLA US 10/18/24 P280)</t>
        </is>
      </c>
      <c r="U1" t="inlineStr">
        <is>
          <t>BBG01LCVG7Z9 Equity (TSLA US 10/18/24 P285)</t>
        </is>
      </c>
      <c r="Y1" t="inlineStr">
        <is>
          <t>BBG01LCVG949 Equity (TSLA US 10/18/24 P290)</t>
        </is>
      </c>
      <c r="AC1" t="inlineStr">
        <is>
          <t>BBG01LCVGBC5 Equity (TSLA US 10/18/24 P295)</t>
        </is>
      </c>
      <c r="AG1" t="inlineStr">
        <is>
          <t>BBG01LCVGCJ6 Equity (TSLA US 10/18/24 P300)</t>
        </is>
      </c>
      <c r="AK1" t="inlineStr">
        <is>
          <t>BBG01LCVGDP7 Equity (TSLA US 10/18/24 P305)</t>
        </is>
      </c>
      <c r="AO1" t="inlineStr">
        <is>
          <t>BBG01LCVGFX3 Equity (TSLA US 10/18/24 P310)</t>
        </is>
      </c>
      <c r="AS1" t="inlineStr">
        <is>
          <t>BBG01LCVGH23 Equity (TSLA US 10/18/24 P315)</t>
        </is>
      </c>
      <c r="AW1" t="inlineStr">
        <is>
          <t>BBG01LCVGJB9 Equity (TSLA US 10/18/24 P320)</t>
        </is>
      </c>
      <c r="BA1" t="inlineStr">
        <is>
          <t>BBG01LCVGKH0 Equity (TSLA US 10/18/24 P325)</t>
        </is>
      </c>
      <c r="BE1" t="inlineStr">
        <is>
          <t>BBG01LCVGLN1 Equity (TSLA US 10/18/24 P330)</t>
        </is>
      </c>
      <c r="BI1" t="inlineStr">
        <is>
          <t>BBG01LCVGMX8 Equity (TSLA US 10/18/24 P335)</t>
        </is>
      </c>
      <c r="BM1" t="inlineStr">
        <is>
          <t>BBG01L3NCZ98 Equity (TSLA US 11/15/24 P170)</t>
        </is>
      </c>
      <c r="BQ1" t="inlineStr">
        <is>
          <t>BBG01L3ND0H5 Equity (TSLA US 11/15/24 P175)</t>
        </is>
      </c>
      <c r="BU1" t="inlineStr">
        <is>
          <t>BBG01L3ND1N6 Equity (TSLA US 11/15/24 P180)</t>
        </is>
      </c>
      <c r="BY1" t="inlineStr">
        <is>
          <t>BBG01L3ND2T8 Equity (TSLA US 11/15/24 P185)</t>
        </is>
      </c>
      <c r="CC1" t="inlineStr">
        <is>
          <t>BBG01L3ND414 Equity (TSLA US 11/15/24 P190)</t>
        </is>
      </c>
      <c r="CG1" t="inlineStr">
        <is>
          <t>BBG01L3ND566 Equity (TSLA US 11/15/24 P195)</t>
        </is>
      </c>
      <c r="CK1" t="inlineStr">
        <is>
          <t>BBG01L3ND6C7 Equity (TSLA US 11/15/24 P200)</t>
        </is>
      </c>
      <c r="CO1" t="inlineStr">
        <is>
          <t>BBG01L3ND7K6 Equity (TSLA US 11/15/24 P205)</t>
        </is>
      </c>
      <c r="CS1" t="inlineStr">
        <is>
          <t>BBG01L3ND8Q8 Equity (TSLA US 11/15/24 P210)</t>
        </is>
      </c>
      <c r="CW1" t="inlineStr">
        <is>
          <t>BBG01L3ND9X8 Equity (TSLA US 11/15/24 P215)</t>
        </is>
      </c>
      <c r="DA1" t="inlineStr">
        <is>
          <t>BBG01L3NDC25 Equity (TSLA US 11/15/24 P220)</t>
        </is>
      </c>
      <c r="DE1" t="inlineStr">
        <is>
          <t>BBG01L3NDD78 Equity (TSLA US 11/15/24 P225)</t>
        </is>
      </c>
      <c r="DI1" t="inlineStr">
        <is>
          <t>BBG01L3NDFF4 Equity (TSLA US 11/15/24 P230)</t>
        </is>
      </c>
      <c r="DM1" t="inlineStr">
        <is>
          <t>BBG01L3NDGL5 Equity (TSLA US 11/15/24 P235)</t>
        </is>
      </c>
      <c r="DQ1" t="inlineStr">
        <is>
          <t>BBG01L3NDHR7 Equity (TSLA US 11/15/24 P240)</t>
        </is>
      </c>
      <c r="DU1" t="inlineStr">
        <is>
          <t>BBG01L3NDJY5 Equity (TSLA US 11/15/24 P245)</t>
        </is>
      </c>
      <c r="DY1" t="inlineStr">
        <is>
          <t>BBG01L3NDL34 Equity (TSLA US 11/15/24 P250)</t>
        </is>
      </c>
      <c r="EC1" t="inlineStr">
        <is>
          <t>BBG01L3NDM87 Equity (TSLA US 11/15/24 P255)</t>
        </is>
      </c>
      <c r="EG1" t="inlineStr">
        <is>
          <t>BBG01L3NDNG6 Equity (TSLA US 11/15/24 P260)</t>
        </is>
      </c>
      <c r="EK1" t="inlineStr">
        <is>
          <t>BBG01L3NDPM4 Equity (TSLA US 11/15/24 P265)</t>
        </is>
      </c>
      <c r="EO1" t="inlineStr">
        <is>
          <t>BBG01L3NDQT5 Equity (TSLA US 11/15/24 P270)</t>
        </is>
      </c>
      <c r="ES1" t="inlineStr">
        <is>
          <t>BBG01L3NDRZ6 Equity (TSLA US 11/15/24 P275)</t>
        </is>
      </c>
      <c r="EW1" t="inlineStr">
        <is>
          <t>BBG01L3NDT46 Equity (TSLA US 11/15/24 P280)</t>
        </is>
      </c>
      <c r="FA1" t="inlineStr">
        <is>
          <t>BBG01L3NDVB3 Equity (TSLA US 11/15/24 P285)</t>
        </is>
      </c>
      <c r="FE1" t="inlineStr">
        <is>
          <t>BBG01L3NDWH5 Equity (TSLA US 11/15/24 P290)</t>
        </is>
      </c>
      <c r="FI1" t="inlineStr">
        <is>
          <t>BBG01L3NDXN6 Equity (TSLA US 11/15/24 P295)</t>
        </is>
      </c>
      <c r="FM1" t="inlineStr">
        <is>
          <t>BBG01L3NDYV5 Equity (TSLA US 11/15/24 P300)</t>
        </is>
      </c>
      <c r="FQ1" t="inlineStr">
        <is>
          <t>BBG01L3NF001 Equity (TSLA US 11/15/24 P305)</t>
        </is>
      </c>
      <c r="FU1" t="inlineStr">
        <is>
          <t>BBG01L3NF154 Equity (TSLA US 11/15/24 P310)</t>
        </is>
      </c>
      <c r="FY1" t="inlineStr">
        <is>
          <t>BBG01L3NF2C4 Equity (TSLA US 11/15/24 P315)</t>
        </is>
      </c>
      <c r="GC1" t="inlineStr">
        <is>
          <t>BBG01L3NF3J5 Equity (TSLA US 11/15/24 P320)</t>
        </is>
      </c>
      <c r="GG1" t="inlineStr">
        <is>
          <t>BBG01L3NF4R4 Equity (TSLA US 11/15/24 P325)</t>
        </is>
      </c>
      <c r="GK1" t="inlineStr">
        <is>
          <t>BBG01L3NF5X4 Equity (TSLA US 11/15/24 P330)</t>
        </is>
      </c>
      <c r="GO1" t="inlineStr">
        <is>
          <t>BBG01L3NF724 Equity (TSLA US 11/15/24 P335)</t>
        </is>
      </c>
      <c r="GS1" t="inlineStr">
        <is>
          <t>BBG01KZYMK93 Equity (TSLA US 12/20/24 P170)</t>
        </is>
      </c>
      <c r="GW1" t="inlineStr">
        <is>
          <t>BBG01KZYMLG3 Equity (TSLA US 12/20/24 P175)</t>
        </is>
      </c>
      <c r="HA1" t="inlineStr">
        <is>
          <t>BBG01KZYMMN3 Equity (TSLA US 12/20/24 P180)</t>
        </is>
      </c>
      <c r="HE1" t="inlineStr">
        <is>
          <t>BBG01KZYMNT5 Equity (TSLA US 12/20/24 P185)</t>
        </is>
      </c>
      <c r="HI1" t="inlineStr">
        <is>
          <t>BBG01KZYMPZ3 Equity (TSLA US 12/20/24 P190)</t>
        </is>
      </c>
      <c r="HM1" t="inlineStr">
        <is>
          <t>BBG01KZYMR52 Equity (TSLA US 12/20/24 P195)</t>
        </is>
      </c>
      <c r="HQ1" t="inlineStr">
        <is>
          <t>BBG01KZYMSB3 Equity (TSLA US 12/20/24 P200)</t>
        </is>
      </c>
      <c r="HU1" t="inlineStr">
        <is>
          <t>BBG01M58LTP3 Equity (TSLA US 12/20/24 P205)</t>
        </is>
      </c>
      <c r="HY1" t="inlineStr">
        <is>
          <t>BBG01KZYMTH5 Equity (TSLA US 12/20/24 P210)</t>
        </is>
      </c>
      <c r="IC1" t="inlineStr">
        <is>
          <t>BBG01M58LVW0 Equity (TSLA US 12/20/24 P215)</t>
        </is>
      </c>
      <c r="IG1" t="inlineStr">
        <is>
          <t>BBG01KZYMVP1 Equity (TSLA US 12/20/24 P220)</t>
        </is>
      </c>
      <c r="IK1" t="inlineStr">
        <is>
          <t>BBG01M58LX10 Equity (TSLA US 12/20/24 P225)</t>
        </is>
      </c>
      <c r="IO1" t="inlineStr">
        <is>
          <t>BBG01KZYMWV2 Equity (TSLA US 12/20/24 P230)</t>
        </is>
      </c>
      <c r="IS1" t="inlineStr">
        <is>
          <t>BBG01M58LY72 Equity (TSLA US 12/20/24 P235)</t>
        </is>
      </c>
      <c r="IW1" t="inlineStr">
        <is>
          <t>BBG01KZYMY02 Equity (TSLA US 12/20/24 P240)</t>
        </is>
      </c>
      <c r="JA1" t="inlineStr">
        <is>
          <t>BBG01M58LZD2 Equity (TSLA US 12/20/24 P245)</t>
        </is>
      </c>
      <c r="JE1" t="inlineStr">
        <is>
          <t>BBG01KZYMZ63 Equity (TSLA US 12/20/24 P250)</t>
        </is>
      </c>
      <c r="JI1" t="inlineStr">
        <is>
          <t>BBG01MJ2XPM9 Equity (TSLA US 12/20/24 P255)</t>
        </is>
      </c>
      <c r="JM1" t="inlineStr">
        <is>
          <t>BBG01KZYN0C2 Equity (TSLA US 12/20/24 P260)</t>
        </is>
      </c>
      <c r="JQ1" t="inlineStr">
        <is>
          <t>BBG01Q04LSQ9 Equity (TSLA US 12/20/24 P265)</t>
        </is>
      </c>
      <c r="JU1" t="inlineStr">
        <is>
          <t>BBG01KZYN1K1 Equity (TSLA US 12/20/24 P270)</t>
        </is>
      </c>
      <c r="JY1" t="inlineStr">
        <is>
          <t>BBG01Q04LTY8 Equity (TSLA US 12/20/24 P275)</t>
        </is>
      </c>
      <c r="KC1" t="inlineStr">
        <is>
          <t>BBG01KZYN2Q3 Equity (TSLA US 12/20/24 P280)</t>
        </is>
      </c>
      <c r="KG1" t="inlineStr">
        <is>
          <t>BBG01Q04M4V5 Equity (TSLA US 12/20/24 P285)</t>
        </is>
      </c>
      <c r="KK1" t="inlineStr">
        <is>
          <t>BBG01KZYN3W4 Equity (TSLA US 12/20/24 P290)</t>
        </is>
      </c>
      <c r="KO1" t="inlineStr">
        <is>
          <t>BBG01Q04M3M7 Equity (TSLA US 12/20/24 P295)</t>
        </is>
      </c>
      <c r="KS1" t="inlineStr">
        <is>
          <t>BBG01KZYN522 Equity (TSLA US 12/20/24 P300)</t>
        </is>
      </c>
      <c r="KW1" t="inlineStr">
        <is>
          <t>BBG01Q04M472 Equity (TSLA US 12/20/24 P305)</t>
        </is>
      </c>
      <c r="LA1" t="inlineStr">
        <is>
          <t>BBG01KZYN675 Equity (TSLA US 12/20/24 P310)</t>
        </is>
      </c>
      <c r="LE1" t="inlineStr">
        <is>
          <t>BBG01Q04M301 Equity (TSLA US 12/20/24 P315)</t>
        </is>
      </c>
      <c r="LI1" t="inlineStr">
        <is>
          <t>BBG01KZYN7D6 Equity (TSLA US 12/20/24 P320)</t>
        </is>
      </c>
      <c r="LM1" t="inlineStr">
        <is>
          <t>BBG01Q04M2D9 Equity (TSLA US 12/20/24 P325)</t>
        </is>
      </c>
      <c r="LQ1" t="inlineStr">
        <is>
          <t>BBG01KZYN8L5 Equity (TSLA US 12/20/24 P330)</t>
        </is>
      </c>
      <c r="LU1" t="inlineStr">
        <is>
          <t>BBG01Q04LS34 Equity (TSLA US 12/20/24 P335)</t>
        </is>
      </c>
      <c r="LY1" t="inlineStr">
        <is>
          <t>BBG019LH6RK0 Equity (TSLA US 01/17/25 P210)</t>
        </is>
      </c>
      <c r="MC1" t="inlineStr">
        <is>
          <t>BBG01M58M1R1 Equity (TSLA US 01/17/25 P215)</t>
        </is>
      </c>
      <c r="MG1" t="inlineStr">
        <is>
          <t>BBG019LH6SP3 Equity (TSLA US 01/17/25 P220)</t>
        </is>
      </c>
      <c r="MK1" t="inlineStr">
        <is>
          <t>BBG01M58M2X2 Equity (TSLA US 01/17/25 P225)</t>
        </is>
      </c>
      <c r="MO1" t="inlineStr">
        <is>
          <t>BBG019LH6TS8 Equity (TSLA US 01/17/25 P230)</t>
        </is>
      </c>
      <c r="MS1" t="inlineStr">
        <is>
          <t>BBG01M58M422 Equity (TSLA US 01/17/25 P235)</t>
        </is>
      </c>
      <c r="MW1" t="inlineStr">
        <is>
          <t>BBG019LH6VW8 Equity (TSLA US 01/17/25 P240)</t>
        </is>
      </c>
      <c r="NA1" t="inlineStr">
        <is>
          <t>BBG01M58M583 Equity (TSLA US 01/17/25 P245)</t>
        </is>
      </c>
      <c r="NE1" t="inlineStr">
        <is>
          <t>BBG019LH6X09 Equity (TSLA US 01/17/25 P250)</t>
        </is>
      </c>
      <c r="NI1" t="inlineStr">
        <is>
          <t>BBG01NML9J15 Equity (TSLA US 01/17/25 P255)</t>
        </is>
      </c>
      <c r="NM1" t="inlineStr">
        <is>
          <t>BBG019LH6Y34 Equity (TSLA US 01/17/25 P260)</t>
        </is>
      </c>
      <c r="NQ1" t="inlineStr">
        <is>
          <t>BBG01NML9JM2 Equity (TSLA US 01/17/25 P265)</t>
        </is>
      </c>
      <c r="NU1" t="inlineStr">
        <is>
          <t>BBG019LH6Z68 Equity (TSLA US 01/17/25 P270)</t>
        </is>
      </c>
      <c r="NY1" t="inlineStr">
        <is>
          <t>BBG01NML9K67 Equity (TSLA US 01/17/25 P275)</t>
        </is>
      </c>
      <c r="OC1" t="inlineStr">
        <is>
          <t>BBG019LH70B8 Equity (TSLA US 01/17/25 P280)</t>
        </is>
      </c>
      <c r="OG1" t="inlineStr">
        <is>
          <t>BBG01NML9KS3 Equity (TSLA US 01/17/25 P285)</t>
        </is>
      </c>
      <c r="OK1" t="inlineStr">
        <is>
          <t>BBG019LH71F2 Equity (TSLA US 01/17/25 P290)</t>
        </is>
      </c>
      <c r="OO1" t="inlineStr">
        <is>
          <t>BBG01NML8K68 Equity (TSLA US 01/17/25 P295)</t>
        </is>
      </c>
      <c r="OS1" t="inlineStr">
        <is>
          <t>BBG019LH72J6 Equity (TSLA US 01/17/25 P300)</t>
        </is>
      </c>
      <c r="OW1" t="inlineStr">
        <is>
          <t>BBG01RK4YVF6 Equity (TSLA US 01/17/25 P302.5)</t>
        </is>
      </c>
      <c r="PA1" t="inlineStr">
        <is>
          <t>BBG01QJMKDJ1 Equity (TSLA US 01/17/25 P305)</t>
        </is>
      </c>
      <c r="PE1" t="inlineStr">
        <is>
          <t>BBG01RK50059 Equity (TSLA US 01/17/25 P307.5)</t>
        </is>
      </c>
      <c r="PI1" t="inlineStr">
        <is>
          <t>BBG019LH73N9 Equity (TSLA US 01/17/25 P310)</t>
        </is>
      </c>
      <c r="PM1" t="inlineStr">
        <is>
          <t>BBG01RK4YTW2 Equity (TSLA US 01/17/25 P312.5)</t>
        </is>
      </c>
      <c r="PQ1" t="inlineStr">
        <is>
          <t>BBG01QJMKGD0 Equity (TSLA US 01/17/25 P315)</t>
        </is>
      </c>
      <c r="PU1" t="inlineStr">
        <is>
          <t>BBG01RK4ZZ20 Equity (TSLA US 01/17/25 P317.5)</t>
        </is>
      </c>
      <c r="PY1" t="inlineStr">
        <is>
          <t>BBG019LH74R3 Equity (TSLA US 01/17/25 P320)</t>
        </is>
      </c>
      <c r="QC1" t="inlineStr">
        <is>
          <t>BBG01RK4ZRH2 Equity (TSLA US 01/17/25 P322.5)</t>
        </is>
      </c>
      <c r="QG1" t="inlineStr">
        <is>
          <t>BBG01QJMKF42 Equity (TSLA US 01/17/25 P325)</t>
        </is>
      </c>
      <c r="QK1" t="inlineStr">
        <is>
          <t>BBG01RK4ZNK7 Equity (TSLA US 01/17/25 P327.5)</t>
        </is>
      </c>
      <c r="QO1" t="inlineStr">
        <is>
          <t>BBG019LH75V5 Equity (TSLA US 01/17/25 P330)</t>
        </is>
      </c>
      <c r="QS1" t="inlineStr">
        <is>
          <t>BBG01RK4YWJ0 Equity (TSLA US 01/17/25 P332.5)</t>
        </is>
      </c>
      <c r="QW1" t="inlineStr">
        <is>
          <t>BBG01QJMKH02 Equity (TSLA US 01/17/25 P335)</t>
        </is>
      </c>
      <c r="RA1" t="inlineStr">
        <is>
          <t>BBG01RK4ZYJ5 Equity (TSLA US 01/17/25 P337.5)</t>
        </is>
      </c>
      <c r="RE1" t="inlineStr">
        <is>
          <t>BBG019LH76Z9 Equity (TSLA US 01/17/25 P340)</t>
        </is>
      </c>
      <c r="RI1" t="inlineStr">
        <is>
          <t>BBG01RK4Z4X5 Equity (TSLA US 01/17/25 P342.5)</t>
        </is>
      </c>
      <c r="RM1" t="inlineStr">
        <is>
          <t>BBG01QJMKPB2 Equity (TSLA US 01/17/25 P345)</t>
        </is>
      </c>
      <c r="RQ1" t="inlineStr">
        <is>
          <t>BBG01RK4Z606 Equity (TSLA US 01/17/25 P347.5)</t>
        </is>
      </c>
      <c r="RU1" t="inlineStr">
        <is>
          <t>BBG019LH7821 Equity (TSLA US 01/17/25 P350)</t>
        </is>
      </c>
      <c r="RY1" t="inlineStr">
        <is>
          <t>BBG01RK4Z5G1 Equity (TSLA US 01/17/25 P352.5)</t>
        </is>
      </c>
      <c r="SC1" t="inlineStr">
        <is>
          <t>BBG01QJMKFS6 Equity (TSLA US 01/17/25 P355)</t>
        </is>
      </c>
      <c r="SG1" t="inlineStr">
        <is>
          <t>BBG01RK4ZZM8 Equity (TSLA US 01/17/25 P357.5)</t>
        </is>
      </c>
      <c r="SK1" t="inlineStr">
        <is>
          <t>BBG019LH7956 Equity (TSLA US 01/17/25 P360)</t>
        </is>
      </c>
      <c r="SO1" t="inlineStr">
        <is>
          <t>BBG01RK4ZN09 Equity (TSLA US 01/17/25 P362.5)</t>
        </is>
      </c>
      <c r="SS1" t="inlineStr">
        <is>
          <t>BBG01QJMK036 Equity (TSLA US 01/17/25 P365)</t>
        </is>
      </c>
      <c r="SW1" t="inlineStr">
        <is>
          <t>BBG01RK4YVZ4 Equity (TSLA US 01/17/25 P367.5)</t>
        </is>
      </c>
      <c r="TA1" t="inlineStr">
        <is>
          <t>BBG019LH7B97 Equity (TSLA US 01/17/25 P370)</t>
        </is>
      </c>
      <c r="TE1" t="inlineStr">
        <is>
          <t>BBG01RK4YS18 Equity (TSLA US 01/17/25 P372.5)</t>
        </is>
      </c>
      <c r="TI1" t="inlineStr">
        <is>
          <t>BBG01QJMKNQ1 Equity (TSLA US 01/17/25 P375)</t>
        </is>
      </c>
      <c r="TM1" t="inlineStr">
        <is>
          <t>BBG01RK4Z919 Equity (TSLA US 01/17/25 P377.5)</t>
        </is>
      </c>
      <c r="TQ1" t="inlineStr">
        <is>
          <t>BBG019LH7CD0 Equity (TSLA US 01/17/25 P380)</t>
        </is>
      </c>
      <c r="TU1" t="inlineStr">
        <is>
          <t>BBG01RK4Z9L7 Equity (TSLA US 01/17/25 P382.5)</t>
        </is>
      </c>
      <c r="TY1" t="inlineStr">
        <is>
          <t>BBG01QJMKN36 Equity (TSLA US 01/17/25 P385)</t>
        </is>
      </c>
      <c r="UC1" t="inlineStr">
        <is>
          <t>BBG01RK4Z6K4 Equity (TSLA US 01/17/25 P387.5)</t>
        </is>
      </c>
      <c r="UG1" t="inlineStr">
        <is>
          <t>BBG019LH7DH4 Equity (TSLA US 01/17/25 P390)</t>
        </is>
      </c>
      <c r="UK1" t="inlineStr">
        <is>
          <t>BBG01RK4ZW18 Equity (TSLA US 01/17/25 P392.5)</t>
        </is>
      </c>
      <c r="UO1" t="inlineStr">
        <is>
          <t>BBG01QJMJZH6 Equity (TSLA US 01/17/25 P395)</t>
        </is>
      </c>
      <c r="US1" t="inlineStr">
        <is>
          <t>BBG01RK4YSL6 Equity (TSLA US 01/17/25 P397.5)</t>
        </is>
      </c>
      <c r="UW1" t="inlineStr">
        <is>
          <t>BBG019LH7FM3 Equity (TSLA US 01/17/25 P400)</t>
        </is>
      </c>
      <c r="VA1" t="inlineStr">
        <is>
          <t>BBG01RK4ZVH3 Equity (TSLA US 01/17/25 P402.5)</t>
        </is>
      </c>
      <c r="VE1" t="inlineStr">
        <is>
          <t>BBG01QQNCT05 Equity (TSLA US 01/17/25 P405)</t>
        </is>
      </c>
      <c r="VI1" t="inlineStr">
        <is>
          <t>BBG01RK4ZP31 Equity (TSLA US 01/17/25 P407.5)</t>
        </is>
      </c>
      <c r="VM1" t="inlineStr">
        <is>
          <t>BBG019LH7GQ7 Equity (TSLA US 01/17/25 P410)</t>
        </is>
      </c>
      <c r="VQ1" t="inlineStr">
        <is>
          <t>BBG01RK4YX26 Equity (TSLA US 01/17/25 P412.5)</t>
        </is>
      </c>
      <c r="VU1" t="inlineStr">
        <is>
          <t>BBG01QQNDWM3 Equity (TSLA US 01/17/25 P415)</t>
        </is>
      </c>
      <c r="VY1" t="inlineStr">
        <is>
          <t>BBG01RGLK3S6 Equity (TSLA US 01/17/25 P417.5)</t>
        </is>
      </c>
      <c r="WC1" t="inlineStr">
        <is>
          <t>BBG019LH7HT2 Equity (TSLA US 01/17/25 P420)</t>
        </is>
      </c>
      <c r="WG1" t="inlineStr">
        <is>
          <t>BBG01RGLLJ46 Equity (TSLA US 01/17/25 P422.5)</t>
        </is>
      </c>
      <c r="WK1" t="inlineStr">
        <is>
          <t>BBG01QQNCTM1 Equity (TSLA US 01/17/25 P425)</t>
        </is>
      </c>
      <c r="WO1" t="inlineStr">
        <is>
          <t>BBG01RGLK501 Equity (TSLA US 01/17/25 P427.5)</t>
        </is>
      </c>
      <c r="WS1" t="inlineStr">
        <is>
          <t>BBG019LH7JY2 Equity (TSLA US 01/17/25 P430)</t>
        </is>
      </c>
      <c r="WW1" t="inlineStr">
        <is>
          <t>BBG01RGLLJR1 Equity (TSLA US 01/17/25 P432.5)</t>
        </is>
      </c>
      <c r="XA1" t="inlineStr">
        <is>
          <t>BBG01QQNDX78 Equity (TSLA US 01/17/25 P435)</t>
        </is>
      </c>
      <c r="XE1" t="inlineStr">
        <is>
          <t>BBG01RGLLFC5 Equity (TSLA US 01/17/25 P437.5)</t>
        </is>
      </c>
      <c r="XI1" t="inlineStr">
        <is>
          <t>BBG019LH7L13 Equity (TSLA US 01/17/25 P440)</t>
        </is>
      </c>
      <c r="XM1" t="inlineStr">
        <is>
          <t>BBG01RGLLKC4 Equity (TSLA US 01/17/25 P442.5)</t>
        </is>
      </c>
      <c r="XQ1" t="inlineStr">
        <is>
          <t>BBG01QWFPJT2 Equity (TSLA US 01/17/25 P445)</t>
        </is>
      </c>
      <c r="XU1" t="inlineStr">
        <is>
          <t>BBG01RGLKG70 Equity (TSLA US 01/17/25 P447.5)</t>
        </is>
      </c>
      <c r="XY1" t="inlineStr">
        <is>
          <t>BBG019LH7M57 Equity (TSLA US 01/17/25 P450)</t>
        </is>
      </c>
      <c r="YC1" t="inlineStr">
        <is>
          <t>BBG01RGLK351 Equity (TSLA US 01/17/25 P452.5)</t>
        </is>
      </c>
      <c r="YG1" t="inlineStr">
        <is>
          <t>BBG01QWFMPQ4 Equity (TSLA US 01/17/25 P455)</t>
        </is>
      </c>
      <c r="YK1" t="inlineStr">
        <is>
          <t>BBG01RGLKFM5 Equity (TSLA US 01/17/25 P457.5)</t>
        </is>
      </c>
      <c r="YO1" t="inlineStr">
        <is>
          <t>BBG019M194T3 Equity (TSLA US 01/17/25 P460)</t>
        </is>
      </c>
      <c r="YS1" t="inlineStr">
        <is>
          <t>BBG01RGLK4D0 Equity (TSLA US 01/17/25 P462.5)</t>
        </is>
      </c>
      <c r="YW1" t="inlineStr">
        <is>
          <t>BBG01QWFMP39 Equity (TSLA US 01/17/25 P465)</t>
        </is>
      </c>
      <c r="ZA1" t="inlineStr">
        <is>
          <t>BBG019M19645 Equity (TSLA US 01/17/25 P470)</t>
        </is>
      </c>
      <c r="ZE1" t="inlineStr">
        <is>
          <t>BBG01QWFMQB8 Equity (TSLA US 01/17/25 P475)</t>
        </is>
      </c>
      <c r="ZI1" t="inlineStr">
        <is>
          <t>BBG019M19770 Equity (TSLA US 01/17/25 P480)</t>
        </is>
      </c>
      <c r="ZM1" t="inlineStr">
        <is>
          <t>BBG01QWFMQY3 Equity (TSLA US 01/17/25 P485)</t>
        </is>
      </c>
      <c r="ZQ1" t="inlineStr">
        <is>
          <t>BBG019M198B3 Equity (TSLA US 01/17/25 P490)</t>
        </is>
      </c>
      <c r="ZU1" t="inlineStr">
        <is>
          <t>BBG01QY8NLB2 Equity (TSLA US 01/17/25 P495)</t>
        </is>
      </c>
      <c r="ZY1" t="inlineStr">
        <is>
          <t>BBG019LH7N82 Equity (TSLA US 01/17/25 P500)</t>
        </is>
      </c>
      <c r="AAC1" t="inlineStr">
        <is>
          <t>BBG01QY8NLY7 Equity (TSLA US 01/17/25 P505)</t>
        </is>
      </c>
      <c r="AAG1" t="inlineStr">
        <is>
          <t>BBG019M199G6 Equity (TSLA US 01/17/25 P510)</t>
        </is>
      </c>
      <c r="AAK1" t="inlineStr">
        <is>
          <t>BBG01R5RVQ66 Equity (TSLA US 01/17/25 P515)</t>
        </is>
      </c>
      <c r="AAO1" t="inlineStr">
        <is>
          <t>BBG019M19BK6 Equity (TSLA US 01/17/25 P520)</t>
        </is>
      </c>
      <c r="AAS1" t="inlineStr">
        <is>
          <t>BBG01NMLF5C6 Equity (TSLA US 02/21/25 P210)</t>
        </is>
      </c>
      <c r="AAW1" t="inlineStr">
        <is>
          <t>BBG01NMLFSZ1 Equity (TSLA US 02/21/25 P215)</t>
        </is>
      </c>
      <c r="ABA1" t="inlineStr">
        <is>
          <t>BBG01NMLFQ85 Equity (TSLA US 02/21/25 P220)</t>
        </is>
      </c>
      <c r="ABE1" t="inlineStr">
        <is>
          <t>BBG01NMLGK87 Equity (TSLA US 02/21/25 P225)</t>
        </is>
      </c>
      <c r="ABI1" t="inlineStr">
        <is>
          <t>BBG01NMLFXN3 Equity (TSLA US 02/21/25 P230)</t>
        </is>
      </c>
      <c r="ABM1" t="inlineStr">
        <is>
          <t>BBG01NMLGML8 Equity (TSLA US 02/21/25 P235)</t>
        </is>
      </c>
      <c r="ABQ1" t="inlineStr">
        <is>
          <t>BBG01NMLFFL4 Equity (TSLA US 02/21/25 P240)</t>
        </is>
      </c>
      <c r="ABU1" t="inlineStr">
        <is>
          <t>BBG01NMLFZ67 Equity (TSLA US 02/21/25 P245)</t>
        </is>
      </c>
      <c r="ABY1" t="inlineStr">
        <is>
          <t>BBG01NMLFG50 Equity (TSLA US 02/21/25 P250)</t>
        </is>
      </c>
      <c r="ACC1" t="inlineStr">
        <is>
          <t>BBG01NMLG0C6 Equity (TSLA US 02/21/25 P255)</t>
        </is>
      </c>
      <c r="ACG1" t="inlineStr">
        <is>
          <t>BBG01NMLFL77 Equity (TSLA US 02/21/25 P260)</t>
        </is>
      </c>
      <c r="ACK1" t="inlineStr">
        <is>
          <t>BBG01NMLGP13 Equity (TSLA US 02/21/25 P265)</t>
        </is>
      </c>
      <c r="ACO1" t="inlineStr">
        <is>
          <t>BBG01NMLGRJ0 Equity (TSLA US 02/21/25 P270)</t>
        </is>
      </c>
      <c r="ACS1" t="inlineStr">
        <is>
          <t>BBG01NMLFZS3 Equity (TSLA US 02/21/25 P275)</t>
        </is>
      </c>
      <c r="ACW1" t="inlineStr">
        <is>
          <t>BBG01NMLFKN1 Equity (TSLA US 02/21/25 P280)</t>
        </is>
      </c>
      <c r="ADA1" t="inlineStr">
        <is>
          <t>BBG01NMLG1M3 Equity (TSLA US 02/21/25 P285)</t>
        </is>
      </c>
      <c r="ADE1" t="inlineStr">
        <is>
          <t>BBG01NMLG3C0 Equity (TSLA US 02/21/25 P290)</t>
        </is>
      </c>
      <c r="ADI1" t="inlineStr">
        <is>
          <t>BBG01NMLGLF7 Equity (TSLA US 02/21/25 P295)</t>
        </is>
      </c>
      <c r="ADM1" t="inlineStr">
        <is>
          <t>BBG01NMLG269 Equity (TSLA US 02/21/25 P300)</t>
        </is>
      </c>
      <c r="ADQ1" t="inlineStr">
        <is>
          <t>BBG01R5RY024 Equity (TSLA US 02/21/25 P305)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BDH("BBG01LCVG226 Equity","PX_LAST,PX_VOLUME","1/1/2020","6/10/2026")</f>
        <v/>
      </c>
      <c r="E3">
        <f>BDH("BBG01LCVG388 Equity","PX_LAST,PX_VOLUME","1/1/2020","6/10/2026")</f>
        <v/>
      </c>
      <c r="I3">
        <f>BDH("BBG01LCVG4F8 Equity","PX_LAST,PX_VOLUME","1/1/2020","6/10/2026")</f>
        <v/>
      </c>
      <c r="M3">
        <f>BDH("BBG01LCVG5L8 Equity","PX_LAST,PX_VOLUME","1/1/2020","6/10/2026")</f>
        <v/>
      </c>
      <c r="Q3">
        <f>BDH("BBG01LCVG6T8 Equity","PX_LAST,PX_VOLUME","1/1/2020","6/10/2026")</f>
        <v/>
      </c>
      <c r="U3">
        <f>BDH("BBG01LCVG7Z9 Equity","PX_LAST,PX_VOLUME","1/1/2020","6/10/2026")</f>
        <v/>
      </c>
      <c r="Y3">
        <f>BDH("BBG01LCVG949 Equity","PX_LAST,PX_VOLUME","1/1/2020","6/10/2026")</f>
        <v/>
      </c>
      <c r="AC3">
        <f>BDH("BBG01LCVGBC5 Equity","PX_LAST,PX_VOLUME","1/1/2020","6/10/2026")</f>
        <v/>
      </c>
      <c r="AG3">
        <f>BDH("BBG01LCVGCJ6 Equity","PX_LAST,PX_VOLUME","1/1/2020","6/10/2026")</f>
        <v/>
      </c>
      <c r="AK3">
        <f>BDH("BBG01LCVGDP7 Equity","PX_LAST,PX_VOLUME","1/1/2020","6/10/2026")</f>
        <v/>
      </c>
      <c r="AO3">
        <f>BDH("BBG01LCVGFX3 Equity","PX_LAST,PX_VOLUME","1/1/2020","6/10/2026")</f>
        <v/>
      </c>
      <c r="AS3">
        <f>BDH("BBG01LCVGH23 Equity","PX_LAST,PX_VOLUME","1/1/2020","6/10/2026")</f>
        <v/>
      </c>
      <c r="AW3">
        <f>BDH("BBG01LCVGJB9 Equity","PX_LAST,PX_VOLUME","1/1/2020","6/10/2026")</f>
        <v/>
      </c>
      <c r="BA3">
        <f>BDH("BBG01LCVGKH0 Equity","PX_LAST,PX_VOLUME","1/1/2020","6/10/2026")</f>
        <v/>
      </c>
      <c r="BE3">
        <f>BDH("BBG01LCVGLN1 Equity","PX_LAST,PX_VOLUME","1/1/2020","6/10/2026")</f>
        <v/>
      </c>
      <c r="BI3">
        <f>BDH("BBG01LCVGMX8 Equity","PX_LAST,PX_VOLUME","1/1/2020","6/10/2026")</f>
        <v/>
      </c>
      <c r="BM3">
        <f>BDH("BBG01L3NCZ98 Equity","PX_LAST,PX_VOLUME","1/1/2020","6/10/2026")</f>
        <v/>
      </c>
      <c r="BQ3">
        <f>BDH("BBG01L3ND0H5 Equity","PX_LAST,PX_VOLUME","1/1/2020","6/10/2026")</f>
        <v/>
      </c>
      <c r="BU3">
        <f>BDH("BBG01L3ND1N6 Equity","PX_LAST,PX_VOLUME","1/1/2020","6/10/2026")</f>
        <v/>
      </c>
      <c r="BY3">
        <f>BDH("BBG01L3ND2T8 Equity","PX_LAST,PX_VOLUME","1/1/2020","6/10/2026")</f>
        <v/>
      </c>
      <c r="CC3">
        <f>BDH("BBG01L3ND414 Equity","PX_LAST,PX_VOLUME","1/1/2020","6/10/2026")</f>
        <v/>
      </c>
      <c r="CG3">
        <f>BDH("BBG01L3ND566 Equity","PX_LAST,PX_VOLUME","1/1/2020","6/10/2026")</f>
        <v/>
      </c>
      <c r="CK3">
        <f>BDH("BBG01L3ND6C7 Equity","PX_LAST,PX_VOLUME","1/1/2020","6/10/2026")</f>
        <v/>
      </c>
      <c r="CO3">
        <f>BDH("BBG01L3ND7K6 Equity","PX_LAST,PX_VOLUME","1/1/2020","6/10/2026")</f>
        <v/>
      </c>
      <c r="CS3">
        <f>BDH("BBG01L3ND8Q8 Equity","PX_LAST,PX_VOLUME","1/1/2020","6/10/2026")</f>
        <v/>
      </c>
      <c r="CW3">
        <f>BDH("BBG01L3ND9X8 Equity","PX_LAST,PX_VOLUME","1/1/2020","6/10/2026")</f>
        <v/>
      </c>
      <c r="DA3">
        <f>BDH("BBG01L3NDC25 Equity","PX_LAST,PX_VOLUME","1/1/2020","6/10/2026")</f>
        <v/>
      </c>
      <c r="DE3">
        <f>BDH("BBG01L3NDD78 Equity","PX_LAST,PX_VOLUME","1/1/2020","6/10/2026")</f>
        <v/>
      </c>
      <c r="DI3">
        <f>BDH("BBG01L3NDFF4 Equity","PX_LAST,PX_VOLUME","1/1/2020","6/10/2026")</f>
        <v/>
      </c>
      <c r="DM3">
        <f>BDH("BBG01L3NDGL5 Equity","PX_LAST,PX_VOLUME","1/1/2020","6/10/2026")</f>
        <v/>
      </c>
      <c r="DQ3">
        <f>BDH("BBG01L3NDHR7 Equity","PX_LAST,PX_VOLUME","1/1/2020","6/10/2026")</f>
        <v/>
      </c>
      <c r="DU3">
        <f>BDH("BBG01L3NDJY5 Equity","PX_LAST,PX_VOLUME","1/1/2020","6/10/2026")</f>
        <v/>
      </c>
      <c r="DY3">
        <f>BDH("BBG01L3NDL34 Equity","PX_LAST,PX_VOLUME","1/1/2020","6/10/2026")</f>
        <v/>
      </c>
      <c r="EC3">
        <f>BDH("BBG01L3NDM87 Equity","PX_LAST,PX_VOLUME","1/1/2020","6/10/2026")</f>
        <v/>
      </c>
      <c r="EG3">
        <f>BDH("BBG01L3NDNG6 Equity","PX_LAST,PX_VOLUME","1/1/2020","6/10/2026")</f>
        <v/>
      </c>
      <c r="EK3">
        <f>BDH("BBG01L3NDPM4 Equity","PX_LAST,PX_VOLUME","1/1/2020","6/10/2026")</f>
        <v/>
      </c>
      <c r="EO3">
        <f>BDH("BBG01L3NDQT5 Equity","PX_LAST,PX_VOLUME","1/1/2020","6/10/2026")</f>
        <v/>
      </c>
      <c r="ES3">
        <f>BDH("BBG01L3NDRZ6 Equity","PX_LAST,PX_VOLUME","1/1/2020","6/10/2026")</f>
        <v/>
      </c>
      <c r="EW3">
        <f>BDH("BBG01L3NDT46 Equity","PX_LAST,PX_VOLUME","1/1/2020","6/10/2026")</f>
        <v/>
      </c>
      <c r="FA3">
        <f>BDH("BBG01L3NDVB3 Equity","PX_LAST,PX_VOLUME","1/1/2020","6/10/2026")</f>
        <v/>
      </c>
      <c r="FE3">
        <f>BDH("BBG01L3NDWH5 Equity","PX_LAST,PX_VOLUME","1/1/2020","6/10/2026")</f>
        <v/>
      </c>
      <c r="FI3">
        <f>BDH("BBG01L3NDXN6 Equity","PX_LAST,PX_VOLUME","1/1/2020","6/10/2026")</f>
        <v/>
      </c>
      <c r="FM3">
        <f>BDH("BBG01L3NDYV5 Equity","PX_LAST,PX_VOLUME","1/1/2020","6/10/2026")</f>
        <v/>
      </c>
      <c r="FQ3">
        <f>BDH("BBG01L3NF001 Equity","PX_LAST,PX_VOLUME","1/1/2020","6/10/2026")</f>
        <v/>
      </c>
      <c r="FU3">
        <f>BDH("BBG01L3NF154 Equity","PX_LAST,PX_VOLUME","1/1/2020","6/10/2026")</f>
        <v/>
      </c>
      <c r="FY3">
        <f>BDH("BBG01L3NF2C4 Equity","PX_LAST,PX_VOLUME","1/1/2020","6/10/2026")</f>
        <v/>
      </c>
      <c r="GC3">
        <f>BDH("BBG01L3NF3J5 Equity","PX_LAST,PX_VOLUME","1/1/2020","6/10/2026")</f>
        <v/>
      </c>
      <c r="GG3">
        <f>BDH("BBG01L3NF4R4 Equity","PX_LAST,PX_VOLUME","1/1/2020","6/10/2026")</f>
        <v/>
      </c>
      <c r="GK3">
        <f>BDH("BBG01L3NF5X4 Equity","PX_LAST,PX_VOLUME","1/1/2020","6/10/2026")</f>
        <v/>
      </c>
      <c r="GO3">
        <f>BDH("BBG01L3NF724 Equity","PX_LAST,PX_VOLUME","1/1/2020","6/10/2026")</f>
        <v/>
      </c>
      <c r="GS3">
        <f>BDH("BBG01KZYMK93 Equity","PX_LAST,PX_VOLUME","1/1/2020","6/10/2026")</f>
        <v/>
      </c>
      <c r="GW3">
        <f>BDH("BBG01KZYMLG3 Equity","PX_LAST,PX_VOLUME","1/1/2020","6/10/2026")</f>
        <v/>
      </c>
      <c r="HA3">
        <f>BDH("BBG01KZYMMN3 Equity","PX_LAST,PX_VOLUME","1/1/2020","6/10/2026")</f>
        <v/>
      </c>
      <c r="HE3">
        <f>BDH("BBG01KZYMNT5 Equity","PX_LAST,PX_VOLUME","1/1/2020","6/10/2026")</f>
        <v/>
      </c>
      <c r="HI3">
        <f>BDH("BBG01KZYMPZ3 Equity","PX_LAST,PX_VOLUME","1/1/2020","6/10/2026")</f>
        <v/>
      </c>
      <c r="HM3">
        <f>BDH("BBG01KZYMR52 Equity","PX_LAST,PX_VOLUME","1/1/2020","6/10/2026")</f>
        <v/>
      </c>
      <c r="HQ3">
        <f>BDH("BBG01KZYMSB3 Equity","PX_LAST,PX_VOLUME","1/1/2020","6/10/2026")</f>
        <v/>
      </c>
      <c r="HU3">
        <f>BDH("BBG01M58LTP3 Equity","PX_LAST,PX_VOLUME","1/1/2020","6/10/2026")</f>
        <v/>
      </c>
      <c r="HY3">
        <f>BDH("BBG01KZYMTH5 Equity","PX_LAST,PX_VOLUME","1/1/2020","6/10/2026")</f>
        <v/>
      </c>
      <c r="IC3">
        <f>BDH("BBG01M58LVW0 Equity","PX_LAST,PX_VOLUME","1/1/2020","6/10/2026")</f>
        <v/>
      </c>
      <c r="IG3">
        <f>BDH("BBG01KZYMVP1 Equity","PX_LAST,PX_VOLUME","1/1/2020","6/10/2026")</f>
        <v/>
      </c>
      <c r="IK3">
        <f>BDH("BBG01M58LX10 Equity","PX_LAST,PX_VOLUME","1/1/2020","6/10/2026")</f>
        <v/>
      </c>
      <c r="IO3">
        <f>BDH("BBG01KZYMWV2 Equity","PX_LAST,PX_VOLUME","1/1/2020","6/10/2026")</f>
        <v/>
      </c>
      <c r="IS3">
        <f>BDH("BBG01M58LY72 Equity","PX_LAST,PX_VOLUME","1/1/2020","6/10/2026")</f>
        <v/>
      </c>
      <c r="IW3">
        <f>BDH("BBG01KZYMY02 Equity","PX_LAST,PX_VOLUME","1/1/2020","6/10/2026")</f>
        <v/>
      </c>
      <c r="JA3">
        <f>BDH("BBG01M58LZD2 Equity","PX_LAST,PX_VOLUME","1/1/2020","6/10/2026")</f>
        <v/>
      </c>
      <c r="JE3">
        <f>BDH("BBG01KZYMZ63 Equity","PX_LAST,PX_VOLUME","1/1/2020","6/10/2026")</f>
        <v/>
      </c>
      <c r="JI3">
        <f>BDH("BBG01MJ2XPM9 Equity","PX_LAST,PX_VOLUME","1/1/2020","6/10/2026")</f>
        <v/>
      </c>
      <c r="JM3">
        <f>BDH("BBG01KZYN0C2 Equity","PX_LAST,PX_VOLUME","1/1/2020","6/10/2026")</f>
        <v/>
      </c>
      <c r="JQ3">
        <f>BDH("BBG01Q04LSQ9 Equity","PX_LAST,PX_VOLUME","1/1/2020","6/10/2026")</f>
        <v/>
      </c>
      <c r="JU3">
        <f>BDH("BBG01KZYN1K1 Equity","PX_LAST,PX_VOLUME","1/1/2020","6/10/2026")</f>
        <v/>
      </c>
      <c r="JY3">
        <f>BDH("BBG01Q04LTY8 Equity","PX_LAST,PX_VOLUME","1/1/2020","6/10/2026")</f>
        <v/>
      </c>
      <c r="KC3">
        <f>BDH("BBG01KZYN2Q3 Equity","PX_LAST,PX_VOLUME","1/1/2020","6/10/2026")</f>
        <v/>
      </c>
      <c r="KG3">
        <f>BDH("BBG01Q04M4V5 Equity","PX_LAST,PX_VOLUME","1/1/2020","6/10/2026")</f>
        <v/>
      </c>
      <c r="KK3">
        <f>BDH("BBG01KZYN3W4 Equity","PX_LAST,PX_VOLUME","1/1/2020","6/10/2026")</f>
        <v/>
      </c>
      <c r="KO3">
        <f>BDH("BBG01Q04M3M7 Equity","PX_LAST,PX_VOLUME","1/1/2020","6/10/2026")</f>
        <v/>
      </c>
      <c r="KS3">
        <f>BDH("BBG01KZYN522 Equity","PX_LAST,PX_VOLUME","1/1/2020","6/10/2026")</f>
        <v/>
      </c>
      <c r="KW3">
        <f>BDH("BBG01Q04M472 Equity","PX_LAST,PX_VOLUME","1/1/2020","6/10/2026")</f>
        <v/>
      </c>
      <c r="LA3">
        <f>BDH("BBG01KZYN675 Equity","PX_LAST,PX_VOLUME","1/1/2020","6/10/2026")</f>
        <v/>
      </c>
      <c r="LE3">
        <f>BDH("BBG01Q04M301 Equity","PX_LAST,PX_VOLUME","1/1/2020","6/10/2026")</f>
        <v/>
      </c>
      <c r="LI3">
        <f>BDH("BBG01KZYN7D6 Equity","PX_LAST,PX_VOLUME","1/1/2020","6/10/2026")</f>
        <v/>
      </c>
      <c r="LM3">
        <f>BDH("BBG01Q04M2D9 Equity","PX_LAST,PX_VOLUME","1/1/2020","6/10/2026")</f>
        <v/>
      </c>
      <c r="LQ3">
        <f>BDH("BBG01KZYN8L5 Equity","PX_LAST,PX_VOLUME","1/1/2020","6/10/2026")</f>
        <v/>
      </c>
      <c r="LU3">
        <f>BDH("BBG01Q04LS34 Equity","PX_LAST,PX_VOLUME","1/1/2020","6/10/2026")</f>
        <v/>
      </c>
      <c r="LY3">
        <f>BDH("BBG019LH6RK0 Equity","PX_LAST,PX_VOLUME","1/1/2020","6/10/2026")</f>
        <v/>
      </c>
      <c r="MC3">
        <f>BDH("BBG01M58M1R1 Equity","PX_LAST,PX_VOLUME","1/1/2020","6/10/2026")</f>
        <v/>
      </c>
      <c r="MG3">
        <f>BDH("BBG019LH6SP3 Equity","PX_LAST,PX_VOLUME","1/1/2020","6/10/2026")</f>
        <v/>
      </c>
      <c r="MK3">
        <f>BDH("BBG01M58M2X2 Equity","PX_LAST,PX_VOLUME","1/1/2020","6/10/2026")</f>
        <v/>
      </c>
      <c r="MO3">
        <f>BDH("BBG019LH6TS8 Equity","PX_LAST,PX_VOLUME","1/1/2020","6/10/2026")</f>
        <v/>
      </c>
      <c r="MS3">
        <f>BDH("BBG01M58M422 Equity","PX_LAST,PX_VOLUME","1/1/2020","6/10/2026")</f>
        <v/>
      </c>
      <c r="MW3">
        <f>BDH("BBG019LH6VW8 Equity","PX_LAST,PX_VOLUME","1/1/2020","6/10/2026")</f>
        <v/>
      </c>
      <c r="NA3">
        <f>BDH("BBG01M58M583 Equity","PX_LAST,PX_VOLUME","1/1/2020","6/10/2026")</f>
        <v/>
      </c>
      <c r="NE3">
        <f>BDH("BBG019LH6X09 Equity","PX_LAST,PX_VOLUME","1/1/2020","6/10/2026")</f>
        <v/>
      </c>
      <c r="NI3">
        <f>BDH("BBG01NML9J15 Equity","PX_LAST,PX_VOLUME","1/1/2020","6/10/2026")</f>
        <v/>
      </c>
      <c r="NM3">
        <f>BDH("BBG019LH6Y34 Equity","PX_LAST,PX_VOLUME","1/1/2020","6/10/2026")</f>
        <v/>
      </c>
      <c r="NQ3">
        <f>BDH("BBG01NML9JM2 Equity","PX_LAST,PX_VOLUME","1/1/2020","6/10/2026")</f>
        <v/>
      </c>
      <c r="NU3">
        <f>BDH("BBG019LH6Z68 Equity","PX_LAST,PX_VOLUME","1/1/2020","6/10/2026")</f>
        <v/>
      </c>
      <c r="NY3">
        <f>BDH("BBG01NML9K67 Equity","PX_LAST,PX_VOLUME","1/1/2020","6/10/2026")</f>
        <v/>
      </c>
      <c r="OC3">
        <f>BDH("BBG019LH70B8 Equity","PX_LAST,PX_VOLUME","1/1/2020","6/10/2026")</f>
        <v/>
      </c>
      <c r="OG3">
        <f>BDH("BBG01NML9KS3 Equity","PX_LAST,PX_VOLUME","1/1/2020","6/10/2026")</f>
        <v/>
      </c>
      <c r="OK3">
        <f>BDH("BBG019LH71F2 Equity","PX_LAST,PX_VOLUME","1/1/2020","6/10/2026")</f>
        <v/>
      </c>
      <c r="OO3">
        <f>BDH("BBG01NML8K68 Equity","PX_LAST,PX_VOLUME","1/1/2020","6/10/2026")</f>
        <v/>
      </c>
      <c r="OS3">
        <f>BDH("BBG019LH72J6 Equity","PX_LAST,PX_VOLUME","1/1/2020","6/10/2026")</f>
        <v/>
      </c>
      <c r="OW3">
        <f>BDH("BBG01RK4YVF6 Equity","PX_LAST,PX_VOLUME","1/1/2020","6/10/2026")</f>
        <v/>
      </c>
      <c r="PA3">
        <f>BDH("BBG01QJMKDJ1 Equity","PX_LAST,PX_VOLUME","1/1/2020","6/10/2026")</f>
        <v/>
      </c>
      <c r="PE3">
        <f>BDH("BBG01RK50059 Equity","PX_LAST,PX_VOLUME","1/1/2020","6/10/2026")</f>
        <v/>
      </c>
      <c r="PI3">
        <f>BDH("BBG019LH73N9 Equity","PX_LAST,PX_VOLUME","1/1/2020","6/10/2026")</f>
        <v/>
      </c>
      <c r="PM3">
        <f>BDH("BBG01RK4YTW2 Equity","PX_LAST,PX_VOLUME","1/1/2020","6/10/2026")</f>
        <v/>
      </c>
      <c r="PQ3">
        <f>BDH("BBG01QJMKGD0 Equity","PX_LAST,PX_VOLUME","1/1/2020","6/10/2026")</f>
        <v/>
      </c>
      <c r="PU3">
        <f>BDH("BBG01RK4ZZ20 Equity","PX_LAST,PX_VOLUME","1/1/2020","6/10/2026")</f>
        <v/>
      </c>
      <c r="PY3">
        <f>BDH("BBG019LH74R3 Equity","PX_LAST,PX_VOLUME","1/1/2020","6/10/2026")</f>
        <v/>
      </c>
      <c r="QC3">
        <f>BDH("BBG01RK4ZRH2 Equity","PX_LAST,PX_VOLUME","1/1/2020","6/10/2026")</f>
        <v/>
      </c>
      <c r="QG3">
        <f>BDH("BBG01QJMKF42 Equity","PX_LAST,PX_VOLUME","1/1/2020","6/10/2026")</f>
        <v/>
      </c>
      <c r="QK3">
        <f>BDH("BBG01RK4ZNK7 Equity","PX_LAST,PX_VOLUME","1/1/2020","6/10/2026")</f>
        <v/>
      </c>
      <c r="QO3">
        <f>BDH("BBG019LH75V5 Equity","PX_LAST,PX_VOLUME","1/1/2020","6/10/2026")</f>
        <v/>
      </c>
      <c r="QS3">
        <f>BDH("BBG01RK4YWJ0 Equity","PX_LAST,PX_VOLUME","1/1/2020","6/10/2026")</f>
        <v/>
      </c>
      <c r="QW3">
        <f>BDH("BBG01QJMKH02 Equity","PX_LAST,PX_VOLUME","1/1/2020","6/10/2026")</f>
        <v/>
      </c>
      <c r="RA3">
        <f>BDH("BBG01RK4ZYJ5 Equity","PX_LAST,PX_VOLUME","1/1/2020","6/10/2026")</f>
        <v/>
      </c>
      <c r="RE3">
        <f>BDH("BBG019LH76Z9 Equity","PX_LAST,PX_VOLUME","1/1/2020","6/10/2026")</f>
        <v/>
      </c>
      <c r="RI3">
        <f>BDH("BBG01RK4Z4X5 Equity","PX_LAST,PX_VOLUME","1/1/2020","6/10/2026")</f>
        <v/>
      </c>
      <c r="RM3">
        <f>BDH("BBG01QJMKPB2 Equity","PX_LAST,PX_VOLUME","1/1/2020","6/10/2026")</f>
        <v/>
      </c>
      <c r="RQ3">
        <f>BDH("BBG01RK4Z606 Equity","PX_LAST,PX_VOLUME","1/1/2020","6/10/2026")</f>
        <v/>
      </c>
      <c r="RU3">
        <f>BDH("BBG019LH7821 Equity","PX_LAST,PX_VOLUME","1/1/2020","6/10/2026")</f>
        <v/>
      </c>
      <c r="RY3">
        <f>BDH("BBG01RK4Z5G1 Equity","PX_LAST,PX_VOLUME","1/1/2020","6/10/2026")</f>
        <v/>
      </c>
      <c r="SC3">
        <f>BDH("BBG01QJMKFS6 Equity","PX_LAST,PX_VOLUME","1/1/2020","6/10/2026")</f>
        <v/>
      </c>
      <c r="SG3">
        <f>BDH("BBG01RK4ZZM8 Equity","PX_LAST,PX_VOLUME","1/1/2020","6/10/2026")</f>
        <v/>
      </c>
      <c r="SK3">
        <f>BDH("BBG019LH7956 Equity","PX_LAST,PX_VOLUME","1/1/2020","6/10/2026")</f>
        <v/>
      </c>
      <c r="SO3">
        <f>BDH("BBG01RK4ZN09 Equity","PX_LAST,PX_VOLUME","1/1/2020","6/10/2026")</f>
        <v/>
      </c>
      <c r="SS3">
        <f>BDH("BBG01QJMK036 Equity","PX_LAST,PX_VOLUME","1/1/2020","6/10/2026")</f>
        <v/>
      </c>
      <c r="SW3">
        <f>BDH("BBG01RK4YVZ4 Equity","PX_LAST,PX_VOLUME","1/1/2020","6/10/2026")</f>
        <v/>
      </c>
      <c r="TA3">
        <f>BDH("BBG019LH7B97 Equity","PX_LAST,PX_VOLUME","1/1/2020","6/10/2026")</f>
        <v/>
      </c>
      <c r="TE3">
        <f>BDH("BBG01RK4YS18 Equity","PX_LAST,PX_VOLUME","1/1/2020","6/10/2026")</f>
        <v/>
      </c>
      <c r="TI3">
        <f>BDH("BBG01QJMKNQ1 Equity","PX_LAST,PX_VOLUME","1/1/2020","6/10/2026")</f>
        <v/>
      </c>
      <c r="TM3">
        <f>BDH("BBG01RK4Z919 Equity","PX_LAST,PX_VOLUME","1/1/2020","6/10/2026")</f>
        <v/>
      </c>
      <c r="TQ3">
        <f>BDH("BBG019LH7CD0 Equity","PX_LAST,PX_VOLUME","1/1/2020","6/10/2026")</f>
        <v/>
      </c>
      <c r="TU3">
        <f>BDH("BBG01RK4Z9L7 Equity","PX_LAST,PX_VOLUME","1/1/2020","6/10/2026")</f>
        <v/>
      </c>
      <c r="TY3">
        <f>BDH("BBG01QJMKN36 Equity","PX_LAST,PX_VOLUME","1/1/2020","6/10/2026")</f>
        <v/>
      </c>
      <c r="UC3">
        <f>BDH("BBG01RK4Z6K4 Equity","PX_LAST,PX_VOLUME","1/1/2020","6/10/2026")</f>
        <v/>
      </c>
      <c r="UG3">
        <f>BDH("BBG019LH7DH4 Equity","PX_LAST,PX_VOLUME","1/1/2020","6/10/2026")</f>
        <v/>
      </c>
      <c r="UK3">
        <f>BDH("BBG01RK4ZW18 Equity","PX_LAST,PX_VOLUME","1/1/2020","6/10/2026")</f>
        <v/>
      </c>
      <c r="UO3">
        <f>BDH("BBG01QJMJZH6 Equity","PX_LAST,PX_VOLUME","1/1/2020","6/10/2026")</f>
        <v/>
      </c>
      <c r="US3">
        <f>BDH("BBG01RK4YSL6 Equity","PX_LAST,PX_VOLUME","1/1/2020","6/10/2026")</f>
        <v/>
      </c>
      <c r="UW3">
        <f>BDH("BBG019LH7FM3 Equity","PX_LAST,PX_VOLUME","1/1/2020","6/10/2026")</f>
        <v/>
      </c>
      <c r="VA3">
        <f>BDH("BBG01RK4ZVH3 Equity","PX_LAST,PX_VOLUME","1/1/2020","6/10/2026")</f>
        <v/>
      </c>
      <c r="VE3">
        <f>BDH("BBG01QQNCT05 Equity","PX_LAST,PX_VOLUME","1/1/2020","6/10/2026")</f>
        <v/>
      </c>
      <c r="VI3">
        <f>BDH("BBG01RK4ZP31 Equity","PX_LAST,PX_VOLUME","1/1/2020","6/10/2026")</f>
        <v/>
      </c>
      <c r="VM3">
        <f>BDH("BBG019LH7GQ7 Equity","PX_LAST,PX_VOLUME","1/1/2020","6/10/2026")</f>
        <v/>
      </c>
      <c r="VQ3">
        <f>BDH("BBG01RK4YX26 Equity","PX_LAST,PX_VOLUME","1/1/2020","6/10/2026")</f>
        <v/>
      </c>
      <c r="VU3">
        <f>BDH("BBG01QQNDWM3 Equity","PX_LAST,PX_VOLUME","1/1/2020","6/10/2026")</f>
        <v/>
      </c>
      <c r="VY3">
        <f>BDH("BBG01RGLK3S6 Equity","PX_LAST,PX_VOLUME","1/1/2020","6/10/2026")</f>
        <v/>
      </c>
      <c r="WC3">
        <f>BDH("BBG019LH7HT2 Equity","PX_LAST,PX_VOLUME","1/1/2020","6/10/2026")</f>
        <v/>
      </c>
      <c r="WG3">
        <f>BDH("BBG01RGLLJ46 Equity","PX_LAST,PX_VOLUME","1/1/2020","6/10/2026")</f>
        <v/>
      </c>
      <c r="WK3">
        <f>BDH("BBG01QQNCTM1 Equity","PX_LAST,PX_VOLUME","1/1/2020","6/10/2026")</f>
        <v/>
      </c>
      <c r="WO3">
        <f>BDH("BBG01RGLK501 Equity","PX_LAST,PX_VOLUME","1/1/2020","6/10/2026")</f>
        <v/>
      </c>
      <c r="WS3">
        <f>BDH("BBG019LH7JY2 Equity","PX_LAST,PX_VOLUME","1/1/2020","6/10/2026")</f>
        <v/>
      </c>
      <c r="WW3">
        <f>BDH("BBG01RGLLJR1 Equity","PX_LAST,PX_VOLUME","1/1/2020","6/10/2026")</f>
        <v/>
      </c>
      <c r="XA3">
        <f>BDH("BBG01QQNDX78 Equity","PX_LAST,PX_VOLUME","1/1/2020","6/10/2026")</f>
        <v/>
      </c>
      <c r="XE3">
        <f>BDH("BBG01RGLLFC5 Equity","PX_LAST,PX_VOLUME","1/1/2020","6/10/2026")</f>
        <v/>
      </c>
      <c r="XI3">
        <f>BDH("BBG019LH7L13 Equity","PX_LAST,PX_VOLUME","1/1/2020","6/10/2026")</f>
        <v/>
      </c>
      <c r="XM3">
        <f>BDH("BBG01RGLLKC4 Equity","PX_LAST,PX_VOLUME","1/1/2020","6/10/2026")</f>
        <v/>
      </c>
      <c r="XQ3">
        <f>BDH("BBG01QWFPJT2 Equity","PX_LAST,PX_VOLUME","1/1/2020","6/10/2026")</f>
        <v/>
      </c>
      <c r="XU3">
        <f>BDH("BBG01RGLKG70 Equity","PX_LAST,PX_VOLUME","1/1/2020","6/10/2026")</f>
        <v/>
      </c>
      <c r="XY3">
        <f>BDH("BBG019LH7M57 Equity","PX_LAST,PX_VOLUME","1/1/2020","6/10/2026")</f>
        <v/>
      </c>
      <c r="YC3">
        <f>BDH("BBG01RGLK351 Equity","PX_LAST,PX_VOLUME","1/1/2020","6/10/2026")</f>
        <v/>
      </c>
      <c r="YG3">
        <f>BDH("BBG01QWFMPQ4 Equity","PX_LAST,PX_VOLUME","1/1/2020","6/10/2026")</f>
        <v/>
      </c>
      <c r="YK3">
        <f>BDH("BBG01RGLKFM5 Equity","PX_LAST,PX_VOLUME","1/1/2020","6/10/2026")</f>
        <v/>
      </c>
      <c r="YO3">
        <f>BDH("BBG019M194T3 Equity","PX_LAST,PX_VOLUME","1/1/2020","6/10/2026")</f>
        <v/>
      </c>
      <c r="YS3">
        <f>BDH("BBG01RGLK4D0 Equity","PX_LAST,PX_VOLUME","1/1/2020","6/10/2026")</f>
        <v/>
      </c>
      <c r="YW3">
        <f>BDH("BBG01QWFMP39 Equity","PX_LAST,PX_VOLUME","1/1/2020","6/10/2026")</f>
        <v/>
      </c>
      <c r="ZA3">
        <f>BDH("BBG019M19645 Equity","PX_LAST,PX_VOLUME","1/1/2020","6/10/2026")</f>
        <v/>
      </c>
      <c r="ZE3">
        <f>BDH("BBG01QWFMQB8 Equity","PX_LAST,PX_VOLUME","1/1/2020","6/10/2026")</f>
        <v/>
      </c>
      <c r="ZI3">
        <f>BDH("BBG019M19770 Equity","PX_LAST,PX_VOLUME","1/1/2020","6/10/2026")</f>
        <v/>
      </c>
      <c r="ZM3">
        <f>BDH("BBG01QWFMQY3 Equity","PX_LAST,PX_VOLUME","1/1/2020","6/10/2026")</f>
        <v/>
      </c>
      <c r="ZQ3">
        <f>BDH("BBG019M198B3 Equity","PX_LAST,PX_VOLUME","1/1/2020","6/10/2026")</f>
        <v/>
      </c>
      <c r="ZU3">
        <f>BDH("BBG01QY8NLB2 Equity","PX_LAST,PX_VOLUME","1/1/2020","6/10/2026")</f>
        <v/>
      </c>
      <c r="ZY3">
        <f>BDH("BBG019LH7N82 Equity","PX_LAST,PX_VOLUME","1/1/2020","6/10/2026")</f>
        <v/>
      </c>
      <c r="AAC3">
        <f>BDH("BBG01QY8NLY7 Equity","PX_LAST,PX_VOLUME","1/1/2020","6/10/2026")</f>
        <v/>
      </c>
      <c r="AAG3">
        <f>BDH("BBG019M199G6 Equity","PX_LAST,PX_VOLUME","1/1/2020","6/10/2026")</f>
        <v/>
      </c>
      <c r="AAK3">
        <f>BDH("BBG01R5RVQ66 Equity","PX_LAST,PX_VOLUME","1/1/2020","6/10/2026")</f>
        <v/>
      </c>
      <c r="AAO3">
        <f>BDH("BBG019M19BK6 Equity","PX_LAST,PX_VOLUME","1/1/2020","6/10/2026")</f>
        <v/>
      </c>
      <c r="AAS3">
        <f>BDH("BBG01NMLF5C6 Equity","PX_LAST,PX_VOLUME","1/1/2020","6/10/2026")</f>
        <v/>
      </c>
      <c r="AAW3">
        <f>BDH("BBG01NMLFSZ1 Equity","PX_LAST,PX_VOLUME","1/1/2020","6/10/2026")</f>
        <v/>
      </c>
      <c r="ABA3">
        <f>BDH("BBG01NMLFQ85 Equity","PX_LAST,PX_VOLUME","1/1/2020","6/10/2026")</f>
        <v/>
      </c>
      <c r="ABE3">
        <f>BDH("BBG01NMLGK87 Equity","PX_LAST,PX_VOLUME","1/1/2020","6/10/2026")</f>
        <v/>
      </c>
      <c r="ABI3">
        <f>BDH("BBG01NMLFXN3 Equity","PX_LAST,PX_VOLUME","1/1/2020","6/10/2026")</f>
        <v/>
      </c>
      <c r="ABM3">
        <f>BDH("BBG01NMLGML8 Equity","PX_LAST,PX_VOLUME","1/1/2020","6/10/2026")</f>
        <v/>
      </c>
      <c r="ABQ3">
        <f>BDH("BBG01NMLFFL4 Equity","PX_LAST,PX_VOLUME","1/1/2020","6/10/2026")</f>
        <v/>
      </c>
      <c r="ABU3">
        <f>BDH("BBG01NMLFZ67 Equity","PX_LAST,PX_VOLUME","1/1/2020","6/10/2026")</f>
        <v/>
      </c>
      <c r="ABY3">
        <f>BDH("BBG01NMLFG50 Equity","PX_LAST,PX_VOLUME","1/1/2020","6/10/2026")</f>
        <v/>
      </c>
      <c r="ACC3">
        <f>BDH("BBG01NMLG0C6 Equity","PX_LAST,PX_VOLUME","1/1/2020","6/10/2026")</f>
        <v/>
      </c>
      <c r="ACG3">
        <f>BDH("BBG01NMLFL77 Equity","PX_LAST,PX_VOLUME","1/1/2020","6/10/2026")</f>
        <v/>
      </c>
      <c r="ACK3">
        <f>BDH("BBG01NMLGP13 Equity","PX_LAST,PX_VOLUME","1/1/2020","6/10/2026")</f>
        <v/>
      </c>
      <c r="ACO3">
        <f>BDH("BBG01NMLGRJ0 Equity","PX_LAST,PX_VOLUME","1/1/2020","6/10/2026")</f>
        <v/>
      </c>
      <c r="ACS3">
        <f>BDH("BBG01NMLFZS3 Equity","PX_LAST,PX_VOLUME","1/1/2020","6/10/2026")</f>
        <v/>
      </c>
      <c r="ACW3">
        <f>BDH("BBG01NMLFKN1 Equity","PX_LAST,PX_VOLUME","1/1/2020","6/10/2026")</f>
        <v/>
      </c>
      <c r="ADA3">
        <f>BDH("BBG01NMLG1M3 Equity","PX_LAST,PX_VOLUME","1/1/2020","6/10/2026")</f>
        <v/>
      </c>
      <c r="ADE3">
        <f>BDH("BBG01NMLG3C0 Equity","PX_LAST,PX_VOLUME","1/1/2020","6/10/2026")</f>
        <v/>
      </c>
      <c r="ADI3">
        <f>BDH("BBG01NMLGLF7 Equity","PX_LAST,PX_VOLUME","1/1/2020","6/10/2026")</f>
        <v/>
      </c>
      <c r="ADM3">
        <f>BDH("BBG01NMLG269 Equity","PX_LAST,PX_VOLUME","1/1/2020","6/10/2026")</f>
        <v/>
      </c>
      <c r="ADQ3">
        <f>BDH("BBG01R5RY024 Equity","PX_LAST,PX_VOLUME","1/1/2020","6/10/2026")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BBG01NMLGNG2 Equity (TSLA US 02/21/25 P310)</t>
        </is>
      </c>
      <c r="E1" t="inlineStr">
        <is>
          <t>BBG01R5RWP85 Equity (TSLA US 02/21/25 P315)</t>
        </is>
      </c>
      <c r="I1" t="inlineStr">
        <is>
          <t>BBG01NMLFSD5 Equity (TSLA US 02/21/25 P320)</t>
        </is>
      </c>
      <c r="M1" t="inlineStr">
        <is>
          <t>BBG01R5RXZG3 Equity (TSLA US 02/21/25 P325)</t>
        </is>
      </c>
      <c r="Q1" t="inlineStr">
        <is>
          <t>BBG01NMLGKV1 Equity (TSLA US 02/21/25 P330)</t>
        </is>
      </c>
      <c r="U1" t="inlineStr">
        <is>
          <t>BBG01R5RY0P9 Equity (TSLA US 02/21/25 P335)</t>
        </is>
      </c>
      <c r="Y1" t="inlineStr">
        <is>
          <t>BBG01NMLGG68 Equity (TSLA US 02/21/25 P340)</t>
        </is>
      </c>
      <c r="AC1" t="inlineStr">
        <is>
          <t>BBG01R5RWWF2 Equity (TSLA US 02/21/25 P345)</t>
        </is>
      </c>
      <c r="AG1" t="inlineStr">
        <is>
          <t>BBG01NMLGM01 Equity (TSLA US 02/21/25 P350)</t>
        </is>
      </c>
      <c r="AK1" t="inlineStr">
        <is>
          <t>BBG01R5RWVT9 Equity (TSLA US 02/21/25 P355)</t>
        </is>
      </c>
      <c r="AO1" t="inlineStr">
        <is>
          <t>BBG01NMLFK24 Equity (TSLA US 02/21/25 P360)</t>
        </is>
      </c>
      <c r="AS1" t="inlineStr">
        <is>
          <t>BBG01R5RWX15 Equity (TSLA US 02/21/25 P365)</t>
        </is>
      </c>
      <c r="AW1" t="inlineStr">
        <is>
          <t>BBG01NMLFHB1 Equity (TSLA US 02/21/25 P370)</t>
        </is>
      </c>
      <c r="BA1" t="inlineStr">
        <is>
          <t>BBG01R5RYJ32 Equity (TSLA US 02/21/25 P375)</t>
        </is>
      </c>
      <c r="BE1" t="inlineStr">
        <is>
          <t>BBG01NMLFGR6 Equity (TSLA US 02/21/25 P380)</t>
        </is>
      </c>
      <c r="BI1" t="inlineStr">
        <is>
          <t>BBG01R5RX374 Equity (TSLA US 02/21/25 P385)</t>
        </is>
      </c>
      <c r="BM1" t="inlineStr">
        <is>
          <t>BBG01NMLFW46 Equity (TSLA US 02/21/25 P390)</t>
        </is>
      </c>
      <c r="BQ1" t="inlineStr">
        <is>
          <t>BBG01R5RX2M9 Equity (TSLA US 02/21/25 P395)</t>
        </is>
      </c>
      <c r="BU1" t="inlineStr">
        <is>
          <t>BBG01NMLFWQ2 Equity (TSLA US 02/21/25 P400)</t>
        </is>
      </c>
      <c r="BY1" t="inlineStr">
        <is>
          <t>BBG01R5RXYV9 Equity (TSLA US 02/21/25 P405)</t>
        </is>
      </c>
      <c r="CC1" t="inlineStr">
        <is>
          <t>BBG01NMLFCN9 Equity (TSLA US 02/21/25 P410)</t>
        </is>
      </c>
      <c r="CG1" t="inlineStr">
        <is>
          <t>BBG01R5RWV64 Equity (TSLA US 02/21/25 P415)</t>
        </is>
      </c>
      <c r="CK1" t="inlineStr">
        <is>
          <t>BBG01NMLG5Q0 Equity (TSLA US 02/21/25 P420)</t>
        </is>
      </c>
      <c r="CO1" t="inlineStr">
        <is>
          <t>BBG01R5RWTL2 Equity (TSLA US 02/21/25 P425)</t>
        </is>
      </c>
      <c r="CS1" t="inlineStr">
        <is>
          <t>BBG01NMLG4R2 Equity (TSLA US 02/21/25 P430)</t>
        </is>
      </c>
      <c r="CW1" t="inlineStr">
        <is>
          <t>BBG01R5RYJQ7 Equity (TSLA US 02/21/25 P435)</t>
        </is>
      </c>
      <c r="DA1" t="inlineStr">
        <is>
          <t>BBG01NMLG2S5 Equity (TSLA US 02/21/25 P440)</t>
        </is>
      </c>
      <c r="DE1" t="inlineStr">
        <is>
          <t>BBG01R5RYKB0 Equity (TSLA US 02/21/25 P445)</t>
        </is>
      </c>
      <c r="DI1" t="inlineStr">
        <is>
          <t>BBG01NMLFM66 Equity (TSLA US 02/21/25 P450)</t>
        </is>
      </c>
      <c r="DM1" t="inlineStr">
        <is>
          <t>BBG01R5RYHH1 Equity (TSLA US 02/21/25 P455)</t>
        </is>
      </c>
      <c r="DQ1" t="inlineStr">
        <is>
          <t>BBG01NMLGS35 Equity (TSLA US 02/21/25 P460)</t>
        </is>
      </c>
      <c r="DU1" t="inlineStr">
        <is>
          <t>BBG01R5RY8L6 Equity (TSLA US 02/21/25 P465)</t>
        </is>
      </c>
      <c r="DY1" t="inlineStr">
        <is>
          <t>BBG01NQ1LS75 Equity (TSLA US 02/21/25 P470)</t>
        </is>
      </c>
      <c r="EC1" t="inlineStr">
        <is>
          <t>BBG01R5RX203 Equity (TSLA US 02/21/25 P475)</t>
        </is>
      </c>
      <c r="EG1" t="inlineStr">
        <is>
          <t>BBG01NQ1JWZ8 Equity (TSLA US 02/21/25 P480)</t>
        </is>
      </c>
      <c r="EK1" t="inlineStr">
        <is>
          <t>BBG01R5RY961 Equity (TSLA US 02/21/25 P485)</t>
        </is>
      </c>
      <c r="EO1" t="inlineStr">
        <is>
          <t>BBG01NQ1LRN9 Equity (TSLA US 02/21/25 P490)</t>
        </is>
      </c>
      <c r="ES1" t="inlineStr">
        <is>
          <t>BBG01R5RXB49 Equity (TSLA US 02/21/25 P495)</t>
        </is>
      </c>
      <c r="EW1" t="inlineStr">
        <is>
          <t>BBG01NQ1LXJ1 Equity (TSLA US 02/21/25 P500)</t>
        </is>
      </c>
      <c r="FA1" t="inlineStr">
        <is>
          <t>BBG01R5RYKY5 Equity (TSLA US 02/21/25 P505)</t>
        </is>
      </c>
      <c r="FE1" t="inlineStr">
        <is>
          <t>BBG01NQ1LR22 Equity (TSLA US 02/21/25 P510)</t>
        </is>
      </c>
      <c r="FI1" t="inlineStr">
        <is>
          <t>BBG01R5RXGJ2 Equity (TSLA US 02/21/25 P515)</t>
        </is>
      </c>
      <c r="FM1" t="inlineStr">
        <is>
          <t>BBG01NQ1LPX2 Equity (TSLA US 02/21/25 P520)</t>
        </is>
      </c>
      <c r="FQ1" t="inlineStr">
        <is>
          <t>BBG01L59BVD2 Equity (TSLA US 03/21/25 P210)</t>
        </is>
      </c>
      <c r="FU1" t="inlineStr">
        <is>
          <t>BBG01L59BWK2 Equity (TSLA US 03/21/25 P215)</t>
        </is>
      </c>
      <c r="FY1" t="inlineStr">
        <is>
          <t>BBG01L59BXQ4 Equity (TSLA US 03/21/25 P220)</t>
        </is>
      </c>
      <c r="GC1" t="inlineStr">
        <is>
          <t>BBG01L59BYX4 Equity (TSLA US 03/21/25 P225)</t>
        </is>
      </c>
      <c r="GG1" t="inlineStr">
        <is>
          <t>BBG01L59C021 Equity (TSLA US 03/21/25 P230)</t>
        </is>
      </c>
      <c r="GK1" t="inlineStr">
        <is>
          <t>BBG01L59C174 Equity (TSLA US 03/21/25 P235)</t>
        </is>
      </c>
      <c r="GO1" t="inlineStr">
        <is>
          <t>BBG01L59C2F3 Equity (TSLA US 03/21/25 P240)</t>
        </is>
      </c>
      <c r="GS1" t="inlineStr">
        <is>
          <t>BBG01L59C3L4 Equity (TSLA US 03/21/25 P245)</t>
        </is>
      </c>
      <c r="GW1" t="inlineStr">
        <is>
          <t>BBG01L59C4R6 Equity (TSLA US 03/21/25 P250)</t>
        </is>
      </c>
      <c r="HA1" t="inlineStr">
        <is>
          <t>BBG01L59C5Y5 Equity (TSLA US 03/21/25 P255)</t>
        </is>
      </c>
      <c r="HE1" t="inlineStr">
        <is>
          <t>BBG01L59C735 Equity (TSLA US 03/21/25 P260)</t>
        </is>
      </c>
      <c r="HI1" t="inlineStr">
        <is>
          <t>BBG01L59C897 Equity (TSLA US 03/21/25 P265)</t>
        </is>
      </c>
      <c r="HM1" t="inlineStr">
        <is>
          <t>BBG01L59C9G7 Equity (TSLA US 03/21/25 P270)</t>
        </is>
      </c>
      <c r="HQ1" t="inlineStr">
        <is>
          <t>BBG01L59CBM5 Equity (TSLA US 03/21/25 P275)</t>
        </is>
      </c>
      <c r="HU1" t="inlineStr">
        <is>
          <t>BBG01L59CCT6 Equity (TSLA US 03/21/25 P280)</t>
        </is>
      </c>
      <c r="HY1" t="inlineStr">
        <is>
          <t>BBG01L59CDZ7 Equity (TSLA US 03/21/25 P285)</t>
        </is>
      </c>
      <c r="IC1" t="inlineStr">
        <is>
          <t>BBG01L59CG44 Equity (TSLA US 03/21/25 P290)</t>
        </is>
      </c>
      <c r="IG1" t="inlineStr">
        <is>
          <t>BBG01L59CHB4 Equity (TSLA US 03/21/25 P295)</t>
        </is>
      </c>
      <c r="IK1" t="inlineStr">
        <is>
          <t>BBG01L59CJH4 Equity (TSLA US 03/21/25 P300)</t>
        </is>
      </c>
      <c r="IO1" t="inlineStr">
        <is>
          <t>BBG01L59CKN4 Equity (TSLA US 03/21/25 P305)</t>
        </is>
      </c>
      <c r="IS1" t="inlineStr">
        <is>
          <t>BBG01L59CLV3 Equity (TSLA US 03/21/25 P310)</t>
        </is>
      </c>
      <c r="IW1" t="inlineStr">
        <is>
          <t>BBG01L59CN03 Equity (TSLA US 03/21/25 P315)</t>
        </is>
      </c>
      <c r="JA1" t="inlineStr">
        <is>
          <t>BBG01L59CP62 Equity (TSLA US 03/21/25 P320)</t>
        </is>
      </c>
      <c r="JE1" t="inlineStr">
        <is>
          <t>BBG01L59CQC3 Equity (TSLA US 03/21/25 P325)</t>
        </is>
      </c>
      <c r="JI1" t="inlineStr">
        <is>
          <t>BBG01L59CRJ4 Equity (TSLA US 03/21/25 P330)</t>
        </is>
      </c>
      <c r="JM1" t="inlineStr">
        <is>
          <t>BBG01L59CSQ4 Equity (TSLA US 03/21/25 P335)</t>
        </is>
      </c>
      <c r="JQ1" t="inlineStr">
        <is>
          <t>BBG01L59CTW5 Equity (TSLA US 03/21/25 P340)</t>
        </is>
      </c>
      <c r="JU1" t="inlineStr">
        <is>
          <t>BBG01L59CW12 Equity (TSLA US 03/21/25 P345)</t>
        </is>
      </c>
      <c r="JY1" t="inlineStr">
        <is>
          <t>BBG01L59CX74 Equity (TSLA US 03/21/25 P350)</t>
        </is>
      </c>
      <c r="KC1" t="inlineStr">
        <is>
          <t>BBG01L59CYD5 Equity (TSLA US 03/21/25 P355)</t>
        </is>
      </c>
      <c r="KG1" t="inlineStr">
        <is>
          <t>BBG01L59CZK4 Equity (TSLA US 03/21/25 P360)</t>
        </is>
      </c>
      <c r="KK1" t="inlineStr">
        <is>
          <t>BBG01L59D0R3 Equity (TSLA US 03/21/25 P365)</t>
        </is>
      </c>
      <c r="KO1" t="inlineStr">
        <is>
          <t>BBG01L59D1X4 Equity (TSLA US 03/21/25 P370)</t>
        </is>
      </c>
      <c r="KS1" t="inlineStr">
        <is>
          <t>BBG01L59D333 Equity (TSLA US 03/21/25 P375)</t>
        </is>
      </c>
      <c r="KW1" t="inlineStr">
        <is>
          <t>BBG01L59D486 Equity (TSLA US 03/21/25 P380)</t>
        </is>
      </c>
      <c r="LA1" t="inlineStr">
        <is>
          <t>BBG01L59D5F5 Equity (TSLA US 03/21/25 P385)</t>
        </is>
      </c>
      <c r="LE1" t="inlineStr">
        <is>
          <t>BBG01L59D6M5 Equity (TSLA US 03/21/25 P390)</t>
        </is>
      </c>
      <c r="LI1" t="inlineStr">
        <is>
          <t>BBG01L59D7S7 Equity (TSLA US 03/21/25 P395)</t>
        </is>
      </c>
      <c r="LM1" t="inlineStr">
        <is>
          <t>BBG01L59D8Y8 Equity (TSLA US 03/21/25 P400)</t>
        </is>
      </c>
      <c r="LQ1" t="inlineStr">
        <is>
          <t>BBG01L59DB53 Equity (TSLA US 03/21/25 P405)</t>
        </is>
      </c>
      <c r="LU1" t="inlineStr">
        <is>
          <t>BBG01L59DCB4 Equity (TSLA US 03/21/25 P410)</t>
        </is>
      </c>
      <c r="LY1" t="inlineStr">
        <is>
          <t>BBG01L59DDH6 Equity (TSLA US 03/21/25 P415)</t>
        </is>
      </c>
      <c r="MC1" t="inlineStr">
        <is>
          <t>BBG01L59DFQ1 Equity (TSLA US 03/21/25 P420)</t>
        </is>
      </c>
      <c r="MG1" t="inlineStr">
        <is>
          <t>BBG01L59DGW2 Equity (TSLA US 03/21/25 P425)</t>
        </is>
      </c>
      <c r="MK1" t="inlineStr">
        <is>
          <t>BBG01L59DJ29 Equity (TSLA US 03/21/25 P430)</t>
        </is>
      </c>
      <c r="MO1" t="inlineStr">
        <is>
          <t>BBG01L59DK71 Equity (TSLA US 03/21/25 P435)</t>
        </is>
      </c>
      <c r="MS1" t="inlineStr">
        <is>
          <t>BBG01NMLGH11 Equity (TSLA US 03/21/25 P440)</t>
        </is>
      </c>
      <c r="MW1" t="inlineStr">
        <is>
          <t>BBG01RJGMVH2 Equity (TSLA US 03/21/25 P445)</t>
        </is>
      </c>
      <c r="NA1" t="inlineStr">
        <is>
          <t>BBG01NMLGJ62 Equity (TSLA US 03/21/25 P450)</t>
        </is>
      </c>
      <c r="NE1" t="inlineStr">
        <is>
          <t>BBG01RJGMT87 Equity (TSLA US 03/21/25 P455)</t>
        </is>
      </c>
      <c r="NI1" t="inlineStr">
        <is>
          <t>BBG01NMLGHM8 Equity (TSLA US 03/21/25 P460)</t>
        </is>
      </c>
      <c r="NM1" t="inlineStr">
        <is>
          <t>BBG01RJGLRC7 Equity (TSLA US 03/21/25 P465)</t>
        </is>
      </c>
      <c r="NQ1" t="inlineStr">
        <is>
          <t>BBG01NP3CCR5 Equity (TSLA US 03/21/25 P470)</t>
        </is>
      </c>
      <c r="NU1" t="inlineStr">
        <is>
          <t>BBG01RJGMTW0 Equity (TSLA US 03/21/25 P475)</t>
        </is>
      </c>
      <c r="NY1" t="inlineStr">
        <is>
          <t>BBG01NP3CFH9 Equity (TSLA US 03/21/25 P480)</t>
        </is>
      </c>
      <c r="OC1" t="inlineStr">
        <is>
          <t>BBG01RJGL7H6 Equity (TSLA US 03/21/25 P485)</t>
        </is>
      </c>
      <c r="OG1" t="inlineStr">
        <is>
          <t>BBG01NP3CDB0 Equity (TSLA US 03/21/25 P490)</t>
        </is>
      </c>
      <c r="OK1" t="inlineStr">
        <is>
          <t>BBG01RJGL688 Equity (TSLA US 03/21/25 P495)</t>
        </is>
      </c>
      <c r="OO1" t="inlineStr">
        <is>
          <t>BBG01NP3CDX6 Equity (TSLA US 03/21/25 P500)</t>
        </is>
      </c>
      <c r="OS1" t="inlineStr">
        <is>
          <t>BBG01RJGLLD9 Equity (TSLA US 03/21/25 P505)</t>
        </is>
      </c>
      <c r="OW1" t="inlineStr">
        <is>
          <t>BBG01NQ1KV15 Equity (TSLA US 03/21/25 P510)</t>
        </is>
      </c>
      <c r="PA1" t="inlineStr">
        <is>
          <t>BBG01RJGLM01 Equity (TSLA US 03/21/25 P515)</t>
        </is>
      </c>
      <c r="PE1" t="inlineStr">
        <is>
          <t>BBG01NQ1KSW8 Equity (TSLA US 03/21/25 P520)</t>
        </is>
      </c>
      <c r="PI1" t="inlineStr">
        <is>
          <t>BBG01PH6TGY7 Equity (TSLA US 04/17/25 P215)</t>
        </is>
      </c>
      <c r="PM1" t="inlineStr">
        <is>
          <t>BBG01T1K5W03 Equity (TSLA US 04/17/25 P217.5)</t>
        </is>
      </c>
      <c r="PQ1" t="inlineStr">
        <is>
          <t>BBG01PH6SRV7 Equity (TSLA US 04/17/25 P220)</t>
        </is>
      </c>
      <c r="PU1" t="inlineStr">
        <is>
          <t>BBG01T1K7GN1 Equity (TSLA US 04/17/25 P222.5)</t>
        </is>
      </c>
      <c r="PY1" t="inlineStr">
        <is>
          <t>BBG01PH6S0S0 Equity (TSLA US 04/17/25 P225)</t>
        </is>
      </c>
      <c r="QC1" t="inlineStr">
        <is>
          <t>BBG01T1K7G15 Equity (TSLA US 04/17/25 P227.5)</t>
        </is>
      </c>
      <c r="QG1" t="inlineStr">
        <is>
          <t>BBG01PH6S4S2 Equity (TSLA US 04/17/25 P230)</t>
        </is>
      </c>
      <c r="QK1" t="inlineStr">
        <is>
          <t>BBG01T1K6SC8 Equity (TSLA US 04/17/25 P232.5)</t>
        </is>
      </c>
      <c r="QO1" t="inlineStr">
        <is>
          <t>BBG01PH6TGC1 Equity (TSLA US 04/17/25 P235)</t>
        </is>
      </c>
      <c r="QS1" t="inlineStr">
        <is>
          <t>BBG01T1K6TL6 Equity (TSLA US 04/17/25 P237.5)</t>
        </is>
      </c>
      <c r="QW1" t="inlineStr">
        <is>
          <t>BBG01PH6SD48 Equity (TSLA US 04/17/25 P240)</t>
        </is>
      </c>
      <c r="RA1" t="inlineStr">
        <is>
          <t>BBG01T1K7HW9 Equity (TSLA US 04/17/25 P242.5)</t>
        </is>
      </c>
      <c r="RE1" t="inlineStr">
        <is>
          <t>BBG01PH6S313 Equity (TSLA US 04/17/25 P245)</t>
        </is>
      </c>
      <c r="RI1" t="inlineStr">
        <is>
          <t>BBG01T1K7P15 Equity (TSLA US 04/17/25 P247.5)</t>
        </is>
      </c>
      <c r="RM1" t="inlineStr">
        <is>
          <t>BBG01PH6T161 Equity (TSLA US 04/17/25 P250)</t>
        </is>
      </c>
      <c r="RQ1" t="inlineStr">
        <is>
          <t>BBG01T1K6RR4 Equity (TSLA US 04/17/25 P252.5)</t>
        </is>
      </c>
      <c r="RU1" t="inlineStr">
        <is>
          <t>BBG01PH6SDY5 Equity (TSLA US 04/17/25 P255)</t>
        </is>
      </c>
      <c r="RY1" t="inlineStr">
        <is>
          <t>BBG01T1K6SZ3 Equity (TSLA US 04/17/25 P257.5)</t>
        </is>
      </c>
      <c r="SC1" t="inlineStr">
        <is>
          <t>BBG01PH6SY60 Equity (TSLA US 04/17/25 P260)</t>
        </is>
      </c>
      <c r="SG1" t="inlineStr">
        <is>
          <t>BBG01T1K7H86 Equity (TSLA US 04/17/25 P262.5)</t>
        </is>
      </c>
      <c r="SK1" t="inlineStr">
        <is>
          <t>BBG01PH6SFJ7 Equity (TSLA US 04/17/25 P265)</t>
        </is>
      </c>
      <c r="SO1" t="inlineStr">
        <is>
          <t>BBG01T5R5SG6 Equity (TSLA US 04/17/25 P267.5)</t>
        </is>
      </c>
      <c r="SS1" t="inlineStr">
        <is>
          <t>BBG01PH6SYS6 Equity (TSLA US 04/17/25 P270)</t>
        </is>
      </c>
      <c r="SW1" t="inlineStr">
        <is>
          <t>BBG01T5R6D23 Equity (TSLA US 04/17/25 P272.5)</t>
        </is>
      </c>
      <c r="TA1" t="inlineStr">
        <is>
          <t>BBG01PH6RVJ3 Equity (TSLA US 04/17/25 P275)</t>
        </is>
      </c>
      <c r="TE1" t="inlineStr">
        <is>
          <t>BBG01T5R5RV1 Equity (TSLA US 04/17/25 P277.5)</t>
        </is>
      </c>
      <c r="TI1" t="inlineStr">
        <is>
          <t>BBG01PH6SCK2 Equity (TSLA US 04/17/25 P280)</t>
        </is>
      </c>
      <c r="TM1" t="inlineStr">
        <is>
          <t>BBG01T5R6CG0 Equity (TSLA US 04/17/25 P282.5)</t>
        </is>
      </c>
      <c r="TQ1" t="inlineStr">
        <is>
          <t>BBG01PH6RRN7 Equity (TSLA US 04/17/25 P285)</t>
        </is>
      </c>
      <c r="TU1" t="inlineStr">
        <is>
          <t>BBG01T5R6VJ5 Equity (TSLA US 04/17/25 P287.5)</t>
        </is>
      </c>
      <c r="TY1" t="inlineStr">
        <is>
          <t>BBG01PH6T1S7 Equity (TSLA US 04/17/25 P290)</t>
        </is>
      </c>
      <c r="UC1" t="inlineStr">
        <is>
          <t>BBG01T5R77K5 Equity (TSLA US 04/17/25 P292.5)</t>
        </is>
      </c>
      <c r="UG1" t="inlineStr">
        <is>
          <t>BBG01PH6S7L2 Equity (TSLA US 04/17/25 P295)</t>
        </is>
      </c>
      <c r="UK1" t="inlineStr">
        <is>
          <t>BBG01T5R72D4 Equity (TSLA US 04/17/25 P297.5)</t>
        </is>
      </c>
      <c r="UO1" t="inlineStr">
        <is>
          <t>BBG01PH6S3M0 Equity (TSLA US 04/17/25 P300)</t>
        </is>
      </c>
      <c r="US1" t="inlineStr">
        <is>
          <t>BBG01T5R6F91 Equity (TSLA US 04/17/25 P302.5)</t>
        </is>
      </c>
      <c r="UW1" t="inlineStr">
        <is>
          <t>BBG01PH6T857 Equity (TSLA US 04/17/25 P305)</t>
        </is>
      </c>
      <c r="VA1" t="inlineStr">
        <is>
          <t>BBG01T5R6JM8 Equity (TSLA US 04/17/25 P307.5)</t>
        </is>
      </c>
      <c r="VE1" t="inlineStr">
        <is>
          <t>BBG01PH6SDC9 Equity (TSLA US 04/17/25 P310)</t>
        </is>
      </c>
      <c r="VI1" t="inlineStr">
        <is>
          <t>BBG01T5R6J02 Equity (TSLA US 04/17/25 P312.5)</t>
        </is>
      </c>
      <c r="VM1" t="inlineStr">
        <is>
          <t>BBG01PH6T4M7 Equity (TSLA US 04/17/25 P315)</t>
        </is>
      </c>
      <c r="VQ1" t="inlineStr">
        <is>
          <t>BBG01T5R75Q3 Equity (TSLA US 04/17/25 P317.5)</t>
        </is>
      </c>
      <c r="VU1" t="inlineStr">
        <is>
          <t>BBG01PH6RWK9 Equity (TSLA US 04/17/25 P320)</t>
        </is>
      </c>
      <c r="VY1" t="inlineStr">
        <is>
          <t>BBG01T5R6W49 Equity (TSLA US 04/17/25 P322.5)</t>
        </is>
      </c>
      <c r="WC1" t="inlineStr">
        <is>
          <t>BBG01PH6T2Y8 Equity (TSLA US 04/17/25 P325)</t>
        </is>
      </c>
      <c r="WG1" t="inlineStr">
        <is>
          <t>BBG01T5R6DP8 Equity (TSLA US 04/17/25 P327.5)</t>
        </is>
      </c>
      <c r="WK1" t="inlineStr">
        <is>
          <t>BBG01PH6SBM2 Equity (TSLA US 04/17/25 P330)</t>
        </is>
      </c>
      <c r="WO1" t="inlineStr">
        <is>
          <t>BBG01PH6T410 Equity (TSLA US 04/17/25 P335)</t>
        </is>
      </c>
      <c r="WS1" t="inlineStr">
        <is>
          <t>BBG01PH6S9G4 Equity (TSLA US 04/17/25 P340)</t>
        </is>
      </c>
      <c r="WW1" t="inlineStr">
        <is>
          <t>BBG01PH6T2C2 Equity (TSLA US 04/17/25 P345)</t>
        </is>
      </c>
      <c r="XA1" t="inlineStr">
        <is>
          <t>BBG01PH6RQH6 Equity (TSLA US 04/17/25 P350)</t>
        </is>
      </c>
      <c r="XE1" t="inlineStr">
        <is>
          <t>BBG01PH6SJV5 Equity (TSLA US 04/17/25 P355)</t>
        </is>
      </c>
      <c r="XI1" t="inlineStr">
        <is>
          <t>BBG01PH6SB15 Equity (TSLA US 04/17/25 P360)</t>
        </is>
      </c>
      <c r="XM1" t="inlineStr">
        <is>
          <t>BBG01PH6T562 Equity (TSLA US 04/17/25 P365)</t>
        </is>
      </c>
      <c r="XQ1" t="inlineStr">
        <is>
          <t>BBG01PH6RN10 Equity (TSLA US 04/17/25 P370)</t>
        </is>
      </c>
      <c r="XU1" t="inlineStr">
        <is>
          <t>BBG01PH6SL04 Equity (TSLA US 04/17/25 P375)</t>
        </is>
      </c>
      <c r="XY1" t="inlineStr">
        <is>
          <t>BBG01PH6S6F1 Equity (TSLA US 04/17/25 P380)</t>
        </is>
      </c>
      <c r="YC1" t="inlineStr">
        <is>
          <t>BBG01PH6S8K1 Equity (TSLA US 04/17/25 P385)</t>
        </is>
      </c>
      <c r="YG1" t="inlineStr">
        <is>
          <t>BBG01PH6S5V5 Equity (TSLA US 04/17/25 P390)</t>
        </is>
      </c>
      <c r="YK1" t="inlineStr">
        <is>
          <t>BBG01PH6SXM4 Equity (TSLA US 04/17/25 P395)</t>
        </is>
      </c>
      <c r="YO1" t="inlineStr">
        <is>
          <t>BBG01PH6T5S8 Equity (TSLA US 04/17/25 P400)</t>
        </is>
      </c>
      <c r="YS1" t="inlineStr">
        <is>
          <t>BBG01PH6RY98 Equity (TSLA US 04/17/25 P405)</t>
        </is>
      </c>
      <c r="YW1" t="inlineStr">
        <is>
          <t>BBG01PH6SKF0 Equity (TSLA US 04/17/25 P410)</t>
        </is>
      </c>
      <c r="ZA1" t="inlineStr">
        <is>
          <t>BBG01PH6RX45 Equity (TSLA US 04/17/25 P415)</t>
        </is>
      </c>
      <c r="ZE1" t="inlineStr">
        <is>
          <t>BBG01PH6T6C3 Equity (TSLA US 04/17/25 P420)</t>
        </is>
      </c>
      <c r="ZI1" t="inlineStr">
        <is>
          <t>BBG01PH6RXQ1 Equity (TSLA US 04/17/25 P425)</t>
        </is>
      </c>
      <c r="ZM1" t="inlineStr">
        <is>
          <t>BBG01PH6SLL1 Equity (TSLA US 04/17/25 P430)</t>
        </is>
      </c>
      <c r="ZQ1" t="inlineStr">
        <is>
          <t>BBG01PH6SG32 Equity (TSLA US 04/17/25 P435)</t>
        </is>
      </c>
      <c r="ZU1" t="inlineStr">
        <is>
          <t>BBG01Q04KYK3 Equity (TSLA US 04/17/25 P440)</t>
        </is>
      </c>
      <c r="ZY1" t="inlineStr">
        <is>
          <t>BBG01RWRV6L3 Equity (TSLA US 04/17/25 P445)</t>
        </is>
      </c>
      <c r="AAC1" t="inlineStr">
        <is>
          <t>BBG01Q04KGH6 Equity (TSLA US 04/17/25 P450)</t>
        </is>
      </c>
      <c r="AAG1" t="inlineStr">
        <is>
          <t>BBG01RWRV465 Equity (TSLA US 04/17/25 P455)</t>
        </is>
      </c>
      <c r="AAK1" t="inlineStr">
        <is>
          <t>BBG01Q04KN81 Equity (TSLA US 04/17/25 P460)</t>
        </is>
      </c>
      <c r="AAO1" t="inlineStr">
        <is>
          <t>BBG01RWRTBR9 Equity (TSLA US 04/17/25 P465)</t>
        </is>
      </c>
      <c r="AAS1" t="inlineStr">
        <is>
          <t>BBG01Q04KFW1 Equity (TSLA US 04/17/25 P470)</t>
        </is>
      </c>
      <c r="AAW1" t="inlineStr">
        <is>
          <t>BBG01RWRTJC8 Equity (TSLA US 04/17/25 P475)</t>
        </is>
      </c>
      <c r="ABA1" t="inlineStr">
        <is>
          <t>BBG01Q04KXY0 Equity (TSLA US 04/17/25 P480)</t>
        </is>
      </c>
      <c r="ABE1" t="inlineStr">
        <is>
          <t>BBG01RWRTKL5 Equity (TSLA US 04/17/25 P485)</t>
        </is>
      </c>
      <c r="ABI1" t="inlineStr">
        <is>
          <t>BBG01Q04KH39 Equity (TSLA US 04/17/25 P490)</t>
        </is>
      </c>
      <c r="ABM1" t="inlineStr">
        <is>
          <t>BBG01RWRTWZ4 Equity (TSLA US 04/17/25 P495)</t>
        </is>
      </c>
      <c r="ABQ1" t="inlineStr">
        <is>
          <t>BBG01Q04KNW4 Equity (TSLA US 04/17/25 P500)</t>
        </is>
      </c>
      <c r="ABU1" t="inlineStr">
        <is>
          <t>BBG01RWRTCY9 Equity (TSLA US 04/17/25 P505)</t>
        </is>
      </c>
      <c r="ABY1" t="inlineStr">
        <is>
          <t>BBG01Q2ZB767 Equity (TSLA US 04/17/25 P510)</t>
        </is>
      </c>
      <c r="ACC1" t="inlineStr">
        <is>
          <t>BBG01RWRTDK2 Equity (TSLA US 04/17/25 P515)</t>
        </is>
      </c>
      <c r="ACG1" t="inlineStr">
        <is>
          <t>BBG01Q2ZB7T2 Equity (TSLA US 04/17/25 P520)</t>
        </is>
      </c>
      <c r="ACK1" t="inlineStr">
        <is>
          <t>BBG01Q8TQ7G8 Equity (TSLA US 05/16/25 P215)</t>
        </is>
      </c>
      <c r="ACO1" t="inlineStr">
        <is>
          <t>BBG01Q8TQHW8 Equity (TSLA US 05/16/25 P220)</t>
        </is>
      </c>
      <c r="ACS1" t="inlineStr">
        <is>
          <t>BBG01Q8TR2W0 Equity (TSLA US 05/16/25 P225)</t>
        </is>
      </c>
      <c r="ACW1" t="inlineStr">
        <is>
          <t>BBG01Q8TQ0T9 Equity (TSLA US 05/16/25 P230)</t>
        </is>
      </c>
      <c r="ADA1" t="inlineStr">
        <is>
          <t>BBG01Q8TQ545 Equity (TSLA US 05/16/25 P235)</t>
        </is>
      </c>
      <c r="ADE1" t="inlineStr">
        <is>
          <t>BBG01Q8TPC32 Equity (TSLA US 05/16/25 P240)</t>
        </is>
      </c>
      <c r="ADI1" t="inlineStr">
        <is>
          <t>BBG01Q8TR3H5 Equity (TSLA US 05/16/25 P245)</t>
        </is>
      </c>
      <c r="ADM1" t="inlineStr">
        <is>
          <t>BBG01Q8TQ215 Equity (TSLA US 05/16/25 P250)</t>
        </is>
      </c>
      <c r="ADQ1" t="inlineStr">
        <is>
          <t>BBG01Q8TQ821 Equity (TSLA US 05/16/25 P255)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BDH("BBG01NMLGNG2 Equity","PX_LAST,PX_VOLUME","1/1/2020","6/10/2026")</f>
        <v/>
      </c>
      <c r="E3">
        <f>BDH("BBG01R5RWP85 Equity","PX_LAST,PX_VOLUME","1/1/2020","6/10/2026")</f>
        <v/>
      </c>
      <c r="I3">
        <f>BDH("BBG01NMLFSD5 Equity","PX_LAST,PX_VOLUME","1/1/2020","6/10/2026")</f>
        <v/>
      </c>
      <c r="M3">
        <f>BDH("BBG01R5RXZG3 Equity","PX_LAST,PX_VOLUME","1/1/2020","6/10/2026")</f>
        <v/>
      </c>
      <c r="Q3">
        <f>BDH("BBG01NMLGKV1 Equity","PX_LAST,PX_VOLUME","1/1/2020","6/10/2026")</f>
        <v/>
      </c>
      <c r="U3">
        <f>BDH("BBG01R5RY0P9 Equity","PX_LAST,PX_VOLUME","1/1/2020","6/10/2026")</f>
        <v/>
      </c>
      <c r="Y3">
        <f>BDH("BBG01NMLGG68 Equity","PX_LAST,PX_VOLUME","1/1/2020","6/10/2026")</f>
        <v/>
      </c>
      <c r="AC3">
        <f>BDH("BBG01R5RWWF2 Equity","PX_LAST,PX_VOLUME","1/1/2020","6/10/2026")</f>
        <v/>
      </c>
      <c r="AG3">
        <f>BDH("BBG01NMLGM01 Equity","PX_LAST,PX_VOLUME","1/1/2020","6/10/2026")</f>
        <v/>
      </c>
      <c r="AK3">
        <f>BDH("BBG01R5RWVT9 Equity","PX_LAST,PX_VOLUME","1/1/2020","6/10/2026")</f>
        <v/>
      </c>
      <c r="AO3">
        <f>BDH("BBG01NMLFK24 Equity","PX_LAST,PX_VOLUME","1/1/2020","6/10/2026")</f>
        <v/>
      </c>
      <c r="AS3">
        <f>BDH("BBG01R5RWX15 Equity","PX_LAST,PX_VOLUME","1/1/2020","6/10/2026")</f>
        <v/>
      </c>
      <c r="AW3">
        <f>BDH("BBG01NMLFHB1 Equity","PX_LAST,PX_VOLUME","1/1/2020","6/10/2026")</f>
        <v/>
      </c>
      <c r="BA3">
        <f>BDH("BBG01R5RYJ32 Equity","PX_LAST,PX_VOLUME","1/1/2020","6/10/2026")</f>
        <v/>
      </c>
      <c r="BE3">
        <f>BDH("BBG01NMLFGR6 Equity","PX_LAST,PX_VOLUME","1/1/2020","6/10/2026")</f>
        <v/>
      </c>
      <c r="BI3">
        <f>BDH("BBG01R5RX374 Equity","PX_LAST,PX_VOLUME","1/1/2020","6/10/2026")</f>
        <v/>
      </c>
      <c r="BM3">
        <f>BDH("BBG01NMLFW46 Equity","PX_LAST,PX_VOLUME","1/1/2020","6/10/2026")</f>
        <v/>
      </c>
      <c r="BQ3">
        <f>BDH("BBG01R5RX2M9 Equity","PX_LAST,PX_VOLUME","1/1/2020","6/10/2026")</f>
        <v/>
      </c>
      <c r="BU3">
        <f>BDH("BBG01NMLFWQ2 Equity","PX_LAST,PX_VOLUME","1/1/2020","6/10/2026")</f>
        <v/>
      </c>
      <c r="BY3">
        <f>BDH("BBG01R5RXYV9 Equity","PX_LAST,PX_VOLUME","1/1/2020","6/10/2026")</f>
        <v/>
      </c>
      <c r="CC3">
        <f>BDH("BBG01NMLFCN9 Equity","PX_LAST,PX_VOLUME","1/1/2020","6/10/2026")</f>
        <v/>
      </c>
      <c r="CG3">
        <f>BDH("BBG01R5RWV64 Equity","PX_LAST,PX_VOLUME","1/1/2020","6/10/2026")</f>
        <v/>
      </c>
      <c r="CK3">
        <f>BDH("BBG01NMLG5Q0 Equity","PX_LAST,PX_VOLUME","1/1/2020","6/10/2026")</f>
        <v/>
      </c>
      <c r="CO3">
        <f>BDH("BBG01R5RWTL2 Equity","PX_LAST,PX_VOLUME","1/1/2020","6/10/2026")</f>
        <v/>
      </c>
      <c r="CS3">
        <f>BDH("BBG01NMLG4R2 Equity","PX_LAST,PX_VOLUME","1/1/2020","6/10/2026")</f>
        <v/>
      </c>
      <c r="CW3">
        <f>BDH("BBG01R5RYJQ7 Equity","PX_LAST,PX_VOLUME","1/1/2020","6/10/2026")</f>
        <v/>
      </c>
      <c r="DA3">
        <f>BDH("BBG01NMLG2S5 Equity","PX_LAST,PX_VOLUME","1/1/2020","6/10/2026")</f>
        <v/>
      </c>
      <c r="DE3">
        <f>BDH("BBG01R5RYKB0 Equity","PX_LAST,PX_VOLUME","1/1/2020","6/10/2026")</f>
        <v/>
      </c>
      <c r="DI3">
        <f>BDH("BBG01NMLFM66 Equity","PX_LAST,PX_VOLUME","1/1/2020","6/10/2026")</f>
        <v/>
      </c>
      <c r="DM3">
        <f>BDH("BBG01R5RYHH1 Equity","PX_LAST,PX_VOLUME","1/1/2020","6/10/2026")</f>
        <v/>
      </c>
      <c r="DQ3">
        <f>BDH("BBG01NMLGS35 Equity","PX_LAST,PX_VOLUME","1/1/2020","6/10/2026")</f>
        <v/>
      </c>
      <c r="DU3">
        <f>BDH("BBG01R5RY8L6 Equity","PX_LAST,PX_VOLUME","1/1/2020","6/10/2026")</f>
        <v/>
      </c>
      <c r="DY3">
        <f>BDH("BBG01NQ1LS75 Equity","PX_LAST,PX_VOLUME","1/1/2020","6/10/2026")</f>
        <v/>
      </c>
      <c r="EC3">
        <f>BDH("BBG01R5RX203 Equity","PX_LAST,PX_VOLUME","1/1/2020","6/10/2026")</f>
        <v/>
      </c>
      <c r="EG3">
        <f>BDH("BBG01NQ1JWZ8 Equity","PX_LAST,PX_VOLUME","1/1/2020","6/10/2026")</f>
        <v/>
      </c>
      <c r="EK3">
        <f>BDH("BBG01R5RY961 Equity","PX_LAST,PX_VOLUME","1/1/2020","6/10/2026")</f>
        <v/>
      </c>
      <c r="EO3">
        <f>BDH("BBG01NQ1LRN9 Equity","PX_LAST,PX_VOLUME","1/1/2020","6/10/2026")</f>
        <v/>
      </c>
      <c r="ES3">
        <f>BDH("BBG01R5RXB49 Equity","PX_LAST,PX_VOLUME","1/1/2020","6/10/2026")</f>
        <v/>
      </c>
      <c r="EW3">
        <f>BDH("BBG01NQ1LXJ1 Equity","PX_LAST,PX_VOLUME","1/1/2020","6/10/2026")</f>
        <v/>
      </c>
      <c r="FA3">
        <f>BDH("BBG01R5RYKY5 Equity","PX_LAST,PX_VOLUME","1/1/2020","6/10/2026")</f>
        <v/>
      </c>
      <c r="FE3">
        <f>BDH("BBG01NQ1LR22 Equity","PX_LAST,PX_VOLUME","1/1/2020","6/10/2026")</f>
        <v/>
      </c>
      <c r="FI3">
        <f>BDH("BBG01R5RXGJ2 Equity","PX_LAST,PX_VOLUME","1/1/2020","6/10/2026")</f>
        <v/>
      </c>
      <c r="FM3">
        <f>BDH("BBG01NQ1LPX2 Equity","PX_LAST,PX_VOLUME","1/1/2020","6/10/2026")</f>
        <v/>
      </c>
      <c r="FQ3">
        <f>BDH("BBG01L59BVD2 Equity","PX_LAST,PX_VOLUME","1/1/2020","6/10/2026")</f>
        <v/>
      </c>
      <c r="FU3">
        <f>BDH("BBG01L59BWK2 Equity","PX_LAST,PX_VOLUME","1/1/2020","6/10/2026")</f>
        <v/>
      </c>
      <c r="FY3">
        <f>BDH("BBG01L59BXQ4 Equity","PX_LAST,PX_VOLUME","1/1/2020","6/10/2026")</f>
        <v/>
      </c>
      <c r="GC3">
        <f>BDH("BBG01L59BYX4 Equity","PX_LAST,PX_VOLUME","1/1/2020","6/10/2026")</f>
        <v/>
      </c>
      <c r="GG3">
        <f>BDH("BBG01L59C021 Equity","PX_LAST,PX_VOLUME","1/1/2020","6/10/2026")</f>
        <v/>
      </c>
      <c r="GK3">
        <f>BDH("BBG01L59C174 Equity","PX_LAST,PX_VOLUME","1/1/2020","6/10/2026")</f>
        <v/>
      </c>
      <c r="GO3">
        <f>BDH("BBG01L59C2F3 Equity","PX_LAST,PX_VOLUME","1/1/2020","6/10/2026")</f>
        <v/>
      </c>
      <c r="GS3">
        <f>BDH("BBG01L59C3L4 Equity","PX_LAST,PX_VOLUME","1/1/2020","6/10/2026")</f>
        <v/>
      </c>
      <c r="GW3">
        <f>BDH("BBG01L59C4R6 Equity","PX_LAST,PX_VOLUME","1/1/2020","6/10/2026")</f>
        <v/>
      </c>
      <c r="HA3">
        <f>BDH("BBG01L59C5Y5 Equity","PX_LAST,PX_VOLUME","1/1/2020","6/10/2026")</f>
        <v/>
      </c>
      <c r="HE3">
        <f>BDH("BBG01L59C735 Equity","PX_LAST,PX_VOLUME","1/1/2020","6/10/2026")</f>
        <v/>
      </c>
      <c r="HI3">
        <f>BDH("BBG01L59C897 Equity","PX_LAST,PX_VOLUME","1/1/2020","6/10/2026")</f>
        <v/>
      </c>
      <c r="HM3">
        <f>BDH("BBG01L59C9G7 Equity","PX_LAST,PX_VOLUME","1/1/2020","6/10/2026")</f>
        <v/>
      </c>
      <c r="HQ3">
        <f>BDH("BBG01L59CBM5 Equity","PX_LAST,PX_VOLUME","1/1/2020","6/10/2026")</f>
        <v/>
      </c>
      <c r="HU3">
        <f>BDH("BBG01L59CCT6 Equity","PX_LAST,PX_VOLUME","1/1/2020","6/10/2026")</f>
        <v/>
      </c>
      <c r="HY3">
        <f>BDH("BBG01L59CDZ7 Equity","PX_LAST,PX_VOLUME","1/1/2020","6/10/2026")</f>
        <v/>
      </c>
      <c r="IC3">
        <f>BDH("BBG01L59CG44 Equity","PX_LAST,PX_VOLUME","1/1/2020","6/10/2026")</f>
        <v/>
      </c>
      <c r="IG3">
        <f>BDH("BBG01L59CHB4 Equity","PX_LAST,PX_VOLUME","1/1/2020","6/10/2026")</f>
        <v/>
      </c>
      <c r="IK3">
        <f>BDH("BBG01L59CJH4 Equity","PX_LAST,PX_VOLUME","1/1/2020","6/10/2026")</f>
        <v/>
      </c>
      <c r="IO3">
        <f>BDH("BBG01L59CKN4 Equity","PX_LAST,PX_VOLUME","1/1/2020","6/10/2026")</f>
        <v/>
      </c>
      <c r="IS3">
        <f>BDH("BBG01L59CLV3 Equity","PX_LAST,PX_VOLUME","1/1/2020","6/10/2026")</f>
        <v/>
      </c>
      <c r="IW3">
        <f>BDH("BBG01L59CN03 Equity","PX_LAST,PX_VOLUME","1/1/2020","6/10/2026")</f>
        <v/>
      </c>
      <c r="JA3">
        <f>BDH("BBG01L59CP62 Equity","PX_LAST,PX_VOLUME","1/1/2020","6/10/2026")</f>
        <v/>
      </c>
      <c r="JE3">
        <f>BDH("BBG01L59CQC3 Equity","PX_LAST,PX_VOLUME","1/1/2020","6/10/2026")</f>
        <v/>
      </c>
      <c r="JI3">
        <f>BDH("BBG01L59CRJ4 Equity","PX_LAST,PX_VOLUME","1/1/2020","6/10/2026")</f>
        <v/>
      </c>
      <c r="JM3">
        <f>BDH("BBG01L59CSQ4 Equity","PX_LAST,PX_VOLUME","1/1/2020","6/10/2026")</f>
        <v/>
      </c>
      <c r="JQ3">
        <f>BDH("BBG01L59CTW5 Equity","PX_LAST,PX_VOLUME","1/1/2020","6/10/2026")</f>
        <v/>
      </c>
      <c r="JU3">
        <f>BDH("BBG01L59CW12 Equity","PX_LAST,PX_VOLUME","1/1/2020","6/10/2026")</f>
        <v/>
      </c>
      <c r="JY3">
        <f>BDH("BBG01L59CX74 Equity","PX_LAST,PX_VOLUME","1/1/2020","6/10/2026")</f>
        <v/>
      </c>
      <c r="KC3">
        <f>BDH("BBG01L59CYD5 Equity","PX_LAST,PX_VOLUME","1/1/2020","6/10/2026")</f>
        <v/>
      </c>
      <c r="KG3">
        <f>BDH("BBG01L59CZK4 Equity","PX_LAST,PX_VOLUME","1/1/2020","6/10/2026")</f>
        <v/>
      </c>
      <c r="KK3">
        <f>BDH("BBG01L59D0R3 Equity","PX_LAST,PX_VOLUME","1/1/2020","6/10/2026")</f>
        <v/>
      </c>
      <c r="KO3">
        <f>BDH("BBG01L59D1X4 Equity","PX_LAST,PX_VOLUME","1/1/2020","6/10/2026")</f>
        <v/>
      </c>
      <c r="KS3">
        <f>BDH("BBG01L59D333 Equity","PX_LAST,PX_VOLUME","1/1/2020","6/10/2026")</f>
        <v/>
      </c>
      <c r="KW3">
        <f>BDH("BBG01L59D486 Equity","PX_LAST,PX_VOLUME","1/1/2020","6/10/2026")</f>
        <v/>
      </c>
      <c r="LA3">
        <f>BDH("BBG01L59D5F5 Equity","PX_LAST,PX_VOLUME","1/1/2020","6/10/2026")</f>
        <v/>
      </c>
      <c r="LE3">
        <f>BDH("BBG01L59D6M5 Equity","PX_LAST,PX_VOLUME","1/1/2020","6/10/2026")</f>
        <v/>
      </c>
      <c r="LI3">
        <f>BDH("BBG01L59D7S7 Equity","PX_LAST,PX_VOLUME","1/1/2020","6/10/2026")</f>
        <v/>
      </c>
      <c r="LM3">
        <f>BDH("BBG01L59D8Y8 Equity","PX_LAST,PX_VOLUME","1/1/2020","6/10/2026")</f>
        <v/>
      </c>
      <c r="LQ3">
        <f>BDH("BBG01L59DB53 Equity","PX_LAST,PX_VOLUME","1/1/2020","6/10/2026")</f>
        <v/>
      </c>
      <c r="LU3">
        <f>BDH("BBG01L59DCB4 Equity","PX_LAST,PX_VOLUME","1/1/2020","6/10/2026")</f>
        <v/>
      </c>
      <c r="LY3">
        <f>BDH("BBG01L59DDH6 Equity","PX_LAST,PX_VOLUME","1/1/2020","6/10/2026")</f>
        <v/>
      </c>
      <c r="MC3">
        <f>BDH("BBG01L59DFQ1 Equity","PX_LAST,PX_VOLUME","1/1/2020","6/10/2026")</f>
        <v/>
      </c>
      <c r="MG3">
        <f>BDH("BBG01L59DGW2 Equity","PX_LAST,PX_VOLUME","1/1/2020","6/10/2026")</f>
        <v/>
      </c>
      <c r="MK3">
        <f>BDH("BBG01L59DJ29 Equity","PX_LAST,PX_VOLUME","1/1/2020","6/10/2026")</f>
        <v/>
      </c>
      <c r="MO3">
        <f>BDH("BBG01L59DK71 Equity","PX_LAST,PX_VOLUME","1/1/2020","6/10/2026")</f>
        <v/>
      </c>
      <c r="MS3">
        <f>BDH("BBG01NMLGH11 Equity","PX_LAST,PX_VOLUME","1/1/2020","6/10/2026")</f>
        <v/>
      </c>
      <c r="MW3">
        <f>BDH("BBG01RJGMVH2 Equity","PX_LAST,PX_VOLUME","1/1/2020","6/10/2026")</f>
        <v/>
      </c>
      <c r="NA3">
        <f>BDH("BBG01NMLGJ62 Equity","PX_LAST,PX_VOLUME","1/1/2020","6/10/2026")</f>
        <v/>
      </c>
      <c r="NE3">
        <f>BDH("BBG01RJGMT87 Equity","PX_LAST,PX_VOLUME","1/1/2020","6/10/2026")</f>
        <v/>
      </c>
      <c r="NI3">
        <f>BDH("BBG01NMLGHM8 Equity","PX_LAST,PX_VOLUME","1/1/2020","6/10/2026")</f>
        <v/>
      </c>
      <c r="NM3">
        <f>BDH("BBG01RJGLRC7 Equity","PX_LAST,PX_VOLUME","1/1/2020","6/10/2026")</f>
        <v/>
      </c>
      <c r="NQ3">
        <f>BDH("BBG01NP3CCR5 Equity","PX_LAST,PX_VOLUME","1/1/2020","6/10/2026")</f>
        <v/>
      </c>
      <c r="NU3">
        <f>BDH("BBG01RJGMTW0 Equity","PX_LAST,PX_VOLUME","1/1/2020","6/10/2026")</f>
        <v/>
      </c>
      <c r="NY3">
        <f>BDH("BBG01NP3CFH9 Equity","PX_LAST,PX_VOLUME","1/1/2020","6/10/2026")</f>
        <v/>
      </c>
      <c r="OC3">
        <f>BDH("BBG01RJGL7H6 Equity","PX_LAST,PX_VOLUME","1/1/2020","6/10/2026")</f>
        <v/>
      </c>
      <c r="OG3">
        <f>BDH("BBG01NP3CDB0 Equity","PX_LAST,PX_VOLUME","1/1/2020","6/10/2026")</f>
        <v/>
      </c>
      <c r="OK3">
        <f>BDH("BBG01RJGL688 Equity","PX_LAST,PX_VOLUME","1/1/2020","6/10/2026")</f>
        <v/>
      </c>
      <c r="OO3">
        <f>BDH("BBG01NP3CDX6 Equity","PX_LAST,PX_VOLUME","1/1/2020","6/10/2026")</f>
        <v/>
      </c>
      <c r="OS3">
        <f>BDH("BBG01RJGLLD9 Equity","PX_LAST,PX_VOLUME","1/1/2020","6/10/2026")</f>
        <v/>
      </c>
      <c r="OW3">
        <f>BDH("BBG01NQ1KV15 Equity","PX_LAST,PX_VOLUME","1/1/2020","6/10/2026")</f>
        <v/>
      </c>
      <c r="PA3">
        <f>BDH("BBG01RJGLM01 Equity","PX_LAST,PX_VOLUME","1/1/2020","6/10/2026")</f>
        <v/>
      </c>
      <c r="PE3">
        <f>BDH("BBG01NQ1KSW8 Equity","PX_LAST,PX_VOLUME","1/1/2020","6/10/2026")</f>
        <v/>
      </c>
      <c r="PI3">
        <f>BDH("BBG01PH6TGY7 Equity","PX_LAST,PX_VOLUME","1/1/2020","6/10/2026")</f>
        <v/>
      </c>
      <c r="PM3">
        <f>BDH("BBG01T1K5W03 Equity","PX_LAST,PX_VOLUME","1/1/2020","6/10/2026")</f>
        <v/>
      </c>
      <c r="PQ3">
        <f>BDH("BBG01PH6SRV7 Equity","PX_LAST,PX_VOLUME","1/1/2020","6/10/2026")</f>
        <v/>
      </c>
      <c r="PU3">
        <f>BDH("BBG01T1K7GN1 Equity","PX_LAST,PX_VOLUME","1/1/2020","6/10/2026")</f>
        <v/>
      </c>
      <c r="PY3">
        <f>BDH("BBG01PH6S0S0 Equity","PX_LAST,PX_VOLUME","1/1/2020","6/10/2026")</f>
        <v/>
      </c>
      <c r="QC3">
        <f>BDH("BBG01T1K7G15 Equity","PX_LAST,PX_VOLUME","1/1/2020","6/10/2026")</f>
        <v/>
      </c>
      <c r="QG3">
        <f>BDH("BBG01PH6S4S2 Equity","PX_LAST,PX_VOLUME","1/1/2020","6/10/2026")</f>
        <v/>
      </c>
      <c r="QK3">
        <f>BDH("BBG01T1K6SC8 Equity","PX_LAST,PX_VOLUME","1/1/2020","6/10/2026")</f>
        <v/>
      </c>
      <c r="QO3">
        <f>BDH("BBG01PH6TGC1 Equity","PX_LAST,PX_VOLUME","1/1/2020","6/10/2026")</f>
        <v/>
      </c>
      <c r="QS3">
        <f>BDH("BBG01T1K6TL6 Equity","PX_LAST,PX_VOLUME","1/1/2020","6/10/2026")</f>
        <v/>
      </c>
      <c r="QW3">
        <f>BDH("BBG01PH6SD48 Equity","PX_LAST,PX_VOLUME","1/1/2020","6/10/2026")</f>
        <v/>
      </c>
      <c r="RA3">
        <f>BDH("BBG01T1K7HW9 Equity","PX_LAST,PX_VOLUME","1/1/2020","6/10/2026")</f>
        <v/>
      </c>
      <c r="RE3">
        <f>BDH("BBG01PH6S313 Equity","PX_LAST,PX_VOLUME","1/1/2020","6/10/2026")</f>
        <v/>
      </c>
      <c r="RI3">
        <f>BDH("BBG01T1K7P15 Equity","PX_LAST,PX_VOLUME","1/1/2020","6/10/2026")</f>
        <v/>
      </c>
      <c r="RM3">
        <f>BDH("BBG01PH6T161 Equity","PX_LAST,PX_VOLUME","1/1/2020","6/10/2026")</f>
        <v/>
      </c>
      <c r="RQ3">
        <f>BDH("BBG01T1K6RR4 Equity","PX_LAST,PX_VOLUME","1/1/2020","6/10/2026")</f>
        <v/>
      </c>
      <c r="RU3">
        <f>BDH("BBG01PH6SDY5 Equity","PX_LAST,PX_VOLUME","1/1/2020","6/10/2026")</f>
        <v/>
      </c>
      <c r="RY3">
        <f>BDH("BBG01T1K6SZ3 Equity","PX_LAST,PX_VOLUME","1/1/2020","6/10/2026")</f>
        <v/>
      </c>
      <c r="SC3">
        <f>BDH("BBG01PH6SY60 Equity","PX_LAST,PX_VOLUME","1/1/2020","6/10/2026")</f>
        <v/>
      </c>
      <c r="SG3">
        <f>BDH("BBG01T1K7H86 Equity","PX_LAST,PX_VOLUME","1/1/2020","6/10/2026")</f>
        <v/>
      </c>
      <c r="SK3">
        <f>BDH("BBG01PH6SFJ7 Equity","PX_LAST,PX_VOLUME","1/1/2020","6/10/2026")</f>
        <v/>
      </c>
      <c r="SO3">
        <f>BDH("BBG01T5R5SG6 Equity","PX_LAST,PX_VOLUME","1/1/2020","6/10/2026")</f>
        <v/>
      </c>
      <c r="SS3">
        <f>BDH("BBG01PH6SYS6 Equity","PX_LAST,PX_VOLUME","1/1/2020","6/10/2026")</f>
        <v/>
      </c>
      <c r="SW3">
        <f>BDH("BBG01T5R6D23 Equity","PX_LAST,PX_VOLUME","1/1/2020","6/10/2026")</f>
        <v/>
      </c>
      <c r="TA3">
        <f>BDH("BBG01PH6RVJ3 Equity","PX_LAST,PX_VOLUME","1/1/2020","6/10/2026")</f>
        <v/>
      </c>
      <c r="TE3">
        <f>BDH("BBG01T5R5RV1 Equity","PX_LAST,PX_VOLUME","1/1/2020","6/10/2026")</f>
        <v/>
      </c>
      <c r="TI3">
        <f>BDH("BBG01PH6SCK2 Equity","PX_LAST,PX_VOLUME","1/1/2020","6/10/2026")</f>
        <v/>
      </c>
      <c r="TM3">
        <f>BDH("BBG01T5R6CG0 Equity","PX_LAST,PX_VOLUME","1/1/2020","6/10/2026")</f>
        <v/>
      </c>
      <c r="TQ3">
        <f>BDH("BBG01PH6RRN7 Equity","PX_LAST,PX_VOLUME","1/1/2020","6/10/2026")</f>
        <v/>
      </c>
      <c r="TU3">
        <f>BDH("BBG01T5R6VJ5 Equity","PX_LAST,PX_VOLUME","1/1/2020","6/10/2026")</f>
        <v/>
      </c>
      <c r="TY3">
        <f>BDH("BBG01PH6T1S7 Equity","PX_LAST,PX_VOLUME","1/1/2020","6/10/2026")</f>
        <v/>
      </c>
      <c r="UC3">
        <f>BDH("BBG01T5R77K5 Equity","PX_LAST,PX_VOLUME","1/1/2020","6/10/2026")</f>
        <v/>
      </c>
      <c r="UG3">
        <f>BDH("BBG01PH6S7L2 Equity","PX_LAST,PX_VOLUME","1/1/2020","6/10/2026")</f>
        <v/>
      </c>
      <c r="UK3">
        <f>BDH("BBG01T5R72D4 Equity","PX_LAST,PX_VOLUME","1/1/2020","6/10/2026")</f>
        <v/>
      </c>
      <c r="UO3">
        <f>BDH("BBG01PH6S3M0 Equity","PX_LAST,PX_VOLUME","1/1/2020","6/10/2026")</f>
        <v/>
      </c>
      <c r="US3">
        <f>BDH("BBG01T5R6F91 Equity","PX_LAST,PX_VOLUME","1/1/2020","6/10/2026")</f>
        <v/>
      </c>
      <c r="UW3">
        <f>BDH("BBG01PH6T857 Equity","PX_LAST,PX_VOLUME","1/1/2020","6/10/2026")</f>
        <v/>
      </c>
      <c r="VA3">
        <f>BDH("BBG01T5R6JM8 Equity","PX_LAST,PX_VOLUME","1/1/2020","6/10/2026")</f>
        <v/>
      </c>
      <c r="VE3">
        <f>BDH("BBG01PH6SDC9 Equity","PX_LAST,PX_VOLUME","1/1/2020","6/10/2026")</f>
        <v/>
      </c>
      <c r="VI3">
        <f>BDH("BBG01T5R6J02 Equity","PX_LAST,PX_VOLUME","1/1/2020","6/10/2026")</f>
        <v/>
      </c>
      <c r="VM3">
        <f>BDH("BBG01PH6T4M7 Equity","PX_LAST,PX_VOLUME","1/1/2020","6/10/2026")</f>
        <v/>
      </c>
      <c r="VQ3">
        <f>BDH("BBG01T5R75Q3 Equity","PX_LAST,PX_VOLUME","1/1/2020","6/10/2026")</f>
        <v/>
      </c>
      <c r="VU3">
        <f>BDH("BBG01PH6RWK9 Equity","PX_LAST,PX_VOLUME","1/1/2020","6/10/2026")</f>
        <v/>
      </c>
      <c r="VY3">
        <f>BDH("BBG01T5R6W49 Equity","PX_LAST,PX_VOLUME","1/1/2020","6/10/2026")</f>
        <v/>
      </c>
      <c r="WC3">
        <f>BDH("BBG01PH6T2Y8 Equity","PX_LAST,PX_VOLUME","1/1/2020","6/10/2026")</f>
        <v/>
      </c>
      <c r="WG3">
        <f>BDH("BBG01T5R6DP8 Equity","PX_LAST,PX_VOLUME","1/1/2020","6/10/2026")</f>
        <v/>
      </c>
      <c r="WK3">
        <f>BDH("BBG01PH6SBM2 Equity","PX_LAST,PX_VOLUME","1/1/2020","6/10/2026")</f>
        <v/>
      </c>
      <c r="WO3">
        <f>BDH("BBG01PH6T410 Equity","PX_LAST,PX_VOLUME","1/1/2020","6/10/2026")</f>
        <v/>
      </c>
      <c r="WS3">
        <f>BDH("BBG01PH6S9G4 Equity","PX_LAST,PX_VOLUME","1/1/2020","6/10/2026")</f>
        <v/>
      </c>
      <c r="WW3">
        <f>BDH("BBG01PH6T2C2 Equity","PX_LAST,PX_VOLUME","1/1/2020","6/10/2026")</f>
        <v/>
      </c>
      <c r="XA3">
        <f>BDH("BBG01PH6RQH6 Equity","PX_LAST,PX_VOLUME","1/1/2020","6/10/2026")</f>
        <v/>
      </c>
      <c r="XE3">
        <f>BDH("BBG01PH6SJV5 Equity","PX_LAST,PX_VOLUME","1/1/2020","6/10/2026")</f>
        <v/>
      </c>
      <c r="XI3">
        <f>BDH("BBG01PH6SB15 Equity","PX_LAST,PX_VOLUME","1/1/2020","6/10/2026")</f>
        <v/>
      </c>
      <c r="XM3">
        <f>BDH("BBG01PH6T562 Equity","PX_LAST,PX_VOLUME","1/1/2020","6/10/2026")</f>
        <v/>
      </c>
      <c r="XQ3">
        <f>BDH("BBG01PH6RN10 Equity","PX_LAST,PX_VOLUME","1/1/2020","6/10/2026")</f>
        <v/>
      </c>
      <c r="XU3">
        <f>BDH("BBG01PH6SL04 Equity","PX_LAST,PX_VOLUME","1/1/2020","6/10/2026")</f>
        <v/>
      </c>
      <c r="XY3">
        <f>BDH("BBG01PH6S6F1 Equity","PX_LAST,PX_VOLUME","1/1/2020","6/10/2026")</f>
        <v/>
      </c>
      <c r="YC3">
        <f>BDH("BBG01PH6S8K1 Equity","PX_LAST,PX_VOLUME","1/1/2020","6/10/2026")</f>
        <v/>
      </c>
      <c r="YG3">
        <f>BDH("BBG01PH6S5V5 Equity","PX_LAST,PX_VOLUME","1/1/2020","6/10/2026")</f>
        <v/>
      </c>
      <c r="YK3">
        <f>BDH("BBG01PH6SXM4 Equity","PX_LAST,PX_VOLUME","1/1/2020","6/10/2026")</f>
        <v/>
      </c>
      <c r="YO3">
        <f>BDH("BBG01PH6T5S8 Equity","PX_LAST,PX_VOLUME","1/1/2020","6/10/2026")</f>
        <v/>
      </c>
      <c r="YS3">
        <f>BDH("BBG01PH6RY98 Equity","PX_LAST,PX_VOLUME","1/1/2020","6/10/2026")</f>
        <v/>
      </c>
      <c r="YW3">
        <f>BDH("BBG01PH6SKF0 Equity","PX_LAST,PX_VOLUME","1/1/2020","6/10/2026")</f>
        <v/>
      </c>
      <c r="ZA3">
        <f>BDH("BBG01PH6RX45 Equity","PX_LAST,PX_VOLUME","1/1/2020","6/10/2026")</f>
        <v/>
      </c>
      <c r="ZE3">
        <f>BDH("BBG01PH6T6C3 Equity","PX_LAST,PX_VOLUME","1/1/2020","6/10/2026")</f>
        <v/>
      </c>
      <c r="ZI3">
        <f>BDH("BBG01PH6RXQ1 Equity","PX_LAST,PX_VOLUME","1/1/2020","6/10/2026")</f>
        <v/>
      </c>
      <c r="ZM3">
        <f>BDH("BBG01PH6SLL1 Equity","PX_LAST,PX_VOLUME","1/1/2020","6/10/2026")</f>
        <v/>
      </c>
      <c r="ZQ3">
        <f>BDH("BBG01PH6SG32 Equity","PX_LAST,PX_VOLUME","1/1/2020","6/10/2026")</f>
        <v/>
      </c>
      <c r="ZU3">
        <f>BDH("BBG01Q04KYK3 Equity","PX_LAST,PX_VOLUME","1/1/2020","6/10/2026")</f>
        <v/>
      </c>
      <c r="ZY3">
        <f>BDH("BBG01RWRV6L3 Equity","PX_LAST,PX_VOLUME","1/1/2020","6/10/2026")</f>
        <v/>
      </c>
      <c r="AAC3">
        <f>BDH("BBG01Q04KGH6 Equity","PX_LAST,PX_VOLUME","1/1/2020","6/10/2026")</f>
        <v/>
      </c>
      <c r="AAG3">
        <f>BDH("BBG01RWRV465 Equity","PX_LAST,PX_VOLUME","1/1/2020","6/10/2026")</f>
        <v/>
      </c>
      <c r="AAK3">
        <f>BDH("BBG01Q04KN81 Equity","PX_LAST,PX_VOLUME","1/1/2020","6/10/2026")</f>
        <v/>
      </c>
      <c r="AAO3">
        <f>BDH("BBG01RWRTBR9 Equity","PX_LAST,PX_VOLUME","1/1/2020","6/10/2026")</f>
        <v/>
      </c>
      <c r="AAS3">
        <f>BDH("BBG01Q04KFW1 Equity","PX_LAST,PX_VOLUME","1/1/2020","6/10/2026")</f>
        <v/>
      </c>
      <c r="AAW3">
        <f>BDH("BBG01RWRTJC8 Equity","PX_LAST,PX_VOLUME","1/1/2020","6/10/2026")</f>
        <v/>
      </c>
      <c r="ABA3">
        <f>BDH("BBG01Q04KXY0 Equity","PX_LAST,PX_VOLUME","1/1/2020","6/10/2026")</f>
        <v/>
      </c>
      <c r="ABE3">
        <f>BDH("BBG01RWRTKL5 Equity","PX_LAST,PX_VOLUME","1/1/2020","6/10/2026")</f>
        <v/>
      </c>
      <c r="ABI3">
        <f>BDH("BBG01Q04KH39 Equity","PX_LAST,PX_VOLUME","1/1/2020","6/10/2026")</f>
        <v/>
      </c>
      <c r="ABM3">
        <f>BDH("BBG01RWRTWZ4 Equity","PX_LAST,PX_VOLUME","1/1/2020","6/10/2026")</f>
        <v/>
      </c>
      <c r="ABQ3">
        <f>BDH("BBG01Q04KNW4 Equity","PX_LAST,PX_VOLUME","1/1/2020","6/10/2026")</f>
        <v/>
      </c>
      <c r="ABU3">
        <f>BDH("BBG01RWRTCY9 Equity","PX_LAST,PX_VOLUME","1/1/2020","6/10/2026")</f>
        <v/>
      </c>
      <c r="ABY3">
        <f>BDH("BBG01Q2ZB767 Equity","PX_LAST,PX_VOLUME","1/1/2020","6/10/2026")</f>
        <v/>
      </c>
      <c r="ACC3">
        <f>BDH("BBG01RWRTDK2 Equity","PX_LAST,PX_VOLUME","1/1/2020","6/10/2026")</f>
        <v/>
      </c>
      <c r="ACG3">
        <f>BDH("BBG01Q2ZB7T2 Equity","PX_LAST,PX_VOLUME","1/1/2020","6/10/2026")</f>
        <v/>
      </c>
      <c r="ACK3">
        <f>BDH("BBG01Q8TQ7G8 Equity","PX_LAST,PX_VOLUME","1/1/2020","6/10/2026")</f>
        <v/>
      </c>
      <c r="ACO3">
        <f>BDH("BBG01Q8TQHW8 Equity","PX_LAST,PX_VOLUME","1/1/2020","6/10/2026")</f>
        <v/>
      </c>
      <c r="ACS3">
        <f>BDH("BBG01Q8TR2W0 Equity","PX_LAST,PX_VOLUME","1/1/2020","6/10/2026")</f>
        <v/>
      </c>
      <c r="ACW3">
        <f>BDH("BBG01Q8TQ0T9 Equity","PX_LAST,PX_VOLUME","1/1/2020","6/10/2026")</f>
        <v/>
      </c>
      <c r="ADA3">
        <f>BDH("BBG01Q8TQ545 Equity","PX_LAST,PX_VOLUME","1/1/2020","6/10/2026")</f>
        <v/>
      </c>
      <c r="ADE3">
        <f>BDH("BBG01Q8TPC32 Equity","PX_LAST,PX_VOLUME","1/1/2020","6/10/2026")</f>
        <v/>
      </c>
      <c r="ADI3">
        <f>BDH("BBG01Q8TR3H5 Equity","PX_LAST,PX_VOLUME","1/1/2020","6/10/2026")</f>
        <v/>
      </c>
      <c r="ADM3">
        <f>BDH("BBG01Q8TQ215 Equity","PX_LAST,PX_VOLUME","1/1/2020","6/10/2026")</f>
        <v/>
      </c>
      <c r="ADQ3">
        <f>BDH("BBG01Q8TQ821 Equity","PX_LAST,PX_VOLUME","1/1/2020","6/10/2026")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BBG01Q8TQH85 Equity (TSLA US 05/16/25 P260)</t>
        </is>
      </c>
      <c r="E1" t="inlineStr">
        <is>
          <t>BBG01Q8TQNX4 Equity (TSLA US 05/16/25 P265)</t>
        </is>
      </c>
      <c r="I1" t="inlineStr">
        <is>
          <t>BBG01Q8TQ9Y4 Equity (TSLA US 05/16/25 P270)</t>
        </is>
      </c>
      <c r="M1" t="inlineStr">
        <is>
          <t>BBG01Q8TPZB2 Equity (TSLA US 05/16/25 P275)</t>
        </is>
      </c>
      <c r="Q1" t="inlineStr">
        <is>
          <t>BBG01Q8TPKS7 Equity (TSLA US 05/16/25 P280)</t>
        </is>
      </c>
      <c r="U1" t="inlineStr">
        <is>
          <t>BBG01Q8TQDN7 Equity (TSLA US 05/16/25 P285)</t>
        </is>
      </c>
      <c r="Y1" t="inlineStr">
        <is>
          <t>BBG01Q8TPWC8 Equity (TSLA US 05/16/25 P290)</t>
        </is>
      </c>
      <c r="AC1" t="inlineStr">
        <is>
          <t>BBG01Q8TQ992 Equity (TSLA US 05/16/25 P295)</t>
        </is>
      </c>
      <c r="AG1" t="inlineStr">
        <is>
          <t>BBG01Q8TR1N2 Equity (TSLA US 05/16/25 P300)</t>
        </is>
      </c>
      <c r="AK1" t="inlineStr">
        <is>
          <t>BBG01Q8TPYQ9 Equity (TSLA US 05/16/25 P305)</t>
        </is>
      </c>
      <c r="AO1" t="inlineStr">
        <is>
          <t>BBG01Q8TQYB4 Equity (TSLA US 05/16/25 P310)</t>
        </is>
      </c>
      <c r="AS1" t="inlineStr">
        <is>
          <t>BBG01Q8TQBK4 Equity (TSLA US 05/16/25 P315)</t>
        </is>
      </c>
      <c r="AW1" t="inlineStr">
        <is>
          <t>BBG01Q8TQN91 Equity (TSLA US 05/16/25 P320)</t>
        </is>
      </c>
      <c r="BA1" t="inlineStr">
        <is>
          <t>BBG01Q8TPNL8 Equity (TSLA US 05/16/25 P325)</t>
        </is>
      </c>
      <c r="BE1" t="inlineStr">
        <is>
          <t>BBG01Q8TQMP5 Equity (TSLA US 05/16/25 P330)</t>
        </is>
      </c>
      <c r="BI1" t="inlineStr">
        <is>
          <t>BBG01Q8TPGJ6 Equity (TSLA US 05/16/25 P335)</t>
        </is>
      </c>
      <c r="BM1" t="inlineStr">
        <is>
          <t>BBG01Q8TR287 Equity (TSLA US 05/16/25 P340)</t>
        </is>
      </c>
      <c r="BQ1" t="inlineStr">
        <is>
          <t>BBG01Q8TQ3N9 Equity (TSLA US 05/16/25 P345)</t>
        </is>
      </c>
      <c r="BU1" t="inlineStr">
        <is>
          <t>BBG01Q8TQVP5 Equity (TSLA US 05/16/25 P350)</t>
        </is>
      </c>
      <c r="BY1" t="inlineStr">
        <is>
          <t>BBG01Q8TQ064 Equity (TSLA US 05/16/25 P355)</t>
        </is>
      </c>
      <c r="CC1" t="inlineStr">
        <is>
          <t>BBG01Q8TQ5R0 Equity (TSLA US 05/16/25 P360)</t>
        </is>
      </c>
      <c r="CG1" t="inlineStr">
        <is>
          <t>BBG01Q8TPHB2 Equity (TSLA US 05/16/25 P365)</t>
        </is>
      </c>
      <c r="CK1" t="inlineStr">
        <is>
          <t>BBG01Q8TQV20 Equity (TSLA US 05/16/25 P370)</t>
        </is>
      </c>
      <c r="CO1" t="inlineStr">
        <is>
          <t>BBG01Q8TPFX2 Equity (TSLA US 05/16/25 P375)</t>
        </is>
      </c>
      <c r="CS1" t="inlineStr">
        <is>
          <t>BBG01Q8TQ8P6 Equity (TSLA US 05/16/25 P380)</t>
        </is>
      </c>
      <c r="CW1" t="inlineStr">
        <is>
          <t>BBG01Q8TPJK8 Equity (TSLA US 05/16/25 P385)</t>
        </is>
      </c>
      <c r="DA1" t="inlineStr">
        <is>
          <t>BBG01Q8TQLK2 Equity (TSLA US 05/16/25 P390)</t>
        </is>
      </c>
      <c r="DE1" t="inlineStr">
        <is>
          <t>BBG01Q8TPK52 Equity (TSLA US 05/16/25 P395)</t>
        </is>
      </c>
      <c r="DI1" t="inlineStr">
        <is>
          <t>BBG01Q8TPHY7 Equity (TSLA US 05/16/25 P400)</t>
        </is>
      </c>
      <c r="DM1" t="inlineStr">
        <is>
          <t>BBG01SJQJTL2 Equity (TSLA US 05/16/25 P405)</t>
        </is>
      </c>
      <c r="DQ1" t="inlineStr">
        <is>
          <t>BBG01QJ26517 Equity (TSLA US 05/16/25 P410)</t>
        </is>
      </c>
      <c r="DU1" t="inlineStr">
        <is>
          <t>BBG01SJQKTH5 Equity (TSLA US 05/16/25 P415)</t>
        </is>
      </c>
      <c r="DY1" t="inlineStr">
        <is>
          <t>BBG01QJ27ZV7 Equity (TSLA US 05/16/25 P420)</t>
        </is>
      </c>
      <c r="EC1" t="inlineStr">
        <is>
          <t>BBG01SJQJQ01 Equity (TSLA US 05/16/25 P425)</t>
        </is>
      </c>
      <c r="EG1" t="inlineStr">
        <is>
          <t>BBG01QJ26919 Equity (TSLA US 05/16/25 P430)</t>
        </is>
      </c>
      <c r="EK1" t="inlineStr">
        <is>
          <t>BBG01SJQKNP9 Equity (TSLA US 05/16/25 P435)</t>
        </is>
      </c>
      <c r="EO1" t="inlineStr">
        <is>
          <t>BBG01QJ26768 Equity (TSLA US 05/16/25 P440)</t>
        </is>
      </c>
      <c r="ES1" t="inlineStr">
        <is>
          <t>BBG01SJQKPX5 Equity (TSLA US 05/16/25 P445)</t>
        </is>
      </c>
      <c r="EW1" t="inlineStr">
        <is>
          <t>BBG01QJ28908 Equity (TSLA US 05/16/25 P450)</t>
        </is>
      </c>
      <c r="FA1" t="inlineStr">
        <is>
          <t>BBG01SJQKP92 Equity (TSLA US 05/16/25 P455)</t>
        </is>
      </c>
      <c r="FE1" t="inlineStr">
        <is>
          <t>BBG01QJ267T3 Equity (TSLA US 05/16/25 P460)</t>
        </is>
      </c>
      <c r="FI1" t="inlineStr">
        <is>
          <t>BBG01SJQKSW0 Equity (TSLA US 05/16/25 P465)</t>
        </is>
      </c>
      <c r="FM1" t="inlineStr">
        <is>
          <t>BBG01QJ268F6 Equity (TSLA US 05/16/25 P470)</t>
        </is>
      </c>
      <c r="FQ1" t="inlineStr">
        <is>
          <t>BBG01SJQKQJ9 Equity (TSLA US 05/16/25 P475)</t>
        </is>
      </c>
      <c r="FU1" t="inlineStr">
        <is>
          <t>BBG01QJ264F5 Equity (TSLA US 05/16/25 P480)</t>
        </is>
      </c>
      <c r="FY1" t="inlineStr">
        <is>
          <t>BBG01SJQKS87 Equity (TSLA US 05/16/25 P485)</t>
        </is>
      </c>
      <c r="GC1" t="inlineStr">
        <is>
          <t>BBG01QJ27Z74 Equity (TSLA US 05/16/25 P490)</t>
        </is>
      </c>
      <c r="GG1" t="inlineStr">
        <is>
          <t>BBG01SJQKV35 Equity (TSLA US 05/16/25 P495)</t>
        </is>
      </c>
      <c r="GK1" t="inlineStr">
        <is>
          <t>BBG01QJ265N3 Equity (TSLA US 05/16/25 P500)</t>
        </is>
      </c>
      <c r="GO1" t="inlineStr">
        <is>
          <t>BBG01QJ26QB0 Equity (TSLA US 05/16/25 P510)</t>
        </is>
      </c>
      <c r="GS1" t="inlineStr">
        <is>
          <t>BBG01QJ26PQ6 Equity (TSLA US 05/16/25 P520)</t>
        </is>
      </c>
      <c r="GW1" t="inlineStr">
        <is>
          <t>BBG01C9S20N3 Equity (TSLA US 06/20/25 P215)</t>
        </is>
      </c>
      <c r="HA1" t="inlineStr">
        <is>
          <t>BBG01C9S21R7 Equity (TSLA US 06/20/25 P220)</t>
        </is>
      </c>
      <c r="HE1" t="inlineStr">
        <is>
          <t>BBG01C9S22W9 Equity (TSLA US 06/20/25 P225)</t>
        </is>
      </c>
      <c r="HI1" t="inlineStr">
        <is>
          <t>BBG01C9S23Z4 Equity (TSLA US 06/20/25 P230)</t>
        </is>
      </c>
      <c r="HM1" t="inlineStr">
        <is>
          <t>BBG01C9S2525 Equity (TSLA US 06/20/25 P235)</t>
        </is>
      </c>
      <c r="HQ1" t="inlineStr">
        <is>
          <t>BBG01C9S2669 Equity (TSLA US 06/20/25 P240)</t>
        </is>
      </c>
      <c r="HU1" t="inlineStr">
        <is>
          <t>BBG01QCZ6245 Equity (TSLA US 06/20/25 P245)</t>
        </is>
      </c>
      <c r="HY1" t="inlineStr">
        <is>
          <t>BBG01DJ4QJG4 Equity (TSLA US 06/20/25 P250)</t>
        </is>
      </c>
      <c r="IC1" t="inlineStr">
        <is>
          <t>BBG01QCZ63Z9 Equity (TSLA US 06/20/25 P255)</t>
        </is>
      </c>
      <c r="IG1" t="inlineStr">
        <is>
          <t>BBG01DJ4QKL5 Equity (TSLA US 06/20/25 P260)</t>
        </is>
      </c>
      <c r="IK1" t="inlineStr">
        <is>
          <t>BBG01QCZ63C4 Equity (TSLA US 06/20/25 P265)</t>
        </is>
      </c>
      <c r="IO1" t="inlineStr">
        <is>
          <t>BBG01DJ4QLP9 Equity (TSLA US 06/20/25 P270)</t>
        </is>
      </c>
      <c r="IS1" t="inlineStr">
        <is>
          <t>BBG01QCZ6C70 Equity (TSLA US 06/20/25 P275)</t>
        </is>
      </c>
      <c r="IW1" t="inlineStr">
        <is>
          <t>BBG01DJ4QMW9 Equity (TSLA US 06/20/25 P280)</t>
        </is>
      </c>
      <c r="JA1" t="inlineStr">
        <is>
          <t>BBG01QCZ6LY0 Equity (TSLA US 06/20/25 P285)</t>
        </is>
      </c>
      <c r="JE1" t="inlineStr">
        <is>
          <t>BBG01DJ4QNZ4 Equity (TSLA US 06/20/25 P290)</t>
        </is>
      </c>
      <c r="JI1" t="inlineStr">
        <is>
          <t>BBG01QCZ6LB5 Equity (TSLA US 06/20/25 P295)</t>
        </is>
      </c>
      <c r="JM1" t="inlineStr">
        <is>
          <t>BBG01DJ4QQ23 Equity (TSLA US 06/20/25 P300)</t>
        </is>
      </c>
      <c r="JQ1" t="inlineStr">
        <is>
          <t>BBG01QCZ4ZT7 Equity (TSLA US 06/20/25 P305)</t>
        </is>
      </c>
      <c r="JU1" t="inlineStr">
        <is>
          <t>BBG01DJ4QR67 Equity (TSLA US 06/20/25 P310)</t>
        </is>
      </c>
      <c r="JY1" t="inlineStr">
        <is>
          <t>BBG01QCZ62R0 Equity (TSLA US 06/20/25 P315)</t>
        </is>
      </c>
      <c r="KC1" t="inlineStr">
        <is>
          <t>BBG01DJ4QS92 Equity (TSLA US 06/20/25 P320)</t>
        </is>
      </c>
      <c r="KG1" t="inlineStr">
        <is>
          <t>BBG01T4J2Z27 Equity (TSLA US 06/20/25 P325)</t>
        </is>
      </c>
      <c r="KK1" t="inlineStr">
        <is>
          <t>BBG01DMN5K96 Equity (TSLA US 06/20/25 P330)</t>
        </is>
      </c>
      <c r="KO1" t="inlineStr">
        <is>
          <t>BBG01T4J2ZP2 Equity (TSLA US 06/20/25 P335)</t>
        </is>
      </c>
      <c r="KS1" t="inlineStr">
        <is>
          <t>BBG01DMN5LD9 Equity (TSLA US 06/20/25 P340)</t>
        </is>
      </c>
      <c r="KW1" t="inlineStr">
        <is>
          <t>BBG01T4J2VY1 Equity (TSLA US 06/20/25 P345)</t>
        </is>
      </c>
      <c r="LA1" t="inlineStr">
        <is>
          <t>BBG01DMN5MH3 Equity (TSLA US 06/20/25 P350)</t>
        </is>
      </c>
      <c r="LE1" t="inlineStr">
        <is>
          <t>BBG01T4J2TQ5 Equity (TSLA US 06/20/25 P355)</t>
        </is>
      </c>
      <c r="LI1" t="inlineStr">
        <is>
          <t>BBG01DMN5NM5 Equity (TSLA US 06/20/25 P360)</t>
        </is>
      </c>
      <c r="LM1" t="inlineStr">
        <is>
          <t>BBG01T4J2T30 Equity (TSLA US 06/20/25 P365)</t>
        </is>
      </c>
      <c r="LQ1" t="inlineStr">
        <is>
          <t>BBG01F2T7BW2 Equity (TSLA US 06/20/25 P370)</t>
        </is>
      </c>
      <c r="LU1" t="inlineStr">
        <is>
          <t>BBG01T4J2VB6 Equity (TSLA US 06/20/25 P375)</t>
        </is>
      </c>
      <c r="LY1" t="inlineStr">
        <is>
          <t>BBG01F2T7CZ7 Equity (TSLA US 06/20/25 P380)</t>
        </is>
      </c>
      <c r="MC1" t="inlineStr">
        <is>
          <t>BBG01T4J2WK4 Equity (TSLA US 06/20/25 P385)</t>
        </is>
      </c>
      <c r="MG1" t="inlineStr">
        <is>
          <t>BBG01F2T7F26 Equity (TSLA US 06/20/25 P390)</t>
        </is>
      </c>
      <c r="MK1" t="inlineStr">
        <is>
          <t>BBG01T4J2YG5 Equity (TSLA US 06/20/25 P395)</t>
        </is>
      </c>
      <c r="MO1" t="inlineStr">
        <is>
          <t>BBG01FFLBBY8 Equity (TSLA US 06/20/25 P400)</t>
        </is>
      </c>
      <c r="MS1" t="inlineStr">
        <is>
          <t>BBG01T4J2X77 Equity (TSLA US 06/20/25 P405)</t>
        </is>
      </c>
      <c r="MW1" t="inlineStr">
        <is>
          <t>BBG01FFLBD29 Equity (TSLA US 06/20/25 P410)</t>
        </is>
      </c>
      <c r="NA1" t="inlineStr">
        <is>
          <t>BBG01T4J2XV0 Equity (TSLA US 06/20/25 P415)</t>
        </is>
      </c>
      <c r="NE1" t="inlineStr">
        <is>
          <t>BBG01FP9SZG3 Equity (TSLA US 06/20/25 P420)</t>
        </is>
      </c>
      <c r="NI1" t="inlineStr">
        <is>
          <t>BBG01GZR9QZ0 Equity (TSLA US 06/20/25 P425)</t>
        </is>
      </c>
      <c r="NM1" t="inlineStr">
        <is>
          <t>BBG01GXF1421 Equity (TSLA US 06/20/25 P430)</t>
        </is>
      </c>
      <c r="NQ1" t="inlineStr">
        <is>
          <t>BBG01GXQ0MD6 Equity (TSLA US 06/20/25 P440)</t>
        </is>
      </c>
      <c r="NU1" t="inlineStr">
        <is>
          <t>BBG01GYSN188 Equity (TSLA US 06/20/25 P450)</t>
        </is>
      </c>
      <c r="NY1" t="inlineStr">
        <is>
          <t>BBG01GYSN2C1 Equity (TSLA US 06/20/25 P460)</t>
        </is>
      </c>
      <c r="OC1" t="inlineStr">
        <is>
          <t>BBG01GZR9S22 Equity (TSLA US 06/20/25 P470)</t>
        </is>
      </c>
      <c r="OG1" t="inlineStr">
        <is>
          <t>BBG01GZR9T57 Equity (TSLA US 06/20/25 P475)</t>
        </is>
      </c>
      <c r="OK1" t="inlineStr">
        <is>
          <t>BBG01GZR9V98 Equity (TSLA US 06/20/25 P480)</t>
        </is>
      </c>
      <c r="OO1" t="inlineStr">
        <is>
          <t>BBG01GZR9WD1 Equity (TSLA US 06/20/25 P490)</t>
        </is>
      </c>
      <c r="OS1" t="inlineStr">
        <is>
          <t>BBG01GZR9XH5 Equity (TSLA US 06/20/25 P500)</t>
        </is>
      </c>
      <c r="OW1" t="inlineStr">
        <is>
          <t>BBG01H458GX5 Equity (TSLA US 06/20/25 P510)</t>
        </is>
      </c>
      <c r="PA1" t="inlineStr">
        <is>
          <t>BBG01H458J05 Equity (TSLA US 06/20/25 P520)</t>
        </is>
      </c>
      <c r="PE1" t="inlineStr">
        <is>
          <t>BBG01R6CXY14 Equity (TSLA US 07/18/25 P215)</t>
        </is>
      </c>
      <c r="PI1" t="inlineStr">
        <is>
          <t>BBG01R6CYR90 Equity (TSLA US 07/18/25 P220)</t>
        </is>
      </c>
      <c r="PM1" t="inlineStr">
        <is>
          <t>BBG01R6CX401 Equity (TSLA US 07/18/25 P225)</t>
        </is>
      </c>
      <c r="PQ1" t="inlineStr">
        <is>
          <t>BBG01R6CX7K2 Equity (TSLA US 07/18/25 P230)</t>
        </is>
      </c>
      <c r="PU1" t="inlineStr">
        <is>
          <t>BBG01R6CXYN0 Equity (TSLA US 07/18/25 P235)</t>
        </is>
      </c>
      <c r="PY1" t="inlineStr">
        <is>
          <t>BBG01R6CYQP4 Equity (TSLA US 07/18/25 P240)</t>
        </is>
      </c>
      <c r="QC1" t="inlineStr">
        <is>
          <t>BBG01R6CX4M7 Equity (TSLA US 07/18/25 P245)</t>
        </is>
      </c>
      <c r="QG1" t="inlineStr">
        <is>
          <t>BBG01R6CXDG4 Equity (TSLA US 07/18/25 P250)</t>
        </is>
      </c>
      <c r="QK1" t="inlineStr">
        <is>
          <t>BBG01R6CXZ84 Equity (TSLA US 07/18/25 P255)</t>
        </is>
      </c>
      <c r="QO1" t="inlineStr">
        <is>
          <t>BBG01R6CY6C2 Equity (TSLA US 07/18/25 P260)</t>
        </is>
      </c>
      <c r="QS1" t="inlineStr">
        <is>
          <t>BBG01R6CXH84 Equity (TSLA US 07/18/25 P265)</t>
        </is>
      </c>
      <c r="QW1" t="inlineStr">
        <is>
          <t>BBG01R6CXC76 Equity (TSLA US 07/18/25 P270)</t>
        </is>
      </c>
      <c r="RA1" t="inlineStr">
        <is>
          <t>BBG01R6CYBC1 Equity (TSLA US 07/18/25 P275)</t>
        </is>
      </c>
      <c r="RE1" t="inlineStr">
        <is>
          <t>BBG01R6CY9R0 Equity (TSLA US 07/18/25 P280)</t>
        </is>
      </c>
      <c r="RI1" t="inlineStr">
        <is>
          <t>BBG01R6CXHW7 Equity (TSLA US 07/18/25 P285)</t>
        </is>
      </c>
      <c r="RM1" t="inlineStr">
        <is>
          <t>BBG01R6CX6Y9 Equity (TSLA US 07/18/25 P290)</t>
        </is>
      </c>
      <c r="RQ1" t="inlineStr">
        <is>
          <t>BBG01R6CXJR9 Equity (TSLA US 07/18/25 P295)</t>
        </is>
      </c>
      <c r="RU1" t="inlineStr">
        <is>
          <t>BBG01VQKQHJ1 Equity (TSLA US 07/18/25 P297.5)</t>
        </is>
      </c>
      <c r="RY1" t="inlineStr">
        <is>
          <t>BBG01R6CX3D9 Equity (TSLA US 07/18/25 P300)</t>
        </is>
      </c>
      <c r="SC1" t="inlineStr">
        <is>
          <t>BBG01VQKPH02 Equity (TSLA US 07/18/25 P302.5)</t>
        </is>
      </c>
      <c r="SG1" t="inlineStr">
        <is>
          <t>BBG01TN8PCS8 Equity (TSLA US 07/18/25 P305)</t>
        </is>
      </c>
      <c r="SK1" t="inlineStr">
        <is>
          <t>BBG01VQKPHM8 Equity (TSLA US 07/18/25 P307.5)</t>
        </is>
      </c>
      <c r="SO1" t="inlineStr">
        <is>
          <t>BBG01R6CXQ20 Equity (TSLA US 07/18/25 P310)</t>
        </is>
      </c>
      <c r="SS1" t="inlineStr">
        <is>
          <t>BBG01VQKQJ43 Equity (TSLA US 07/18/25 P312.5)</t>
        </is>
      </c>
      <c r="SW1" t="inlineStr">
        <is>
          <t>BBG01TN8PDD2 Equity (TSLA US 07/18/25 P315)</t>
        </is>
      </c>
      <c r="TA1" t="inlineStr">
        <is>
          <t>BBG01VQKPJ71 Equity (TSLA US 07/18/25 P317.5)</t>
        </is>
      </c>
      <c r="TE1" t="inlineStr">
        <is>
          <t>BBG01R6CXGN9 Equity (TSLA US 07/18/25 P320)</t>
        </is>
      </c>
      <c r="TI1" t="inlineStr">
        <is>
          <t>BBG01VQKQ1C3 Equity (TSLA US 07/18/25 P322.5)</t>
        </is>
      </c>
      <c r="TM1" t="inlineStr">
        <is>
          <t>BBG01TN8PFM7 Equity (TSLA US 07/18/25 P325)</t>
        </is>
      </c>
      <c r="TQ1" t="inlineStr">
        <is>
          <t>BBG01VQKPGD0 Equity (TSLA US 07/18/25 P327.5)</t>
        </is>
      </c>
      <c r="TU1" t="inlineStr">
        <is>
          <t>BBG01R6CYBZ6 Equity (TSLA US 07/18/25 P330)</t>
        </is>
      </c>
      <c r="TY1" t="inlineStr">
        <is>
          <t>BBG01VQKQ0R9 Equity (TSLA US 07/18/25 P332.5)</t>
        </is>
      </c>
      <c r="UC1" t="inlineStr">
        <is>
          <t>BBG01TN8PF01 Equity (TSLA US 07/18/25 P335)</t>
        </is>
      </c>
      <c r="UG1" t="inlineStr">
        <is>
          <t>BBG01VQKQ8G4 Equity (TSLA US 07/18/25 P337.5)</t>
        </is>
      </c>
      <c r="UK1" t="inlineStr">
        <is>
          <t>BBG01R6CXL12 Equity (TSLA US 07/18/25 P340)</t>
        </is>
      </c>
      <c r="UO1" t="inlineStr">
        <is>
          <t>BBG01VQKQGX7 Equity (TSLA US 07/18/25 P342.5)</t>
        </is>
      </c>
      <c r="US1" t="inlineStr">
        <is>
          <t>BBG01TRZ9M37 Equity (TSLA US 07/18/25 P345)</t>
        </is>
      </c>
      <c r="UW1" t="inlineStr">
        <is>
          <t>BBG01R6CXKC2 Equity (TSLA US 07/18/25 P350)</t>
        </is>
      </c>
      <c r="VA1" t="inlineStr">
        <is>
          <t>BBG01TRZ9PM9 Equity (TSLA US 07/18/25 P355)</t>
        </is>
      </c>
      <c r="VE1" t="inlineStr">
        <is>
          <t>BBG01R6CWTN2 Equity (TSLA US 07/18/25 P360)</t>
        </is>
      </c>
      <c r="VI1" t="inlineStr">
        <is>
          <t>BBG01TRZ9Q74 Equity (TSLA US 07/18/25 P365)</t>
        </is>
      </c>
      <c r="VM1" t="inlineStr">
        <is>
          <t>BBG01R6CYD64 Equity (TSLA US 07/18/25 P370)</t>
        </is>
      </c>
      <c r="VQ1" t="inlineStr">
        <is>
          <t>BBG01TRZ8V47 Equity (TSLA US 07/18/25 P375)</t>
        </is>
      </c>
      <c r="VU1" t="inlineStr">
        <is>
          <t>BBG01R6CXMW6 Equity (TSLA US 07/18/25 P380)</t>
        </is>
      </c>
      <c r="VY1" t="inlineStr">
        <is>
          <t>BBG01TRZ8TJ6 Equity (TSLA US 07/18/25 P385)</t>
        </is>
      </c>
      <c r="WC1" t="inlineStr">
        <is>
          <t>BBG01R6CXR91 Equity (TSLA US 07/18/25 P390)</t>
        </is>
      </c>
      <c r="WG1" t="inlineStr">
        <is>
          <t>BBG01P3ZF0S5 Equity (TSLA US 08/15/25 P215)</t>
        </is>
      </c>
      <c r="WK1" t="inlineStr">
        <is>
          <t>BBG01P3ZF1C0 Equity (TSLA US 08/15/25 P220)</t>
        </is>
      </c>
      <c r="WO1" t="inlineStr">
        <is>
          <t>BBG01P3ZDZ19 Equity (TSLA US 08/15/25 P225)</t>
        </is>
      </c>
      <c r="WS1" t="inlineStr">
        <is>
          <t>BBG01P3ZF9T5 Equity (TSLA US 08/15/25 P230)</t>
        </is>
      </c>
      <c r="WW1" t="inlineStr">
        <is>
          <t>BBG01P3ZDN61 Equity (TSLA US 08/15/25 P235)</t>
        </is>
      </c>
      <c r="XA1" t="inlineStr">
        <is>
          <t>BBG01P3ZB4J1 Equity (TSLA US 08/15/25 P240)</t>
        </is>
      </c>
      <c r="XE1" t="inlineStr">
        <is>
          <t>BBG01P3ZDZM6 Equity (TSLA US 08/15/25 P245)</t>
        </is>
      </c>
      <c r="XI1" t="inlineStr">
        <is>
          <t>BBG01P3ZCTY8 Equity (TSLA US 08/15/25 P250)</t>
        </is>
      </c>
      <c r="XM1" t="inlineStr">
        <is>
          <t>BBG01P3ZCKV0 Equity (TSLA US 08/15/25 P255)</t>
        </is>
      </c>
      <c r="XQ1" t="inlineStr">
        <is>
          <t>BBG01P3ZBFT5 Equity (TSLA US 08/15/25 P260)</t>
        </is>
      </c>
      <c r="XU1" t="inlineStr">
        <is>
          <t>BBG01P3ZBY87 Equity (TSLA US 08/15/25 P265)</t>
        </is>
      </c>
      <c r="XY1" t="inlineStr">
        <is>
          <t>BBG01P3ZBQD8 Equity (TSLA US 08/15/25 P270)</t>
        </is>
      </c>
      <c r="YC1" t="inlineStr">
        <is>
          <t>BBG01P3ZBRK8 Equity (TSLA US 08/15/25 P275)</t>
        </is>
      </c>
      <c r="YG1" t="inlineStr">
        <is>
          <t>BBG01P3ZBP77 Equity (TSLA US 08/15/25 P280)</t>
        </is>
      </c>
      <c r="YK1" t="inlineStr">
        <is>
          <t>BBG01P3ZBYV1 Equity (TSLA US 08/15/25 P285)</t>
        </is>
      </c>
      <c r="YO1" t="inlineStr">
        <is>
          <t>BBG01P3ZBPT3 Equity (TSLA US 08/15/25 P290)</t>
        </is>
      </c>
      <c r="YS1" t="inlineStr">
        <is>
          <t>BBG01P3ZBF79 Equity (TSLA US 08/15/25 P295)</t>
        </is>
      </c>
      <c r="YW1" t="inlineStr">
        <is>
          <t>BBG01P3ZF069 Equity (TSLA US 08/15/25 P300)</t>
        </is>
      </c>
      <c r="ZA1" t="inlineStr">
        <is>
          <t>BBG01P3ZDG66 Equity (TSLA US 08/15/25 P305)</t>
        </is>
      </c>
      <c r="ZE1" t="inlineStr">
        <is>
          <t>BBG01P3ZBZF6 Equity (TSLA US 08/15/25 P310)</t>
        </is>
      </c>
      <c r="ZI1" t="inlineStr">
        <is>
          <t>BBG01P3ZDGS2 Equity (TSLA US 08/15/25 P315)</t>
        </is>
      </c>
      <c r="ZM1" t="inlineStr">
        <is>
          <t>BBG01P3ZD7B0 Equity (TSLA US 08/15/25 P320)</t>
        </is>
      </c>
      <c r="ZQ1" t="inlineStr">
        <is>
          <t>BBG01V4PXP44 Equity (TSLA US 08/15/25 P325)</t>
        </is>
      </c>
      <c r="ZU1" t="inlineStr">
        <is>
          <t>BBG01PDQ5H80 Equity (TSLA US 08/15/25 P330)</t>
        </is>
      </c>
      <c r="ZY1" t="inlineStr">
        <is>
          <t>BBG01V4PXPR9 Equity (TSLA US 08/15/25 P335)</t>
        </is>
      </c>
      <c r="AAC1" t="inlineStr">
        <is>
          <t>BBG01PMH95C7 Equity (TSLA US 08/15/25 P340)</t>
        </is>
      </c>
      <c r="AAG1" t="inlineStr">
        <is>
          <t>BBG01V4PY8K3 Equity (TSLA US 08/15/25 P345)</t>
        </is>
      </c>
      <c r="AAK1" t="inlineStr">
        <is>
          <t>BBG01PYD3RH6 Equity (TSLA US 08/15/25 P350)</t>
        </is>
      </c>
      <c r="AAO1" t="inlineStr">
        <is>
          <t>BBG01V4PXKQ1 Equity (TSLA US 08/15/25 P355)</t>
        </is>
      </c>
      <c r="AAS1" t="inlineStr">
        <is>
          <t>BBG01PZCZQ75 Equity (TSLA US 08/15/25 P360)</t>
        </is>
      </c>
      <c r="AAW1" t="inlineStr">
        <is>
          <t>BBG01V4PXMX9 Equity (TSLA US 08/15/25 P365)</t>
        </is>
      </c>
      <c r="ABA1" t="inlineStr">
        <is>
          <t>BBG01Q04K0T8 Equity (TSLA US 08/15/25 P370)</t>
        </is>
      </c>
      <c r="ABE1" t="inlineStr">
        <is>
          <t>BBG01V4PY7Y0 Equity (TSLA US 08/15/25 P375)</t>
        </is>
      </c>
      <c r="ABI1" t="inlineStr">
        <is>
          <t>BBG01Q04K615 Equity (TSLA US 08/15/25 P380)</t>
        </is>
      </c>
      <c r="ABM1" t="inlineStr">
        <is>
          <t>BBG01V4PXNJ3 Equity (TSLA US 08/15/25 P385)</t>
        </is>
      </c>
      <c r="ABQ1" t="inlineStr">
        <is>
          <t>BBG01Q04K4S1 Equity (TSLA US 08/15/25 P390)</t>
        </is>
      </c>
      <c r="ABU1" t="inlineStr">
        <is>
          <t>BBG01HX6JG32 Equity (TSLA US 09/19/25 P215)</t>
        </is>
      </c>
      <c r="ABY1" t="inlineStr">
        <is>
          <t>BBG01HX6JH85 Equity (TSLA US 09/19/25 P220)</t>
        </is>
      </c>
      <c r="ACC1" t="inlineStr">
        <is>
          <t>BBG01HX6JJC6 Equity (TSLA US 09/19/25 P225)</t>
        </is>
      </c>
      <c r="ACG1" t="inlineStr">
        <is>
          <t>BBG01HX6JKG9 Equity (TSLA US 09/19/25 P230)</t>
        </is>
      </c>
      <c r="ACK1" t="inlineStr">
        <is>
          <t>BBG01HX6JLL1 Equity (TSLA US 09/19/25 P235)</t>
        </is>
      </c>
      <c r="ACO1" t="inlineStr">
        <is>
          <t>BBG01HX6JMP5 Equity (TSLA US 09/19/25 P240)</t>
        </is>
      </c>
      <c r="ACS1" t="inlineStr">
        <is>
          <t>BBG01HX6JNS0 Equity (TSLA US 09/19/25 P245)</t>
        </is>
      </c>
      <c r="ACW1" t="inlineStr">
        <is>
          <t>BBG01HX6JPX9 Equity (TSLA US 09/19/25 P250)</t>
        </is>
      </c>
      <c r="ADA1" t="inlineStr">
        <is>
          <t>BBG01HX6JR01 Equity (TSLA US 09/19/25 P255)</t>
        </is>
      </c>
      <c r="ADE1" t="inlineStr">
        <is>
          <t>BBG01HX6JS36 Equity (TSLA US 09/19/25 P260)</t>
        </is>
      </c>
      <c r="ADI1" t="inlineStr">
        <is>
          <t>BBG01HX6JT70 Equity (TSLA US 09/19/25 P265)</t>
        </is>
      </c>
      <c r="ADM1" t="inlineStr">
        <is>
          <t>BBG01HX6JVB0 Equity (TSLA US 09/19/25 P270)</t>
        </is>
      </c>
      <c r="ADQ1" t="inlineStr">
        <is>
          <t>BBG01HX6JWF4 Equity (TSLA US 09/19/25 P275)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BDH("BBG01Q8TQH85 Equity","PX_LAST,PX_VOLUME","1/1/2020","6/10/2026")</f>
        <v/>
      </c>
      <c r="E3">
        <f>BDH("BBG01Q8TQNX4 Equity","PX_LAST,PX_VOLUME","1/1/2020","6/10/2026")</f>
        <v/>
      </c>
      <c r="I3">
        <f>BDH("BBG01Q8TQ9Y4 Equity","PX_LAST,PX_VOLUME","1/1/2020","6/10/2026")</f>
        <v/>
      </c>
      <c r="M3">
        <f>BDH("BBG01Q8TPZB2 Equity","PX_LAST,PX_VOLUME","1/1/2020","6/10/2026")</f>
        <v/>
      </c>
      <c r="Q3">
        <f>BDH("BBG01Q8TPKS7 Equity","PX_LAST,PX_VOLUME","1/1/2020","6/10/2026")</f>
        <v/>
      </c>
      <c r="U3">
        <f>BDH("BBG01Q8TQDN7 Equity","PX_LAST,PX_VOLUME","1/1/2020","6/10/2026")</f>
        <v/>
      </c>
      <c r="Y3">
        <f>BDH("BBG01Q8TPWC8 Equity","PX_LAST,PX_VOLUME","1/1/2020","6/10/2026")</f>
        <v/>
      </c>
      <c r="AC3">
        <f>BDH("BBG01Q8TQ992 Equity","PX_LAST,PX_VOLUME","1/1/2020","6/10/2026")</f>
        <v/>
      </c>
      <c r="AG3">
        <f>BDH("BBG01Q8TR1N2 Equity","PX_LAST,PX_VOLUME","1/1/2020","6/10/2026")</f>
        <v/>
      </c>
      <c r="AK3">
        <f>BDH("BBG01Q8TPYQ9 Equity","PX_LAST,PX_VOLUME","1/1/2020","6/10/2026")</f>
        <v/>
      </c>
      <c r="AO3">
        <f>BDH("BBG01Q8TQYB4 Equity","PX_LAST,PX_VOLUME","1/1/2020","6/10/2026")</f>
        <v/>
      </c>
      <c r="AS3">
        <f>BDH("BBG01Q8TQBK4 Equity","PX_LAST,PX_VOLUME","1/1/2020","6/10/2026")</f>
        <v/>
      </c>
      <c r="AW3">
        <f>BDH("BBG01Q8TQN91 Equity","PX_LAST,PX_VOLUME","1/1/2020","6/10/2026")</f>
        <v/>
      </c>
      <c r="BA3">
        <f>BDH("BBG01Q8TPNL8 Equity","PX_LAST,PX_VOLUME","1/1/2020","6/10/2026")</f>
        <v/>
      </c>
      <c r="BE3">
        <f>BDH("BBG01Q8TQMP5 Equity","PX_LAST,PX_VOLUME","1/1/2020","6/10/2026")</f>
        <v/>
      </c>
      <c r="BI3">
        <f>BDH("BBG01Q8TPGJ6 Equity","PX_LAST,PX_VOLUME","1/1/2020","6/10/2026")</f>
        <v/>
      </c>
      <c r="BM3">
        <f>BDH("BBG01Q8TR287 Equity","PX_LAST,PX_VOLUME","1/1/2020","6/10/2026")</f>
        <v/>
      </c>
      <c r="BQ3">
        <f>BDH("BBG01Q8TQ3N9 Equity","PX_LAST,PX_VOLUME","1/1/2020","6/10/2026")</f>
        <v/>
      </c>
      <c r="BU3">
        <f>BDH("BBG01Q8TQVP5 Equity","PX_LAST,PX_VOLUME","1/1/2020","6/10/2026")</f>
        <v/>
      </c>
      <c r="BY3">
        <f>BDH("BBG01Q8TQ064 Equity","PX_LAST,PX_VOLUME","1/1/2020","6/10/2026")</f>
        <v/>
      </c>
      <c r="CC3">
        <f>BDH("BBG01Q8TQ5R0 Equity","PX_LAST,PX_VOLUME","1/1/2020","6/10/2026")</f>
        <v/>
      </c>
      <c r="CG3">
        <f>BDH("BBG01Q8TPHB2 Equity","PX_LAST,PX_VOLUME","1/1/2020","6/10/2026")</f>
        <v/>
      </c>
      <c r="CK3">
        <f>BDH("BBG01Q8TQV20 Equity","PX_LAST,PX_VOLUME","1/1/2020","6/10/2026")</f>
        <v/>
      </c>
      <c r="CO3">
        <f>BDH("BBG01Q8TPFX2 Equity","PX_LAST,PX_VOLUME","1/1/2020","6/10/2026")</f>
        <v/>
      </c>
      <c r="CS3">
        <f>BDH("BBG01Q8TQ8P6 Equity","PX_LAST,PX_VOLUME","1/1/2020","6/10/2026")</f>
        <v/>
      </c>
      <c r="CW3">
        <f>BDH("BBG01Q8TPJK8 Equity","PX_LAST,PX_VOLUME","1/1/2020","6/10/2026")</f>
        <v/>
      </c>
      <c r="DA3">
        <f>BDH("BBG01Q8TQLK2 Equity","PX_LAST,PX_VOLUME","1/1/2020","6/10/2026")</f>
        <v/>
      </c>
      <c r="DE3">
        <f>BDH("BBG01Q8TPK52 Equity","PX_LAST,PX_VOLUME","1/1/2020","6/10/2026")</f>
        <v/>
      </c>
      <c r="DI3">
        <f>BDH("BBG01Q8TPHY7 Equity","PX_LAST,PX_VOLUME","1/1/2020","6/10/2026")</f>
        <v/>
      </c>
      <c r="DM3">
        <f>BDH("BBG01SJQJTL2 Equity","PX_LAST,PX_VOLUME","1/1/2020","6/10/2026")</f>
        <v/>
      </c>
      <c r="DQ3">
        <f>BDH("BBG01QJ26517 Equity","PX_LAST,PX_VOLUME","1/1/2020","6/10/2026")</f>
        <v/>
      </c>
      <c r="DU3">
        <f>BDH("BBG01SJQKTH5 Equity","PX_LAST,PX_VOLUME","1/1/2020","6/10/2026")</f>
        <v/>
      </c>
      <c r="DY3">
        <f>BDH("BBG01QJ27ZV7 Equity","PX_LAST,PX_VOLUME","1/1/2020","6/10/2026")</f>
        <v/>
      </c>
      <c r="EC3">
        <f>BDH("BBG01SJQJQ01 Equity","PX_LAST,PX_VOLUME","1/1/2020","6/10/2026")</f>
        <v/>
      </c>
      <c r="EG3">
        <f>BDH("BBG01QJ26919 Equity","PX_LAST,PX_VOLUME","1/1/2020","6/10/2026")</f>
        <v/>
      </c>
      <c r="EK3">
        <f>BDH("BBG01SJQKNP9 Equity","PX_LAST,PX_VOLUME","1/1/2020","6/10/2026")</f>
        <v/>
      </c>
      <c r="EO3">
        <f>BDH("BBG01QJ26768 Equity","PX_LAST,PX_VOLUME","1/1/2020","6/10/2026")</f>
        <v/>
      </c>
      <c r="ES3">
        <f>BDH("BBG01SJQKPX5 Equity","PX_LAST,PX_VOLUME","1/1/2020","6/10/2026")</f>
        <v/>
      </c>
      <c r="EW3">
        <f>BDH("BBG01QJ28908 Equity","PX_LAST,PX_VOLUME","1/1/2020","6/10/2026")</f>
        <v/>
      </c>
      <c r="FA3">
        <f>BDH("BBG01SJQKP92 Equity","PX_LAST,PX_VOLUME","1/1/2020","6/10/2026")</f>
        <v/>
      </c>
      <c r="FE3">
        <f>BDH("BBG01QJ267T3 Equity","PX_LAST,PX_VOLUME","1/1/2020","6/10/2026")</f>
        <v/>
      </c>
      <c r="FI3">
        <f>BDH("BBG01SJQKSW0 Equity","PX_LAST,PX_VOLUME","1/1/2020","6/10/2026")</f>
        <v/>
      </c>
      <c r="FM3">
        <f>BDH("BBG01QJ268F6 Equity","PX_LAST,PX_VOLUME","1/1/2020","6/10/2026")</f>
        <v/>
      </c>
      <c r="FQ3">
        <f>BDH("BBG01SJQKQJ9 Equity","PX_LAST,PX_VOLUME","1/1/2020","6/10/2026")</f>
        <v/>
      </c>
      <c r="FU3">
        <f>BDH("BBG01QJ264F5 Equity","PX_LAST,PX_VOLUME","1/1/2020","6/10/2026")</f>
        <v/>
      </c>
      <c r="FY3">
        <f>BDH("BBG01SJQKS87 Equity","PX_LAST,PX_VOLUME","1/1/2020","6/10/2026")</f>
        <v/>
      </c>
      <c r="GC3">
        <f>BDH("BBG01QJ27Z74 Equity","PX_LAST,PX_VOLUME","1/1/2020","6/10/2026")</f>
        <v/>
      </c>
      <c r="GG3">
        <f>BDH("BBG01SJQKV35 Equity","PX_LAST,PX_VOLUME","1/1/2020","6/10/2026")</f>
        <v/>
      </c>
      <c r="GK3">
        <f>BDH("BBG01QJ265N3 Equity","PX_LAST,PX_VOLUME","1/1/2020","6/10/2026")</f>
        <v/>
      </c>
      <c r="GO3">
        <f>BDH("BBG01QJ26QB0 Equity","PX_LAST,PX_VOLUME","1/1/2020","6/10/2026")</f>
        <v/>
      </c>
      <c r="GS3">
        <f>BDH("BBG01QJ26PQ6 Equity","PX_LAST,PX_VOLUME","1/1/2020","6/10/2026")</f>
        <v/>
      </c>
      <c r="GW3">
        <f>BDH("BBG01C9S20N3 Equity","PX_LAST,PX_VOLUME","1/1/2020","6/10/2026")</f>
        <v/>
      </c>
      <c r="HA3">
        <f>BDH("BBG01C9S21R7 Equity","PX_LAST,PX_VOLUME","1/1/2020","6/10/2026")</f>
        <v/>
      </c>
      <c r="HE3">
        <f>BDH("BBG01C9S22W9 Equity","PX_LAST,PX_VOLUME","1/1/2020","6/10/2026")</f>
        <v/>
      </c>
      <c r="HI3">
        <f>BDH("BBG01C9S23Z4 Equity","PX_LAST,PX_VOLUME","1/1/2020","6/10/2026")</f>
        <v/>
      </c>
      <c r="HM3">
        <f>BDH("BBG01C9S2525 Equity","PX_LAST,PX_VOLUME","1/1/2020","6/10/2026")</f>
        <v/>
      </c>
      <c r="HQ3">
        <f>BDH("BBG01C9S2669 Equity","PX_LAST,PX_VOLUME","1/1/2020","6/10/2026")</f>
        <v/>
      </c>
      <c r="HU3">
        <f>BDH("BBG01QCZ6245 Equity","PX_LAST,PX_VOLUME","1/1/2020","6/10/2026")</f>
        <v/>
      </c>
      <c r="HY3">
        <f>BDH("BBG01DJ4QJG4 Equity","PX_LAST,PX_VOLUME","1/1/2020","6/10/2026")</f>
        <v/>
      </c>
      <c r="IC3">
        <f>BDH("BBG01QCZ63Z9 Equity","PX_LAST,PX_VOLUME","1/1/2020","6/10/2026")</f>
        <v/>
      </c>
      <c r="IG3">
        <f>BDH("BBG01DJ4QKL5 Equity","PX_LAST,PX_VOLUME","1/1/2020","6/10/2026")</f>
        <v/>
      </c>
      <c r="IK3">
        <f>BDH("BBG01QCZ63C4 Equity","PX_LAST,PX_VOLUME","1/1/2020","6/10/2026")</f>
        <v/>
      </c>
      <c r="IO3">
        <f>BDH("BBG01DJ4QLP9 Equity","PX_LAST,PX_VOLUME","1/1/2020","6/10/2026")</f>
        <v/>
      </c>
      <c r="IS3">
        <f>BDH("BBG01QCZ6C70 Equity","PX_LAST,PX_VOLUME","1/1/2020","6/10/2026")</f>
        <v/>
      </c>
      <c r="IW3">
        <f>BDH("BBG01DJ4QMW9 Equity","PX_LAST,PX_VOLUME","1/1/2020","6/10/2026")</f>
        <v/>
      </c>
      <c r="JA3">
        <f>BDH("BBG01QCZ6LY0 Equity","PX_LAST,PX_VOLUME","1/1/2020","6/10/2026")</f>
        <v/>
      </c>
      <c r="JE3">
        <f>BDH("BBG01DJ4QNZ4 Equity","PX_LAST,PX_VOLUME","1/1/2020","6/10/2026")</f>
        <v/>
      </c>
      <c r="JI3">
        <f>BDH("BBG01QCZ6LB5 Equity","PX_LAST,PX_VOLUME","1/1/2020","6/10/2026")</f>
        <v/>
      </c>
      <c r="JM3">
        <f>BDH("BBG01DJ4QQ23 Equity","PX_LAST,PX_VOLUME","1/1/2020","6/10/2026")</f>
        <v/>
      </c>
      <c r="JQ3">
        <f>BDH("BBG01QCZ4ZT7 Equity","PX_LAST,PX_VOLUME","1/1/2020","6/10/2026")</f>
        <v/>
      </c>
      <c r="JU3">
        <f>BDH("BBG01DJ4QR67 Equity","PX_LAST,PX_VOLUME","1/1/2020","6/10/2026")</f>
        <v/>
      </c>
      <c r="JY3">
        <f>BDH("BBG01QCZ62R0 Equity","PX_LAST,PX_VOLUME","1/1/2020","6/10/2026")</f>
        <v/>
      </c>
      <c r="KC3">
        <f>BDH("BBG01DJ4QS92 Equity","PX_LAST,PX_VOLUME","1/1/2020","6/10/2026")</f>
        <v/>
      </c>
      <c r="KG3">
        <f>BDH("BBG01T4J2Z27 Equity","PX_LAST,PX_VOLUME","1/1/2020","6/10/2026")</f>
        <v/>
      </c>
      <c r="KK3">
        <f>BDH("BBG01DMN5K96 Equity","PX_LAST,PX_VOLUME","1/1/2020","6/10/2026")</f>
        <v/>
      </c>
      <c r="KO3">
        <f>BDH("BBG01T4J2ZP2 Equity","PX_LAST,PX_VOLUME","1/1/2020","6/10/2026")</f>
        <v/>
      </c>
      <c r="KS3">
        <f>BDH("BBG01DMN5LD9 Equity","PX_LAST,PX_VOLUME","1/1/2020","6/10/2026")</f>
        <v/>
      </c>
      <c r="KW3">
        <f>BDH("BBG01T4J2VY1 Equity","PX_LAST,PX_VOLUME","1/1/2020","6/10/2026")</f>
        <v/>
      </c>
      <c r="LA3">
        <f>BDH("BBG01DMN5MH3 Equity","PX_LAST,PX_VOLUME","1/1/2020","6/10/2026")</f>
        <v/>
      </c>
      <c r="LE3">
        <f>BDH("BBG01T4J2TQ5 Equity","PX_LAST,PX_VOLUME","1/1/2020","6/10/2026")</f>
        <v/>
      </c>
      <c r="LI3">
        <f>BDH("BBG01DMN5NM5 Equity","PX_LAST,PX_VOLUME","1/1/2020","6/10/2026")</f>
        <v/>
      </c>
      <c r="LM3">
        <f>BDH("BBG01T4J2T30 Equity","PX_LAST,PX_VOLUME","1/1/2020","6/10/2026")</f>
        <v/>
      </c>
      <c r="LQ3">
        <f>BDH("BBG01F2T7BW2 Equity","PX_LAST,PX_VOLUME","1/1/2020","6/10/2026")</f>
        <v/>
      </c>
      <c r="LU3">
        <f>BDH("BBG01T4J2VB6 Equity","PX_LAST,PX_VOLUME","1/1/2020","6/10/2026")</f>
        <v/>
      </c>
      <c r="LY3">
        <f>BDH("BBG01F2T7CZ7 Equity","PX_LAST,PX_VOLUME","1/1/2020","6/10/2026")</f>
        <v/>
      </c>
      <c r="MC3">
        <f>BDH("BBG01T4J2WK4 Equity","PX_LAST,PX_VOLUME","1/1/2020","6/10/2026")</f>
        <v/>
      </c>
      <c r="MG3">
        <f>BDH("BBG01F2T7F26 Equity","PX_LAST,PX_VOLUME","1/1/2020","6/10/2026")</f>
        <v/>
      </c>
      <c r="MK3">
        <f>BDH("BBG01T4J2YG5 Equity","PX_LAST,PX_VOLUME","1/1/2020","6/10/2026")</f>
        <v/>
      </c>
      <c r="MO3">
        <f>BDH("BBG01FFLBBY8 Equity","PX_LAST,PX_VOLUME","1/1/2020","6/10/2026")</f>
        <v/>
      </c>
      <c r="MS3">
        <f>BDH("BBG01T4J2X77 Equity","PX_LAST,PX_VOLUME","1/1/2020","6/10/2026")</f>
        <v/>
      </c>
      <c r="MW3">
        <f>BDH("BBG01FFLBD29 Equity","PX_LAST,PX_VOLUME","1/1/2020","6/10/2026")</f>
        <v/>
      </c>
      <c r="NA3">
        <f>BDH("BBG01T4J2XV0 Equity","PX_LAST,PX_VOLUME","1/1/2020","6/10/2026")</f>
        <v/>
      </c>
      <c r="NE3">
        <f>BDH("BBG01FP9SZG3 Equity","PX_LAST,PX_VOLUME","1/1/2020","6/10/2026")</f>
        <v/>
      </c>
      <c r="NI3">
        <f>BDH("BBG01GZR9QZ0 Equity","PX_LAST,PX_VOLUME","1/1/2020","6/10/2026")</f>
        <v/>
      </c>
      <c r="NM3">
        <f>BDH("BBG01GXF1421 Equity","PX_LAST,PX_VOLUME","1/1/2020","6/10/2026")</f>
        <v/>
      </c>
      <c r="NQ3">
        <f>BDH("BBG01GXQ0MD6 Equity","PX_LAST,PX_VOLUME","1/1/2020","6/10/2026")</f>
        <v/>
      </c>
      <c r="NU3">
        <f>BDH("BBG01GYSN188 Equity","PX_LAST,PX_VOLUME","1/1/2020","6/10/2026")</f>
        <v/>
      </c>
      <c r="NY3">
        <f>BDH("BBG01GYSN2C1 Equity","PX_LAST,PX_VOLUME","1/1/2020","6/10/2026")</f>
        <v/>
      </c>
      <c r="OC3">
        <f>BDH("BBG01GZR9S22 Equity","PX_LAST,PX_VOLUME","1/1/2020","6/10/2026")</f>
        <v/>
      </c>
      <c r="OG3">
        <f>BDH("BBG01GZR9T57 Equity","PX_LAST,PX_VOLUME","1/1/2020","6/10/2026")</f>
        <v/>
      </c>
      <c r="OK3">
        <f>BDH("BBG01GZR9V98 Equity","PX_LAST,PX_VOLUME","1/1/2020","6/10/2026")</f>
        <v/>
      </c>
      <c r="OO3">
        <f>BDH("BBG01GZR9WD1 Equity","PX_LAST,PX_VOLUME","1/1/2020","6/10/2026")</f>
        <v/>
      </c>
      <c r="OS3">
        <f>BDH("BBG01GZR9XH5 Equity","PX_LAST,PX_VOLUME","1/1/2020","6/10/2026")</f>
        <v/>
      </c>
      <c r="OW3">
        <f>BDH("BBG01H458GX5 Equity","PX_LAST,PX_VOLUME","1/1/2020","6/10/2026")</f>
        <v/>
      </c>
      <c r="PA3">
        <f>BDH("BBG01H458J05 Equity","PX_LAST,PX_VOLUME","1/1/2020","6/10/2026")</f>
        <v/>
      </c>
      <c r="PE3">
        <f>BDH("BBG01R6CXY14 Equity","PX_LAST,PX_VOLUME","1/1/2020","6/10/2026")</f>
        <v/>
      </c>
      <c r="PI3">
        <f>BDH("BBG01R6CYR90 Equity","PX_LAST,PX_VOLUME","1/1/2020","6/10/2026")</f>
        <v/>
      </c>
      <c r="PM3">
        <f>BDH("BBG01R6CX401 Equity","PX_LAST,PX_VOLUME","1/1/2020","6/10/2026")</f>
        <v/>
      </c>
      <c r="PQ3">
        <f>BDH("BBG01R6CX7K2 Equity","PX_LAST,PX_VOLUME","1/1/2020","6/10/2026")</f>
        <v/>
      </c>
      <c r="PU3">
        <f>BDH("BBG01R6CXYN0 Equity","PX_LAST,PX_VOLUME","1/1/2020","6/10/2026")</f>
        <v/>
      </c>
      <c r="PY3">
        <f>BDH("BBG01R6CYQP4 Equity","PX_LAST,PX_VOLUME","1/1/2020","6/10/2026")</f>
        <v/>
      </c>
      <c r="QC3">
        <f>BDH("BBG01R6CX4M7 Equity","PX_LAST,PX_VOLUME","1/1/2020","6/10/2026")</f>
        <v/>
      </c>
      <c r="QG3">
        <f>BDH("BBG01R6CXDG4 Equity","PX_LAST,PX_VOLUME","1/1/2020","6/10/2026")</f>
        <v/>
      </c>
      <c r="QK3">
        <f>BDH("BBG01R6CXZ84 Equity","PX_LAST,PX_VOLUME","1/1/2020","6/10/2026")</f>
        <v/>
      </c>
      <c r="QO3">
        <f>BDH("BBG01R6CY6C2 Equity","PX_LAST,PX_VOLUME","1/1/2020","6/10/2026")</f>
        <v/>
      </c>
      <c r="QS3">
        <f>BDH("BBG01R6CXH84 Equity","PX_LAST,PX_VOLUME","1/1/2020","6/10/2026")</f>
        <v/>
      </c>
      <c r="QW3">
        <f>BDH("BBG01R6CXC76 Equity","PX_LAST,PX_VOLUME","1/1/2020","6/10/2026")</f>
        <v/>
      </c>
      <c r="RA3">
        <f>BDH("BBG01R6CYBC1 Equity","PX_LAST,PX_VOLUME","1/1/2020","6/10/2026")</f>
        <v/>
      </c>
      <c r="RE3">
        <f>BDH("BBG01R6CY9R0 Equity","PX_LAST,PX_VOLUME","1/1/2020","6/10/2026")</f>
        <v/>
      </c>
      <c r="RI3">
        <f>BDH("BBG01R6CXHW7 Equity","PX_LAST,PX_VOLUME","1/1/2020","6/10/2026")</f>
        <v/>
      </c>
      <c r="RM3">
        <f>BDH("BBG01R6CX6Y9 Equity","PX_LAST,PX_VOLUME","1/1/2020","6/10/2026")</f>
        <v/>
      </c>
      <c r="RQ3">
        <f>BDH("BBG01R6CXJR9 Equity","PX_LAST,PX_VOLUME","1/1/2020","6/10/2026")</f>
        <v/>
      </c>
      <c r="RU3">
        <f>BDH("BBG01VQKQHJ1 Equity","PX_LAST,PX_VOLUME","1/1/2020","6/10/2026")</f>
        <v/>
      </c>
      <c r="RY3">
        <f>BDH("BBG01R6CX3D9 Equity","PX_LAST,PX_VOLUME","1/1/2020","6/10/2026")</f>
        <v/>
      </c>
      <c r="SC3">
        <f>BDH("BBG01VQKPH02 Equity","PX_LAST,PX_VOLUME","1/1/2020","6/10/2026")</f>
        <v/>
      </c>
      <c r="SG3">
        <f>BDH("BBG01TN8PCS8 Equity","PX_LAST,PX_VOLUME","1/1/2020","6/10/2026")</f>
        <v/>
      </c>
      <c r="SK3">
        <f>BDH("BBG01VQKPHM8 Equity","PX_LAST,PX_VOLUME","1/1/2020","6/10/2026")</f>
        <v/>
      </c>
      <c r="SO3">
        <f>BDH("BBG01R6CXQ20 Equity","PX_LAST,PX_VOLUME","1/1/2020","6/10/2026")</f>
        <v/>
      </c>
      <c r="SS3">
        <f>BDH("BBG01VQKQJ43 Equity","PX_LAST,PX_VOLUME","1/1/2020","6/10/2026")</f>
        <v/>
      </c>
      <c r="SW3">
        <f>BDH("BBG01TN8PDD2 Equity","PX_LAST,PX_VOLUME","1/1/2020","6/10/2026")</f>
        <v/>
      </c>
      <c r="TA3">
        <f>BDH("BBG01VQKPJ71 Equity","PX_LAST,PX_VOLUME","1/1/2020","6/10/2026")</f>
        <v/>
      </c>
      <c r="TE3">
        <f>BDH("BBG01R6CXGN9 Equity","PX_LAST,PX_VOLUME","1/1/2020","6/10/2026")</f>
        <v/>
      </c>
      <c r="TI3">
        <f>BDH("BBG01VQKQ1C3 Equity","PX_LAST,PX_VOLUME","1/1/2020","6/10/2026")</f>
        <v/>
      </c>
      <c r="TM3">
        <f>BDH("BBG01TN8PFM7 Equity","PX_LAST,PX_VOLUME","1/1/2020","6/10/2026")</f>
        <v/>
      </c>
      <c r="TQ3">
        <f>BDH("BBG01VQKPGD0 Equity","PX_LAST,PX_VOLUME","1/1/2020","6/10/2026")</f>
        <v/>
      </c>
      <c r="TU3">
        <f>BDH("BBG01R6CYBZ6 Equity","PX_LAST,PX_VOLUME","1/1/2020","6/10/2026")</f>
        <v/>
      </c>
      <c r="TY3">
        <f>BDH("BBG01VQKQ0R9 Equity","PX_LAST,PX_VOLUME","1/1/2020","6/10/2026")</f>
        <v/>
      </c>
      <c r="UC3">
        <f>BDH("BBG01TN8PF01 Equity","PX_LAST,PX_VOLUME","1/1/2020","6/10/2026")</f>
        <v/>
      </c>
      <c r="UG3">
        <f>BDH("BBG01VQKQ8G4 Equity","PX_LAST,PX_VOLUME","1/1/2020","6/10/2026")</f>
        <v/>
      </c>
      <c r="UK3">
        <f>BDH("BBG01R6CXL12 Equity","PX_LAST,PX_VOLUME","1/1/2020","6/10/2026")</f>
        <v/>
      </c>
      <c r="UO3">
        <f>BDH("BBG01VQKQGX7 Equity","PX_LAST,PX_VOLUME","1/1/2020","6/10/2026")</f>
        <v/>
      </c>
      <c r="US3">
        <f>BDH("BBG01TRZ9M37 Equity","PX_LAST,PX_VOLUME","1/1/2020","6/10/2026")</f>
        <v/>
      </c>
      <c r="UW3">
        <f>BDH("BBG01R6CXKC2 Equity","PX_LAST,PX_VOLUME","1/1/2020","6/10/2026")</f>
        <v/>
      </c>
      <c r="VA3">
        <f>BDH("BBG01TRZ9PM9 Equity","PX_LAST,PX_VOLUME","1/1/2020","6/10/2026")</f>
        <v/>
      </c>
      <c r="VE3">
        <f>BDH("BBG01R6CWTN2 Equity","PX_LAST,PX_VOLUME","1/1/2020","6/10/2026")</f>
        <v/>
      </c>
      <c r="VI3">
        <f>BDH("BBG01TRZ9Q74 Equity","PX_LAST,PX_VOLUME","1/1/2020","6/10/2026")</f>
        <v/>
      </c>
      <c r="VM3">
        <f>BDH("BBG01R6CYD64 Equity","PX_LAST,PX_VOLUME","1/1/2020","6/10/2026")</f>
        <v/>
      </c>
      <c r="VQ3">
        <f>BDH("BBG01TRZ8V47 Equity","PX_LAST,PX_VOLUME","1/1/2020","6/10/2026")</f>
        <v/>
      </c>
      <c r="VU3">
        <f>BDH("BBG01R6CXMW6 Equity","PX_LAST,PX_VOLUME","1/1/2020","6/10/2026")</f>
        <v/>
      </c>
      <c r="VY3">
        <f>BDH("BBG01TRZ8TJ6 Equity","PX_LAST,PX_VOLUME","1/1/2020","6/10/2026")</f>
        <v/>
      </c>
      <c r="WC3">
        <f>BDH("BBG01R6CXR91 Equity","PX_LAST,PX_VOLUME","1/1/2020","6/10/2026")</f>
        <v/>
      </c>
      <c r="WG3">
        <f>BDH("BBG01P3ZF0S5 Equity","PX_LAST,PX_VOLUME","1/1/2020","6/10/2026")</f>
        <v/>
      </c>
      <c r="WK3">
        <f>BDH("BBG01P3ZF1C0 Equity","PX_LAST,PX_VOLUME","1/1/2020","6/10/2026")</f>
        <v/>
      </c>
      <c r="WO3">
        <f>BDH("BBG01P3ZDZ19 Equity","PX_LAST,PX_VOLUME","1/1/2020","6/10/2026")</f>
        <v/>
      </c>
      <c r="WS3">
        <f>BDH("BBG01P3ZF9T5 Equity","PX_LAST,PX_VOLUME","1/1/2020","6/10/2026")</f>
        <v/>
      </c>
      <c r="WW3">
        <f>BDH("BBG01P3ZDN61 Equity","PX_LAST,PX_VOLUME","1/1/2020","6/10/2026")</f>
        <v/>
      </c>
      <c r="XA3">
        <f>BDH("BBG01P3ZB4J1 Equity","PX_LAST,PX_VOLUME","1/1/2020","6/10/2026")</f>
        <v/>
      </c>
      <c r="XE3">
        <f>BDH("BBG01P3ZDZM6 Equity","PX_LAST,PX_VOLUME","1/1/2020","6/10/2026")</f>
        <v/>
      </c>
      <c r="XI3">
        <f>BDH("BBG01P3ZCTY8 Equity","PX_LAST,PX_VOLUME","1/1/2020","6/10/2026")</f>
        <v/>
      </c>
      <c r="XM3">
        <f>BDH("BBG01P3ZCKV0 Equity","PX_LAST,PX_VOLUME","1/1/2020","6/10/2026")</f>
        <v/>
      </c>
      <c r="XQ3">
        <f>BDH("BBG01P3ZBFT5 Equity","PX_LAST,PX_VOLUME","1/1/2020","6/10/2026")</f>
        <v/>
      </c>
      <c r="XU3">
        <f>BDH("BBG01P3ZBY87 Equity","PX_LAST,PX_VOLUME","1/1/2020","6/10/2026")</f>
        <v/>
      </c>
      <c r="XY3">
        <f>BDH("BBG01P3ZBQD8 Equity","PX_LAST,PX_VOLUME","1/1/2020","6/10/2026")</f>
        <v/>
      </c>
      <c r="YC3">
        <f>BDH("BBG01P3ZBRK8 Equity","PX_LAST,PX_VOLUME","1/1/2020","6/10/2026")</f>
        <v/>
      </c>
      <c r="YG3">
        <f>BDH("BBG01P3ZBP77 Equity","PX_LAST,PX_VOLUME","1/1/2020","6/10/2026")</f>
        <v/>
      </c>
      <c r="YK3">
        <f>BDH("BBG01P3ZBYV1 Equity","PX_LAST,PX_VOLUME","1/1/2020","6/10/2026")</f>
        <v/>
      </c>
      <c r="YO3">
        <f>BDH("BBG01P3ZBPT3 Equity","PX_LAST,PX_VOLUME","1/1/2020","6/10/2026")</f>
        <v/>
      </c>
      <c r="YS3">
        <f>BDH("BBG01P3ZBF79 Equity","PX_LAST,PX_VOLUME","1/1/2020","6/10/2026")</f>
        <v/>
      </c>
      <c r="YW3">
        <f>BDH("BBG01P3ZF069 Equity","PX_LAST,PX_VOLUME","1/1/2020","6/10/2026")</f>
        <v/>
      </c>
      <c r="ZA3">
        <f>BDH("BBG01P3ZDG66 Equity","PX_LAST,PX_VOLUME","1/1/2020","6/10/2026")</f>
        <v/>
      </c>
      <c r="ZE3">
        <f>BDH("BBG01P3ZBZF6 Equity","PX_LAST,PX_VOLUME","1/1/2020","6/10/2026")</f>
        <v/>
      </c>
      <c r="ZI3">
        <f>BDH("BBG01P3ZDGS2 Equity","PX_LAST,PX_VOLUME","1/1/2020","6/10/2026")</f>
        <v/>
      </c>
      <c r="ZM3">
        <f>BDH("BBG01P3ZD7B0 Equity","PX_LAST,PX_VOLUME","1/1/2020","6/10/2026")</f>
        <v/>
      </c>
      <c r="ZQ3">
        <f>BDH("BBG01V4PXP44 Equity","PX_LAST,PX_VOLUME","1/1/2020","6/10/2026")</f>
        <v/>
      </c>
      <c r="ZU3">
        <f>BDH("BBG01PDQ5H80 Equity","PX_LAST,PX_VOLUME","1/1/2020","6/10/2026")</f>
        <v/>
      </c>
      <c r="ZY3">
        <f>BDH("BBG01V4PXPR9 Equity","PX_LAST,PX_VOLUME","1/1/2020","6/10/2026")</f>
        <v/>
      </c>
      <c r="AAC3">
        <f>BDH("BBG01PMH95C7 Equity","PX_LAST,PX_VOLUME","1/1/2020","6/10/2026")</f>
        <v/>
      </c>
      <c r="AAG3">
        <f>BDH("BBG01V4PY8K3 Equity","PX_LAST,PX_VOLUME","1/1/2020","6/10/2026")</f>
        <v/>
      </c>
      <c r="AAK3">
        <f>BDH("BBG01PYD3RH6 Equity","PX_LAST,PX_VOLUME","1/1/2020","6/10/2026")</f>
        <v/>
      </c>
      <c r="AAO3">
        <f>BDH("BBG01V4PXKQ1 Equity","PX_LAST,PX_VOLUME","1/1/2020","6/10/2026")</f>
        <v/>
      </c>
      <c r="AAS3">
        <f>BDH("BBG01PZCZQ75 Equity","PX_LAST,PX_VOLUME","1/1/2020","6/10/2026")</f>
        <v/>
      </c>
      <c r="AAW3">
        <f>BDH("BBG01V4PXMX9 Equity","PX_LAST,PX_VOLUME","1/1/2020","6/10/2026")</f>
        <v/>
      </c>
      <c r="ABA3">
        <f>BDH("BBG01Q04K0T8 Equity","PX_LAST,PX_VOLUME","1/1/2020","6/10/2026")</f>
        <v/>
      </c>
      <c r="ABE3">
        <f>BDH("BBG01V4PY7Y0 Equity","PX_LAST,PX_VOLUME","1/1/2020","6/10/2026")</f>
        <v/>
      </c>
      <c r="ABI3">
        <f>BDH("BBG01Q04K615 Equity","PX_LAST,PX_VOLUME","1/1/2020","6/10/2026")</f>
        <v/>
      </c>
      <c r="ABM3">
        <f>BDH("BBG01V4PXNJ3 Equity","PX_LAST,PX_VOLUME","1/1/2020","6/10/2026")</f>
        <v/>
      </c>
      <c r="ABQ3">
        <f>BDH("BBG01Q04K4S1 Equity","PX_LAST,PX_VOLUME","1/1/2020","6/10/2026")</f>
        <v/>
      </c>
      <c r="ABU3">
        <f>BDH("BBG01HX6JG32 Equity","PX_LAST,PX_VOLUME","1/1/2020","6/10/2026")</f>
        <v/>
      </c>
      <c r="ABY3">
        <f>BDH("BBG01HX6JH85 Equity","PX_LAST,PX_VOLUME","1/1/2020","6/10/2026")</f>
        <v/>
      </c>
      <c r="ACC3">
        <f>BDH("BBG01HX6JJC6 Equity","PX_LAST,PX_VOLUME","1/1/2020","6/10/2026")</f>
        <v/>
      </c>
      <c r="ACG3">
        <f>BDH("BBG01HX6JKG9 Equity","PX_LAST,PX_VOLUME","1/1/2020","6/10/2026")</f>
        <v/>
      </c>
      <c r="ACK3">
        <f>BDH("BBG01HX6JLL1 Equity","PX_LAST,PX_VOLUME","1/1/2020","6/10/2026")</f>
        <v/>
      </c>
      <c r="ACO3">
        <f>BDH("BBG01HX6JMP5 Equity","PX_LAST,PX_VOLUME","1/1/2020","6/10/2026")</f>
        <v/>
      </c>
      <c r="ACS3">
        <f>BDH("BBG01HX6JNS0 Equity","PX_LAST,PX_VOLUME","1/1/2020","6/10/2026")</f>
        <v/>
      </c>
      <c r="ACW3">
        <f>BDH("BBG01HX6JPX9 Equity","PX_LAST,PX_VOLUME","1/1/2020","6/10/2026")</f>
        <v/>
      </c>
      <c r="ADA3">
        <f>BDH("BBG01HX6JR01 Equity","PX_LAST,PX_VOLUME","1/1/2020","6/10/2026")</f>
        <v/>
      </c>
      <c r="ADE3">
        <f>BDH("BBG01HX6JS36 Equity","PX_LAST,PX_VOLUME","1/1/2020","6/10/2026")</f>
        <v/>
      </c>
      <c r="ADI3">
        <f>BDH("BBG01HX6JT70 Equity","PX_LAST,PX_VOLUME","1/1/2020","6/10/2026")</f>
        <v/>
      </c>
      <c r="ADM3">
        <f>BDH("BBG01HX6JVB0 Equity","PX_LAST,PX_VOLUME","1/1/2020","6/10/2026")</f>
        <v/>
      </c>
      <c r="ADQ3">
        <f>BDH("BBG01HX6JWF4 Equity","PX_LAST,PX_VOLUME","1/1/2020","6/10/2026")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BBG01HX6JXK6 Equity (TSLA US 09/19/25 P280)</t>
        </is>
      </c>
      <c r="E1" t="inlineStr">
        <is>
          <t>BBG01HX6JYN1 Equity (TSLA US 09/19/25 P285)</t>
        </is>
      </c>
      <c r="I1" t="inlineStr">
        <is>
          <t>BBG01HX6JZR4 Equity (TSLA US 09/19/25 P290)</t>
        </is>
      </c>
      <c r="M1" t="inlineStr">
        <is>
          <t>BBG01HX6K0W3 Equity (TSLA US 09/19/25 P295)</t>
        </is>
      </c>
      <c r="Q1" t="inlineStr">
        <is>
          <t>BBG01HX6K1Z8 Equity (TSLA US 09/19/25 P300)</t>
        </is>
      </c>
      <c r="U1" t="inlineStr">
        <is>
          <t>BBG01HX6K320 Equity (TSLA US 09/19/25 P305)</t>
        </is>
      </c>
      <c r="Y1" t="inlineStr">
        <is>
          <t>BBG01HX6K464 Equity (TSLA US 09/19/25 P310)</t>
        </is>
      </c>
      <c r="AC1" t="inlineStr">
        <is>
          <t>BBG01HX6K598 Equity (TSLA US 09/19/25 P315)</t>
        </is>
      </c>
      <c r="AG1" t="inlineStr">
        <is>
          <t>BBG01HX6K6F9 Equity (TSLA US 09/19/25 P320)</t>
        </is>
      </c>
      <c r="AK1" t="inlineStr">
        <is>
          <t>BBG01HX6K7J3 Equity (TSLA US 09/19/25 P325)</t>
        </is>
      </c>
      <c r="AO1" t="inlineStr">
        <is>
          <t>BBG01HX6K8M7 Equity (TSLA US 09/19/25 P330)</t>
        </is>
      </c>
      <c r="AS1" t="inlineStr">
        <is>
          <t>BBG01HX6K9R0 Equity (TSLA US 09/19/25 P335)</t>
        </is>
      </c>
      <c r="AW1" t="inlineStr">
        <is>
          <t>BBG01HX6KBV0 Equity (TSLA US 09/19/25 P340)</t>
        </is>
      </c>
      <c r="BA1" t="inlineStr">
        <is>
          <t>BBG01HX6KCY5 Equity (TSLA US 09/19/25 P345)</t>
        </is>
      </c>
      <c r="BE1" t="inlineStr">
        <is>
          <t>BBG01HX6KF23 Equity (TSLA US 09/19/25 P350)</t>
        </is>
      </c>
      <c r="BI1" t="inlineStr">
        <is>
          <t>BBG01HX6KG58 Equity (TSLA US 09/19/25 P355)</t>
        </is>
      </c>
      <c r="BM1" t="inlineStr">
        <is>
          <t>BBG01HX6KH83 Equity (TSLA US 09/19/25 P360)</t>
        </is>
      </c>
      <c r="BQ1" t="inlineStr">
        <is>
          <t>BBG01HX6KJD3 Equity (TSLA US 09/19/25 P365)</t>
        </is>
      </c>
      <c r="BU1" t="inlineStr">
        <is>
          <t>BBG01HX6KKH6 Equity (TSLA US 09/19/25 P370)</t>
        </is>
      </c>
      <c r="BY1" t="inlineStr">
        <is>
          <t>BBG01HX6KLL9 Equity (TSLA US 09/19/25 P375)</t>
        </is>
      </c>
      <c r="CC1" t="inlineStr">
        <is>
          <t>BBG01HX6KMQ2 Equity (TSLA US 09/19/25 P380)</t>
        </is>
      </c>
      <c r="CG1" t="inlineStr">
        <is>
          <t>BBG01HX6KNT7 Equity (TSLA US 09/19/25 P385)</t>
        </is>
      </c>
      <c r="CK1" t="inlineStr">
        <is>
          <t>BBG01HX6KPX7 Equity (TSLA US 09/19/25 P390)</t>
        </is>
      </c>
      <c r="CO1" t="inlineStr">
        <is>
          <t>BBG01T4J27X5 Equity (TSLA US 10/17/25 P245)</t>
        </is>
      </c>
      <c r="CS1" t="inlineStr">
        <is>
          <t>BBG01T4J1BL0 Equity (TSLA US 10/17/25 P250)</t>
        </is>
      </c>
      <c r="CW1" t="inlineStr">
        <is>
          <t>BBG01T4J2HF3 Equity (TSLA US 10/17/25 P255)</t>
        </is>
      </c>
      <c r="DA1" t="inlineStr">
        <is>
          <t>BBG01T4J1VZ1 Equity (TSLA US 10/17/25 P260)</t>
        </is>
      </c>
      <c r="DE1" t="inlineStr">
        <is>
          <t>BBG01T4J1Y21 Equity (TSLA US 10/17/25 P265)</t>
        </is>
      </c>
      <c r="DI1" t="inlineStr">
        <is>
          <t>BBG01T4J1CT0 Equity (TSLA US 10/17/25 P270)</t>
        </is>
      </c>
      <c r="DM1" t="inlineStr">
        <is>
          <t>BBG01T4J25G8 Equity (TSLA US 10/17/25 P275)</t>
        </is>
      </c>
      <c r="DQ1" t="inlineStr">
        <is>
          <t>BBG01T4J1Z19 Equity (TSLA US 10/17/25 P280)</t>
        </is>
      </c>
      <c r="DU1" t="inlineStr">
        <is>
          <t>BBG01T4J22Y5 Equity (TSLA US 10/17/25 P285)</t>
        </is>
      </c>
      <c r="DY1" t="inlineStr">
        <is>
          <t>BBG01T4J1C65 Equity (TSLA US 10/17/25 P290)</t>
        </is>
      </c>
      <c r="EC1" t="inlineStr">
        <is>
          <t>BBG01T4J2R16 Equity (TSLA US 10/17/25 P295)</t>
        </is>
      </c>
      <c r="EG1" t="inlineStr">
        <is>
          <t>BBG01T4J2L46 Equity (TSLA US 10/17/25 P300)</t>
        </is>
      </c>
      <c r="EK1" t="inlineStr">
        <is>
          <t>BBG01T4J1338 Equity (TSLA US 10/17/25 P305)</t>
        </is>
      </c>
      <c r="EO1" t="inlineStr">
        <is>
          <t>BBG01T4J2GB9 Equity (TSLA US 10/17/25 P310)</t>
        </is>
      </c>
      <c r="ES1" t="inlineStr">
        <is>
          <t>BBG01T4J1PZ4 Equity (TSLA US 10/17/25 P315)</t>
        </is>
      </c>
      <c r="EW1" t="inlineStr">
        <is>
          <t>BBG01T4J2K84 Equity (TSLA US 10/17/25 P320)</t>
        </is>
      </c>
      <c r="FA1" t="inlineStr">
        <is>
          <t>BBG01T4J1N43 Equity (TSLA US 10/17/25 P325)</t>
        </is>
      </c>
      <c r="FE1" t="inlineStr">
        <is>
          <t>BBG01T4J2621 Equity (TSLA US 10/17/25 P330)</t>
        </is>
      </c>
      <c r="FI1" t="inlineStr">
        <is>
          <t>BBG01T4J1PC9 Equity (TSLA US 10/17/25 P335)</t>
        </is>
      </c>
      <c r="FM1" t="inlineStr">
        <is>
          <t>BBG01T4J23K8 Equity (TSLA US 10/17/25 P340)</t>
        </is>
      </c>
      <c r="FQ1" t="inlineStr">
        <is>
          <t>BBG01T4J1QL7 Equity (TSLA US 10/17/25 P345)</t>
        </is>
      </c>
      <c r="FU1" t="inlineStr">
        <is>
          <t>BBG01T4J2453 Equity (TSLA US 10/17/25 P350)</t>
        </is>
      </c>
      <c r="FY1" t="inlineStr">
        <is>
          <t>BBG01T4J1S97 Equity (TSLA US 10/17/25 P355)</t>
        </is>
      </c>
      <c r="GC1" t="inlineStr">
        <is>
          <t>BBG01T4J24S8 Equity (TSLA US 10/17/25 P360)</t>
        </is>
      </c>
      <c r="GG1" t="inlineStr">
        <is>
          <t>BBG01T4J10F1 Equity (TSLA US 10/17/25 P365)</t>
        </is>
      </c>
      <c r="GK1" t="inlineStr">
        <is>
          <t>BBG01T4J2BZ4 Equity (TSLA US 10/17/25 P370)</t>
        </is>
      </c>
      <c r="GO1" t="inlineStr">
        <is>
          <t>BBG01T4J1TJ4 Equity (TSLA US 10/17/25 P375)</t>
        </is>
      </c>
      <c r="GS1" t="inlineStr">
        <is>
          <t>BBG01T4J1GC9 Equity (TSLA US 10/17/25 P380)</t>
        </is>
      </c>
      <c r="GW1" t="inlineStr">
        <is>
          <t>BBG01T4J38P1 Equity (TSLA US 10/17/25 P385)</t>
        </is>
      </c>
      <c r="HA1" t="inlineStr">
        <is>
          <t>BBG01T4J2GL8 Equity (TSLA US 10/17/25 P390)</t>
        </is>
      </c>
      <c r="HE1" t="inlineStr">
        <is>
          <t>BBG01T4J1GZ4 Equity (TSLA US 10/17/25 P395)</t>
        </is>
      </c>
      <c r="HI1" t="inlineStr">
        <is>
          <t>BBG01T4J1RP1 Equity (TSLA US 10/17/25 P400)</t>
        </is>
      </c>
      <c r="HM1" t="inlineStr">
        <is>
          <t>BBG01XGQYKW4 Equity (TSLA US 10/17/25 P402.5)</t>
        </is>
      </c>
      <c r="HQ1" t="inlineStr">
        <is>
          <t>BBG01T4J1LM7 Equity (TSLA US 10/17/25 P405)</t>
        </is>
      </c>
      <c r="HU1" t="inlineStr">
        <is>
          <t>BBG01XGQSLS4 Equity (TSLA US 10/17/25 P407.5)</t>
        </is>
      </c>
      <c r="HY1" t="inlineStr">
        <is>
          <t>BBG01T4J1SX0 Equity (TSLA US 10/17/25 P410)</t>
        </is>
      </c>
      <c r="IC1" t="inlineStr">
        <is>
          <t>BBG01XGQYC16 Equity (TSLA US 10/17/25 P412.5)</t>
        </is>
      </c>
      <c r="IG1" t="inlineStr">
        <is>
          <t>BBG01T4J2J14 Equity (TSLA US 10/17/25 P415)</t>
        </is>
      </c>
      <c r="IK1" t="inlineStr">
        <is>
          <t>BBG01XGQSMD8 Equity (TSLA US 10/17/25 P417.5)</t>
        </is>
      </c>
      <c r="IO1" t="inlineStr">
        <is>
          <t>BBG01T4J1NR8 Equity (TSLA US 10/17/25 P420)</t>
        </is>
      </c>
      <c r="IS1" t="inlineStr">
        <is>
          <t>BBG01XGQYBF3 Equity (TSLA US 10/17/25 P422.5)</t>
        </is>
      </c>
      <c r="IW1" t="inlineStr">
        <is>
          <t>BBG01T4J2GT0 Equity (TSLA US 10/17/25 P425)</t>
        </is>
      </c>
      <c r="JA1" t="inlineStr">
        <is>
          <t>BBG01XGQYCN2 Equity (TSLA US 10/17/25 P427.5)</t>
        </is>
      </c>
      <c r="JE1" t="inlineStr">
        <is>
          <t>BBG01T4J1JS6 Equity (TSLA US 10/17/25 P430)</t>
        </is>
      </c>
      <c r="JI1" t="inlineStr">
        <is>
          <t>BBG01XGQYK81 Equity (TSLA US 10/17/25 P432.5)</t>
        </is>
      </c>
      <c r="JM1" t="inlineStr">
        <is>
          <t>BBG01T4J2JN0 Equity (TSLA US 10/17/25 P435)</t>
        </is>
      </c>
      <c r="JQ1" t="inlineStr">
        <is>
          <t>BBG01XGQYD87 Equity (TSLA US 10/17/25 P437.5)</t>
        </is>
      </c>
      <c r="JU1" t="inlineStr">
        <is>
          <t>BBG01T4J37G3 Equity (TSLA US 10/17/25 P440)</t>
        </is>
      </c>
      <c r="JY1" t="inlineStr">
        <is>
          <t>BBG01XGQSN00 Equity (TSLA US 10/17/25 P442.5)</t>
        </is>
      </c>
      <c r="KC1" t="inlineStr">
        <is>
          <t>BBG01T4J1M72 Equity (TSLA US 10/17/25 P445)</t>
        </is>
      </c>
      <c r="KG1" t="inlineStr">
        <is>
          <t>BBG01XGQS082 Equity (TSLA US 10/17/25 P447.5)</t>
        </is>
      </c>
      <c r="KK1" t="inlineStr">
        <is>
          <t>BBG01T4J1HL7 Equity (TSLA US 10/17/25 P450)</t>
        </is>
      </c>
      <c r="KO1" t="inlineStr">
        <is>
          <t>BBG01T4J3F11 Equity (TSLA US 10/17/25 P455)</t>
        </is>
      </c>
      <c r="KS1" t="inlineStr">
        <is>
          <t>BBG01T4J3826 Equity (TSLA US 10/17/25 P460)</t>
        </is>
      </c>
      <c r="KW1" t="inlineStr">
        <is>
          <t>BBG01T4J1KD9 Equity (TSLA US 10/17/25 P465)</t>
        </is>
      </c>
      <c r="LA1" t="inlineStr">
        <is>
          <t>BBG01T4J1FR5 Equity (TSLA US 10/17/25 P470)</t>
        </is>
      </c>
      <c r="LE1" t="inlineStr">
        <is>
          <t>BBG01T4J3GW5 Equity (TSLA US 10/17/25 P475)</t>
        </is>
      </c>
      <c r="LI1" t="inlineStr">
        <is>
          <t>BBG01T4J36V8 Equity (TSLA US 10/17/25 P480)</t>
        </is>
      </c>
      <c r="LM1" t="inlineStr">
        <is>
          <t>BBG01T4J2CW5 Equity (TSLA US 10/17/25 P485)</t>
        </is>
      </c>
      <c r="LQ1" t="inlineStr">
        <is>
          <t>BBG01T4J1J60 Equity (TSLA US 10/17/25 P490)</t>
        </is>
      </c>
      <c r="LU1" t="inlineStr">
        <is>
          <t>BBG01T4J2BC9 Equity (TSLA US 10/17/25 P495)</t>
        </is>
      </c>
      <c r="LY1" t="inlineStr">
        <is>
          <t>BBG01T4J2DH0 Equity (TSLA US 10/17/25 P500)</t>
        </is>
      </c>
      <c r="MC1" t="inlineStr">
        <is>
          <t>BBG01WMX1QR3 Equity (TSLA US 10/17/25 P505)</t>
        </is>
      </c>
      <c r="MG1" t="inlineStr">
        <is>
          <t>BBG01T4J3997 Equity (TSLA US 10/17/25 P510)</t>
        </is>
      </c>
      <c r="MK1" t="inlineStr">
        <is>
          <t>BBG01X5P90Y8 Equity (TSLA US 10/17/25 P515)</t>
        </is>
      </c>
      <c r="MO1" t="inlineStr">
        <is>
          <t>BBG01T4J1L01 Equity (TSLA US 10/17/25 P520)</t>
        </is>
      </c>
      <c r="MS1" t="inlineStr">
        <is>
          <t>BBG01XJS4WM5 Equity (TSLA US 10/17/25 P525)</t>
        </is>
      </c>
      <c r="MW1" t="inlineStr">
        <is>
          <t>BBG01T4J3G82 Equity (TSLA US 10/17/25 P530)</t>
        </is>
      </c>
      <c r="NA1" t="inlineStr">
        <is>
          <t>BBG01XJS4X70 Equity (TSLA US 10/17/25 P535)</t>
        </is>
      </c>
      <c r="NE1" t="inlineStr">
        <is>
          <t>BBG01T4J2881 Equity (TSLA US 10/17/25 P540)</t>
        </is>
      </c>
      <c r="NI1" t="inlineStr">
        <is>
          <t>BBG01XJS6W98 Equity (TSLA US 10/17/25 P545)</t>
        </is>
      </c>
      <c r="NM1" t="inlineStr">
        <is>
          <t>BBG01T4J29R8 Equity (TSLA US 10/17/25 P550)</t>
        </is>
      </c>
      <c r="NQ1" t="inlineStr">
        <is>
          <t>BBG01XJS6WX1 Equity (TSLA US 10/17/25 P555)</t>
        </is>
      </c>
      <c r="NU1" t="inlineStr">
        <is>
          <t>BBG01T4J2F30 Equity (TSLA US 10/17/25 P560)</t>
        </is>
      </c>
      <c r="NY1" t="inlineStr">
        <is>
          <t>BBG01XJSD0T8 Equity (TSLA US 10/17/25 P565)</t>
        </is>
      </c>
      <c r="OC1" t="inlineStr">
        <is>
          <t>BBG01T4J3FN7 Equity (TSLA US 10/17/25 P570)</t>
        </is>
      </c>
      <c r="OG1" t="inlineStr">
        <is>
          <t>BBG01XJSCTC4 Equity (TSLA US 10/17/25 P575)</t>
        </is>
      </c>
      <c r="OK1" t="inlineStr">
        <is>
          <t>BBG01V1SCYN4 Equity (TSLA US 10/17/25 P580)</t>
        </is>
      </c>
      <c r="OO1" t="inlineStr">
        <is>
          <t>BBG01XJS53Y5 Equity (TSLA US 10/17/25 P585)</t>
        </is>
      </c>
      <c r="OS1" t="inlineStr">
        <is>
          <t>BBG01V1SCBT8 Equity (TSLA US 10/17/25 P590)</t>
        </is>
      </c>
      <c r="OW1" t="inlineStr">
        <is>
          <t>BBG01XJSCTZ9 Equity (TSLA US 10/17/25 P595)</t>
        </is>
      </c>
      <c r="PA1" t="inlineStr">
        <is>
          <t>BBG01RMDT6G4 Equity (TSLA US 11/21/25 P245)</t>
        </is>
      </c>
      <c r="PE1" t="inlineStr">
        <is>
          <t>BBG01RMDS041 Equity (TSLA US 11/21/25 P250)</t>
        </is>
      </c>
      <c r="PI1" t="inlineStr">
        <is>
          <t>BBG01RMDT727 Equity (TSLA US 11/21/25 P255)</t>
        </is>
      </c>
      <c r="PM1" t="inlineStr">
        <is>
          <t>BBG01RMDSQ71 Equity (TSLA US 11/21/25 P260)</t>
        </is>
      </c>
      <c r="PQ1" t="inlineStr">
        <is>
          <t>BBG01RMDS0V1 Equity (TSLA US 11/21/25 P265)</t>
        </is>
      </c>
      <c r="PU1" t="inlineStr">
        <is>
          <t>BBG01RMDS5T3 Equity (TSLA US 11/21/25 P270)</t>
        </is>
      </c>
      <c r="PY1" t="inlineStr">
        <is>
          <t>BBG01RMDS9J6 Equity (TSLA US 11/21/25 P275)</t>
        </is>
      </c>
      <c r="QC1" t="inlineStr">
        <is>
          <t>BBG01RMDS8X2 Equity (TSLA US 11/21/25 P280)</t>
        </is>
      </c>
      <c r="QG1" t="inlineStr">
        <is>
          <t>BBG01RMDRQF3 Equity (TSLA US 11/21/25 P285)</t>
        </is>
      </c>
      <c r="QK1" t="inlineStr">
        <is>
          <t>BBG01RMDS6F6 Equity (TSLA US 11/21/25 P290)</t>
        </is>
      </c>
      <c r="QO1" t="inlineStr">
        <is>
          <t>BBG01RMDTH89 Equity (TSLA US 11/21/25 P295)</t>
        </is>
      </c>
      <c r="QS1" t="inlineStr">
        <is>
          <t>BBG01RMDR765 Equity (TSLA US 11/21/25 P300)</t>
        </is>
      </c>
      <c r="QW1" t="inlineStr">
        <is>
          <t>BBG01RMDRHZ1 Equity (TSLA US 11/21/25 P305)</t>
        </is>
      </c>
      <c r="RA1" t="inlineStr">
        <is>
          <t>BBG01RMDR7T0 Equity (TSLA US 11/21/25 P310)</t>
        </is>
      </c>
      <c r="RE1" t="inlineStr">
        <is>
          <t>BBG01RMDQVZ1 Equity (TSLA US 11/21/25 P315)</t>
        </is>
      </c>
      <c r="RI1" t="inlineStr">
        <is>
          <t>BBG01RMDRS87 Equity (TSLA US 11/21/25 P320)</t>
        </is>
      </c>
      <c r="RM1" t="inlineStr">
        <is>
          <t>BBG01RMDRJL2 Equity (TSLA US 11/21/25 P325)</t>
        </is>
      </c>
      <c r="RQ1" t="inlineStr">
        <is>
          <t>BBG01RMDTCV4 Equity (TSLA US 11/21/25 P330)</t>
        </is>
      </c>
      <c r="RU1" t="inlineStr">
        <is>
          <t>BBG01RMDR471 Equity (TSLA US 11/21/25 P335)</t>
        </is>
      </c>
      <c r="RY1" t="inlineStr">
        <is>
          <t>BBG01RMDRR16 Equity (TSLA US 11/21/25 P340)</t>
        </is>
      </c>
      <c r="SC1" t="inlineStr">
        <is>
          <t>BBG01RMDRMR9 Equity (TSLA US 11/21/25 P345)</t>
        </is>
      </c>
      <c r="SG1" t="inlineStr">
        <is>
          <t>BBG01RMDS7P3 Equity (TSLA US 11/21/25 P350)</t>
        </is>
      </c>
      <c r="SK1" t="inlineStr">
        <is>
          <t>BBG01RMDR300 Equity (TSLA US 11/21/25 P355)</t>
        </is>
      </c>
      <c r="SO1" t="inlineStr">
        <is>
          <t>BBG01RMDRLW5 Equity (TSLA US 11/21/25 P360)</t>
        </is>
      </c>
      <c r="SS1" t="inlineStr">
        <is>
          <t>BBG01RMDTK37 Equity (TSLA US 11/21/25 P365)</t>
        </is>
      </c>
      <c r="SW1" t="inlineStr">
        <is>
          <t>BBG01RMDSQV4 Equity (TSLA US 11/21/25 P370)</t>
        </is>
      </c>
      <c r="TA1" t="inlineStr">
        <is>
          <t>BBG01RMDR4V4 Equity (TSLA US 11/21/25 P375)</t>
        </is>
      </c>
      <c r="TE1" t="inlineStr">
        <is>
          <t>BBG01RMDRRN2 Equity (TSLA US 11/21/25 P380)</t>
        </is>
      </c>
      <c r="TI1" t="inlineStr">
        <is>
          <t>BBG01RMDS899 Equity (TSLA US 11/21/25 P385)</t>
        </is>
      </c>
      <c r="TM1" t="inlineStr">
        <is>
          <t>BBG01RMDRG38 Equity (TSLA US 11/21/25 P390)</t>
        </is>
      </c>
      <c r="TQ1" t="inlineStr">
        <is>
          <t>BBG01RMDR2F6 Equity (TSLA US 11/21/25 P395)</t>
        </is>
      </c>
      <c r="TU1" t="inlineStr">
        <is>
          <t>BBG01RMDTJH5 Equity (TSLA US 11/21/25 P400)</t>
        </is>
      </c>
      <c r="TY1" t="inlineStr">
        <is>
          <t>BBG01RMDSYS1 Equity (TSLA US 11/21/25 P405)</t>
        </is>
      </c>
      <c r="UC1" t="inlineStr">
        <is>
          <t>BBG01RMDR3M6 Equity (TSLA US 11/21/25 P410)</t>
        </is>
      </c>
      <c r="UG1" t="inlineStr">
        <is>
          <t>BBG01RMDRPL8 Equity (TSLA US 11/21/25 P415)</t>
        </is>
      </c>
      <c r="UK1" t="inlineStr">
        <is>
          <t>BBG01RMDRNZ8 Equity (TSLA US 11/21/25 P420)</t>
        </is>
      </c>
      <c r="UO1" t="inlineStr">
        <is>
          <t>BBG01RMDS719 Equity (TSLA US 11/21/25 P425)</t>
        </is>
      </c>
      <c r="US1" t="inlineStr">
        <is>
          <t>BBG01RMDR5G8 Equity (TSLA US 11/21/25 P430)</t>
        </is>
      </c>
      <c r="UW1" t="inlineStr">
        <is>
          <t>BBG01RMDTHW2 Equity (TSLA US 11/21/25 P435)</t>
        </is>
      </c>
      <c r="VA1" t="inlineStr">
        <is>
          <t>BBG01RMDSPM6 Equity (TSLA US 11/21/25 P440)</t>
        </is>
      </c>
      <c r="VE1" t="inlineStr">
        <is>
          <t>BBG01RMDSW14 Equity (TSLA US 11/21/25 P445)</t>
        </is>
      </c>
      <c r="VI1" t="inlineStr">
        <is>
          <t>BBG01RMDQY85 Equity (TSLA US 11/21/25 P450)</t>
        </is>
      </c>
      <c r="VM1" t="inlineStr">
        <is>
          <t>BBG01RMDRNC3 Equity (TSLA US 11/21/25 P455)</t>
        </is>
      </c>
      <c r="VQ1" t="inlineStr">
        <is>
          <t>BBG01RMDRLP3 Equity (TSLA US 11/21/25 P460)</t>
        </is>
      </c>
      <c r="VU1" t="inlineStr">
        <is>
          <t>BBG01RMDT004 Equity (TSLA US 11/21/25 P465)</t>
        </is>
      </c>
      <c r="VY1" t="inlineStr">
        <is>
          <t>BBG01RMDRK66 Equity (TSLA US 11/21/25 P470)</t>
        </is>
      </c>
      <c r="WC1" t="inlineStr">
        <is>
          <t>BBG01RMDTL44 Equity (TSLA US 11/21/25 P475)</t>
        </is>
      </c>
      <c r="WG1" t="inlineStr">
        <is>
          <t>BBG01RMDSP00 Equity (TSLA US 11/21/25 P480)</t>
        </is>
      </c>
      <c r="WK1" t="inlineStr">
        <is>
          <t>BBG01RMDSBV7 Equity (TSLA US 11/21/25 P485)</t>
        </is>
      </c>
      <c r="WO1" t="inlineStr">
        <is>
          <t>BBG01RMDQYW8 Equity (TSLA US 11/21/25 P490)</t>
        </is>
      </c>
      <c r="WS1" t="inlineStr">
        <is>
          <t>BBG01RMDS4B5 Equity (TSLA US 11/21/25 P495)</t>
        </is>
      </c>
      <c r="WW1" t="inlineStr">
        <is>
          <t>BBG01RMDSWN0 Equity (TSLA US 11/21/25 P500)</t>
        </is>
      </c>
      <c r="XA1" t="inlineStr">
        <is>
          <t>BBG01WY3N1W1 Equity (TSLA US 11/21/25 P505)</t>
        </is>
      </c>
      <c r="XE1" t="inlineStr">
        <is>
          <t>BBG01RMDSY47 Equity (TSLA US 11/21/25 P510)</t>
        </is>
      </c>
      <c r="XI1" t="inlineStr">
        <is>
          <t>BBG01X5PBW75 Equity (TSLA US 11/21/25 P515)</t>
        </is>
      </c>
      <c r="XM1" t="inlineStr">
        <is>
          <t>BBG01RMDSCG2 Equity (TSLA US 11/21/25 P520)</t>
        </is>
      </c>
      <c r="XQ1" t="inlineStr">
        <is>
          <t>BBG01XJSDQB0 Equity (TSLA US 11/21/25 P525)</t>
        </is>
      </c>
      <c r="XU1" t="inlineStr">
        <is>
          <t>BBG01RMDSG46 Equity (TSLA US 11/21/25 P530)</t>
        </is>
      </c>
      <c r="XY1" t="inlineStr">
        <is>
          <t>BBG01XJSJ316 Equity (TSLA US 11/21/25 P535)</t>
        </is>
      </c>
      <c r="YC1" t="inlineStr">
        <is>
          <t>BBG01RMDT0M0 Equity (TSLA US 11/21/25 P540)</t>
        </is>
      </c>
      <c r="YG1" t="inlineStr">
        <is>
          <t>BBG01XJSDQY5 Equity (TSLA US 11/21/25 P545)</t>
        </is>
      </c>
      <c r="YK1" t="inlineStr">
        <is>
          <t>BBG01RMDSND1 Equity (TSLA US 11/21/25 P550)</t>
        </is>
      </c>
      <c r="YO1" t="inlineStr">
        <is>
          <t>BBG01XJSHWL2 Equity (TSLA US 11/21/25 P555)</t>
        </is>
      </c>
      <c r="YS1" t="inlineStr">
        <is>
          <t>BBG01RMDSTD8 Equity (TSLA US 11/21/25 P560)</t>
        </is>
      </c>
      <c r="YW1" t="inlineStr">
        <is>
          <t>BBG01XJSJ1N6 Equity (TSLA US 11/21/25 P565)</t>
        </is>
      </c>
      <c r="ZA1" t="inlineStr">
        <is>
          <t>BBG01RMDRHB7 Equity (TSLA US 11/21/25 P570)</t>
        </is>
      </c>
      <c r="ZE1" t="inlineStr">
        <is>
          <t>BBG01XJSJ0F7 Equity (TSLA US 11/21/25 P575)</t>
        </is>
      </c>
      <c r="ZI1" t="inlineStr">
        <is>
          <t>BBG01RMDSD25 Equity (TSLA US 11/21/25 P580)</t>
        </is>
      </c>
      <c r="ZM1" t="inlineStr">
        <is>
          <t>BBG01XJSJ110 Equity (TSLA US 11/21/25 P585)</t>
        </is>
      </c>
      <c r="ZQ1" t="inlineStr">
        <is>
          <t>BBG01RMDSXJ3 Equity (TSLA US 11/21/25 P590)</t>
        </is>
      </c>
      <c r="ZU1" t="inlineStr">
        <is>
          <t>BBG01XJSD1R8 Equity (TSLA US 11/21/25 P595)</t>
        </is>
      </c>
      <c r="ZY1" t="inlineStr">
        <is>
          <t>BBG01TL4MLJ2 Equity (TSLA US 12/19/25 P245)</t>
        </is>
      </c>
      <c r="AAC1" t="inlineStr">
        <is>
          <t>BBG01G1KDL51 Equity (TSLA US 12/19/25 P250)</t>
        </is>
      </c>
      <c r="AAG1" t="inlineStr">
        <is>
          <t>BBG01TL4MFN0 Equity (TSLA US 12/19/25 P255)</t>
        </is>
      </c>
      <c r="AAK1" t="inlineStr">
        <is>
          <t>BBG01G1KDM86 Equity (TSLA US 12/19/25 P260)</t>
        </is>
      </c>
      <c r="AAO1" t="inlineStr">
        <is>
          <t>BBG01TL4MF14 Equity (TSLA US 12/19/25 P265)</t>
        </is>
      </c>
      <c r="AAS1" t="inlineStr">
        <is>
          <t>BBG01G1KDNC9 Equity (TSLA US 12/19/25 P270)</t>
        </is>
      </c>
      <c r="AAW1" t="inlineStr">
        <is>
          <t>BBG01TL4M1G9 Equity (TSLA US 12/19/25 P275)</t>
        </is>
      </c>
      <c r="ABA1" t="inlineStr">
        <is>
          <t>BBG01G1KDPH9 Equity (TSLA US 12/19/25 P280)</t>
        </is>
      </c>
      <c r="ABE1" t="inlineStr">
        <is>
          <t>BBG01TL4MCT1 Equity (TSLA US 12/19/25 P285)</t>
        </is>
      </c>
      <c r="ABI1" t="inlineStr">
        <is>
          <t>BBG01G1KDQL2 Equity (TSLA US 12/19/25 P290)</t>
        </is>
      </c>
      <c r="ABM1" t="inlineStr">
        <is>
          <t>BBG01TL4MDF4 Equity (TSLA US 12/19/25 P295)</t>
        </is>
      </c>
      <c r="ABQ1" t="inlineStr">
        <is>
          <t>BBG01G1KDRP6 Equity (TSLA US 12/19/25 P300)</t>
        </is>
      </c>
      <c r="ABU1" t="inlineStr">
        <is>
          <t>BBG01TL4MNC5 Equity (TSLA US 12/19/25 P305)</t>
        </is>
      </c>
      <c r="ABY1" t="inlineStr">
        <is>
          <t>BBG01G1KDST0 Equity (TSLA US 12/19/25 P310)</t>
        </is>
      </c>
      <c r="ACC1" t="inlineStr">
        <is>
          <t>BBG01TL4MP03 Equity (TSLA US 12/19/25 P315)</t>
        </is>
      </c>
      <c r="ACG1" t="inlineStr">
        <is>
          <t>BBG01G1KDTX3 Equity (TSLA US 12/19/25 P320)</t>
        </is>
      </c>
      <c r="ACK1" t="inlineStr">
        <is>
          <t>BBG01TL4MM46 Equity (TSLA US 12/19/25 P325)</t>
        </is>
      </c>
      <c r="ACO1" t="inlineStr">
        <is>
          <t>BBG01G1KDW02 Equity (TSLA US 12/19/25 P330)</t>
        </is>
      </c>
      <c r="ACS1" t="inlineStr">
        <is>
          <t>BBG01TL4MJ25 Equity (TSLA US 12/19/25 P335)</t>
        </is>
      </c>
      <c r="ACW1" t="inlineStr">
        <is>
          <t>BBG01G1KDX46 Equity (TSLA US 12/19/25 P340)</t>
        </is>
      </c>
      <c r="ADA1" t="inlineStr">
        <is>
          <t>BBG01TL4MMR1 Equity (TSLA US 12/19/25 P345)</t>
        </is>
      </c>
      <c r="ADE1" t="inlineStr">
        <is>
          <t>BBG01G1KDY71 Equity (TSLA US 12/19/25 P350)</t>
        </is>
      </c>
      <c r="ADI1" t="inlineStr">
        <is>
          <t>BBG01XJSG8B7 Equity (TSLA US 12/19/25 P355)</t>
        </is>
      </c>
      <c r="ADM1" t="inlineStr">
        <is>
          <t>BBG01G1KDZB3 Equity (TSLA US 12/19/25 P360)</t>
        </is>
      </c>
      <c r="ADQ1" t="inlineStr">
        <is>
          <t>BBG01XJSFXN0 Equity (TSLA US 12/19/25 P365)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BDH("BBG01HX6JXK6 Equity","PX_LAST,PX_VOLUME","1/1/2020","6/10/2026")</f>
        <v/>
      </c>
      <c r="E3">
        <f>BDH("BBG01HX6JYN1 Equity","PX_LAST,PX_VOLUME","1/1/2020","6/10/2026")</f>
        <v/>
      </c>
      <c r="I3">
        <f>BDH("BBG01HX6JZR4 Equity","PX_LAST,PX_VOLUME","1/1/2020","6/10/2026")</f>
        <v/>
      </c>
      <c r="M3">
        <f>BDH("BBG01HX6K0W3 Equity","PX_LAST,PX_VOLUME","1/1/2020","6/10/2026")</f>
        <v/>
      </c>
      <c r="Q3">
        <f>BDH("BBG01HX6K1Z8 Equity","PX_LAST,PX_VOLUME","1/1/2020","6/10/2026")</f>
        <v/>
      </c>
      <c r="U3">
        <f>BDH("BBG01HX6K320 Equity","PX_LAST,PX_VOLUME","1/1/2020","6/10/2026")</f>
        <v/>
      </c>
      <c r="Y3">
        <f>BDH("BBG01HX6K464 Equity","PX_LAST,PX_VOLUME","1/1/2020","6/10/2026")</f>
        <v/>
      </c>
      <c r="AC3">
        <f>BDH("BBG01HX6K598 Equity","PX_LAST,PX_VOLUME","1/1/2020","6/10/2026")</f>
        <v/>
      </c>
      <c r="AG3">
        <f>BDH("BBG01HX6K6F9 Equity","PX_LAST,PX_VOLUME","1/1/2020","6/10/2026")</f>
        <v/>
      </c>
      <c r="AK3">
        <f>BDH("BBG01HX6K7J3 Equity","PX_LAST,PX_VOLUME","1/1/2020","6/10/2026")</f>
        <v/>
      </c>
      <c r="AO3">
        <f>BDH("BBG01HX6K8M7 Equity","PX_LAST,PX_VOLUME","1/1/2020","6/10/2026")</f>
        <v/>
      </c>
      <c r="AS3">
        <f>BDH("BBG01HX6K9R0 Equity","PX_LAST,PX_VOLUME","1/1/2020","6/10/2026")</f>
        <v/>
      </c>
      <c r="AW3">
        <f>BDH("BBG01HX6KBV0 Equity","PX_LAST,PX_VOLUME","1/1/2020","6/10/2026")</f>
        <v/>
      </c>
      <c r="BA3">
        <f>BDH("BBG01HX6KCY5 Equity","PX_LAST,PX_VOLUME","1/1/2020","6/10/2026")</f>
        <v/>
      </c>
      <c r="BE3">
        <f>BDH("BBG01HX6KF23 Equity","PX_LAST,PX_VOLUME","1/1/2020","6/10/2026")</f>
        <v/>
      </c>
      <c r="BI3">
        <f>BDH("BBG01HX6KG58 Equity","PX_LAST,PX_VOLUME","1/1/2020","6/10/2026")</f>
        <v/>
      </c>
      <c r="BM3">
        <f>BDH("BBG01HX6KH83 Equity","PX_LAST,PX_VOLUME","1/1/2020","6/10/2026")</f>
        <v/>
      </c>
      <c r="BQ3">
        <f>BDH("BBG01HX6KJD3 Equity","PX_LAST,PX_VOLUME","1/1/2020","6/10/2026")</f>
        <v/>
      </c>
      <c r="BU3">
        <f>BDH("BBG01HX6KKH6 Equity","PX_LAST,PX_VOLUME","1/1/2020","6/10/2026")</f>
        <v/>
      </c>
      <c r="BY3">
        <f>BDH("BBG01HX6KLL9 Equity","PX_LAST,PX_VOLUME","1/1/2020","6/10/2026")</f>
        <v/>
      </c>
      <c r="CC3">
        <f>BDH("BBG01HX6KMQ2 Equity","PX_LAST,PX_VOLUME","1/1/2020","6/10/2026")</f>
        <v/>
      </c>
      <c r="CG3">
        <f>BDH("BBG01HX6KNT7 Equity","PX_LAST,PX_VOLUME","1/1/2020","6/10/2026")</f>
        <v/>
      </c>
      <c r="CK3">
        <f>BDH("BBG01HX6KPX7 Equity","PX_LAST,PX_VOLUME","1/1/2020","6/10/2026")</f>
        <v/>
      </c>
      <c r="CO3">
        <f>BDH("BBG01T4J27X5 Equity","PX_LAST,PX_VOLUME","1/1/2020","6/10/2026")</f>
        <v/>
      </c>
      <c r="CS3">
        <f>BDH("BBG01T4J1BL0 Equity","PX_LAST,PX_VOLUME","1/1/2020","6/10/2026")</f>
        <v/>
      </c>
      <c r="CW3">
        <f>BDH("BBG01T4J2HF3 Equity","PX_LAST,PX_VOLUME","1/1/2020","6/10/2026")</f>
        <v/>
      </c>
      <c r="DA3">
        <f>BDH("BBG01T4J1VZ1 Equity","PX_LAST,PX_VOLUME","1/1/2020","6/10/2026")</f>
        <v/>
      </c>
      <c r="DE3">
        <f>BDH("BBG01T4J1Y21 Equity","PX_LAST,PX_VOLUME","1/1/2020","6/10/2026")</f>
        <v/>
      </c>
      <c r="DI3">
        <f>BDH("BBG01T4J1CT0 Equity","PX_LAST,PX_VOLUME","1/1/2020","6/10/2026")</f>
        <v/>
      </c>
      <c r="DM3">
        <f>BDH("BBG01T4J25G8 Equity","PX_LAST,PX_VOLUME","1/1/2020","6/10/2026")</f>
        <v/>
      </c>
      <c r="DQ3">
        <f>BDH("BBG01T4J1Z19 Equity","PX_LAST,PX_VOLUME","1/1/2020","6/10/2026")</f>
        <v/>
      </c>
      <c r="DU3">
        <f>BDH("BBG01T4J22Y5 Equity","PX_LAST,PX_VOLUME","1/1/2020","6/10/2026")</f>
        <v/>
      </c>
      <c r="DY3">
        <f>BDH("BBG01T4J1C65 Equity","PX_LAST,PX_VOLUME","1/1/2020","6/10/2026")</f>
        <v/>
      </c>
      <c r="EC3">
        <f>BDH("BBG01T4J2R16 Equity","PX_LAST,PX_VOLUME","1/1/2020","6/10/2026")</f>
        <v/>
      </c>
      <c r="EG3">
        <f>BDH("BBG01T4J2L46 Equity","PX_LAST,PX_VOLUME","1/1/2020","6/10/2026")</f>
        <v/>
      </c>
      <c r="EK3">
        <f>BDH("BBG01T4J1338 Equity","PX_LAST,PX_VOLUME","1/1/2020","6/10/2026")</f>
        <v/>
      </c>
      <c r="EO3">
        <f>BDH("BBG01T4J2GB9 Equity","PX_LAST,PX_VOLUME","1/1/2020","6/10/2026")</f>
        <v/>
      </c>
      <c r="ES3">
        <f>BDH("BBG01T4J1PZ4 Equity","PX_LAST,PX_VOLUME","1/1/2020","6/10/2026")</f>
        <v/>
      </c>
      <c r="EW3">
        <f>BDH("BBG01T4J2K84 Equity","PX_LAST,PX_VOLUME","1/1/2020","6/10/2026")</f>
        <v/>
      </c>
      <c r="FA3">
        <f>BDH("BBG01T4J1N43 Equity","PX_LAST,PX_VOLUME","1/1/2020","6/10/2026")</f>
        <v/>
      </c>
      <c r="FE3">
        <f>BDH("BBG01T4J2621 Equity","PX_LAST,PX_VOLUME","1/1/2020","6/10/2026")</f>
        <v/>
      </c>
      <c r="FI3">
        <f>BDH("BBG01T4J1PC9 Equity","PX_LAST,PX_VOLUME","1/1/2020","6/10/2026")</f>
        <v/>
      </c>
      <c r="FM3">
        <f>BDH("BBG01T4J23K8 Equity","PX_LAST,PX_VOLUME","1/1/2020","6/10/2026")</f>
        <v/>
      </c>
      <c r="FQ3">
        <f>BDH("BBG01T4J1QL7 Equity","PX_LAST,PX_VOLUME","1/1/2020","6/10/2026")</f>
        <v/>
      </c>
      <c r="FU3">
        <f>BDH("BBG01T4J2453 Equity","PX_LAST,PX_VOLUME","1/1/2020","6/10/2026")</f>
        <v/>
      </c>
      <c r="FY3">
        <f>BDH("BBG01T4J1S97 Equity","PX_LAST,PX_VOLUME","1/1/2020","6/10/2026")</f>
        <v/>
      </c>
      <c r="GC3">
        <f>BDH("BBG01T4J24S8 Equity","PX_LAST,PX_VOLUME","1/1/2020","6/10/2026")</f>
        <v/>
      </c>
      <c r="GG3">
        <f>BDH("BBG01T4J10F1 Equity","PX_LAST,PX_VOLUME","1/1/2020","6/10/2026")</f>
        <v/>
      </c>
      <c r="GK3">
        <f>BDH("BBG01T4J2BZ4 Equity","PX_LAST,PX_VOLUME","1/1/2020","6/10/2026")</f>
        <v/>
      </c>
      <c r="GO3">
        <f>BDH("BBG01T4J1TJ4 Equity","PX_LAST,PX_VOLUME","1/1/2020","6/10/2026")</f>
        <v/>
      </c>
      <c r="GS3">
        <f>BDH("BBG01T4J1GC9 Equity","PX_LAST,PX_VOLUME","1/1/2020","6/10/2026")</f>
        <v/>
      </c>
      <c r="GW3">
        <f>BDH("BBG01T4J38P1 Equity","PX_LAST,PX_VOLUME","1/1/2020","6/10/2026")</f>
        <v/>
      </c>
      <c r="HA3">
        <f>BDH("BBG01T4J2GL8 Equity","PX_LAST,PX_VOLUME","1/1/2020","6/10/2026")</f>
        <v/>
      </c>
      <c r="HE3">
        <f>BDH("BBG01T4J1GZ4 Equity","PX_LAST,PX_VOLUME","1/1/2020","6/10/2026")</f>
        <v/>
      </c>
      <c r="HI3">
        <f>BDH("BBG01T4J1RP1 Equity","PX_LAST,PX_VOLUME","1/1/2020","6/10/2026")</f>
        <v/>
      </c>
      <c r="HM3">
        <f>BDH("BBG01XGQYKW4 Equity","PX_LAST,PX_VOLUME","1/1/2020","6/10/2026")</f>
        <v/>
      </c>
      <c r="HQ3">
        <f>BDH("BBG01T4J1LM7 Equity","PX_LAST,PX_VOLUME","1/1/2020","6/10/2026")</f>
        <v/>
      </c>
      <c r="HU3">
        <f>BDH("BBG01XGQSLS4 Equity","PX_LAST,PX_VOLUME","1/1/2020","6/10/2026")</f>
        <v/>
      </c>
      <c r="HY3">
        <f>BDH("BBG01T4J1SX0 Equity","PX_LAST,PX_VOLUME","1/1/2020","6/10/2026")</f>
        <v/>
      </c>
      <c r="IC3">
        <f>BDH("BBG01XGQYC16 Equity","PX_LAST,PX_VOLUME","1/1/2020","6/10/2026")</f>
        <v/>
      </c>
      <c r="IG3">
        <f>BDH("BBG01T4J2J14 Equity","PX_LAST,PX_VOLUME","1/1/2020","6/10/2026")</f>
        <v/>
      </c>
      <c r="IK3">
        <f>BDH("BBG01XGQSMD8 Equity","PX_LAST,PX_VOLUME","1/1/2020","6/10/2026")</f>
        <v/>
      </c>
      <c r="IO3">
        <f>BDH("BBG01T4J1NR8 Equity","PX_LAST,PX_VOLUME","1/1/2020","6/10/2026")</f>
        <v/>
      </c>
      <c r="IS3">
        <f>BDH("BBG01XGQYBF3 Equity","PX_LAST,PX_VOLUME","1/1/2020","6/10/2026")</f>
        <v/>
      </c>
      <c r="IW3">
        <f>BDH("BBG01T4J2GT0 Equity","PX_LAST,PX_VOLUME","1/1/2020","6/10/2026")</f>
        <v/>
      </c>
      <c r="JA3">
        <f>BDH("BBG01XGQYCN2 Equity","PX_LAST,PX_VOLUME","1/1/2020","6/10/2026")</f>
        <v/>
      </c>
      <c r="JE3">
        <f>BDH("BBG01T4J1JS6 Equity","PX_LAST,PX_VOLUME","1/1/2020","6/10/2026")</f>
        <v/>
      </c>
      <c r="JI3">
        <f>BDH("BBG01XGQYK81 Equity","PX_LAST,PX_VOLUME","1/1/2020","6/10/2026")</f>
        <v/>
      </c>
      <c r="JM3">
        <f>BDH("BBG01T4J2JN0 Equity","PX_LAST,PX_VOLUME","1/1/2020","6/10/2026")</f>
        <v/>
      </c>
      <c r="JQ3">
        <f>BDH("BBG01XGQYD87 Equity","PX_LAST,PX_VOLUME","1/1/2020","6/10/2026")</f>
        <v/>
      </c>
      <c r="JU3">
        <f>BDH("BBG01T4J37G3 Equity","PX_LAST,PX_VOLUME","1/1/2020","6/10/2026")</f>
        <v/>
      </c>
      <c r="JY3">
        <f>BDH("BBG01XGQSN00 Equity","PX_LAST,PX_VOLUME","1/1/2020","6/10/2026")</f>
        <v/>
      </c>
      <c r="KC3">
        <f>BDH("BBG01T4J1M72 Equity","PX_LAST,PX_VOLUME","1/1/2020","6/10/2026")</f>
        <v/>
      </c>
      <c r="KG3">
        <f>BDH("BBG01XGQS082 Equity","PX_LAST,PX_VOLUME","1/1/2020","6/10/2026")</f>
        <v/>
      </c>
      <c r="KK3">
        <f>BDH("BBG01T4J1HL7 Equity","PX_LAST,PX_VOLUME","1/1/2020","6/10/2026")</f>
        <v/>
      </c>
      <c r="KO3">
        <f>BDH("BBG01T4J3F11 Equity","PX_LAST,PX_VOLUME","1/1/2020","6/10/2026")</f>
        <v/>
      </c>
      <c r="KS3">
        <f>BDH("BBG01T4J3826 Equity","PX_LAST,PX_VOLUME","1/1/2020","6/10/2026")</f>
        <v/>
      </c>
      <c r="KW3">
        <f>BDH("BBG01T4J1KD9 Equity","PX_LAST,PX_VOLUME","1/1/2020","6/10/2026")</f>
        <v/>
      </c>
      <c r="LA3">
        <f>BDH("BBG01T4J1FR5 Equity","PX_LAST,PX_VOLUME","1/1/2020","6/10/2026")</f>
        <v/>
      </c>
      <c r="LE3">
        <f>BDH("BBG01T4J3GW5 Equity","PX_LAST,PX_VOLUME","1/1/2020","6/10/2026")</f>
        <v/>
      </c>
      <c r="LI3">
        <f>BDH("BBG01T4J36V8 Equity","PX_LAST,PX_VOLUME","1/1/2020","6/10/2026")</f>
        <v/>
      </c>
      <c r="LM3">
        <f>BDH("BBG01T4J2CW5 Equity","PX_LAST,PX_VOLUME","1/1/2020","6/10/2026")</f>
        <v/>
      </c>
      <c r="LQ3">
        <f>BDH("BBG01T4J1J60 Equity","PX_LAST,PX_VOLUME","1/1/2020","6/10/2026")</f>
        <v/>
      </c>
      <c r="LU3">
        <f>BDH("BBG01T4J2BC9 Equity","PX_LAST,PX_VOLUME","1/1/2020","6/10/2026")</f>
        <v/>
      </c>
      <c r="LY3">
        <f>BDH("BBG01T4J2DH0 Equity","PX_LAST,PX_VOLUME","1/1/2020","6/10/2026")</f>
        <v/>
      </c>
      <c r="MC3">
        <f>BDH("BBG01WMX1QR3 Equity","PX_LAST,PX_VOLUME","1/1/2020","6/10/2026")</f>
        <v/>
      </c>
      <c r="MG3">
        <f>BDH("BBG01T4J3997 Equity","PX_LAST,PX_VOLUME","1/1/2020","6/10/2026")</f>
        <v/>
      </c>
      <c r="MK3">
        <f>BDH("BBG01X5P90Y8 Equity","PX_LAST,PX_VOLUME","1/1/2020","6/10/2026")</f>
        <v/>
      </c>
      <c r="MO3">
        <f>BDH("BBG01T4J1L01 Equity","PX_LAST,PX_VOLUME","1/1/2020","6/10/2026")</f>
        <v/>
      </c>
      <c r="MS3">
        <f>BDH("BBG01XJS4WM5 Equity","PX_LAST,PX_VOLUME","1/1/2020","6/10/2026")</f>
        <v/>
      </c>
      <c r="MW3">
        <f>BDH("BBG01T4J3G82 Equity","PX_LAST,PX_VOLUME","1/1/2020","6/10/2026")</f>
        <v/>
      </c>
      <c r="NA3">
        <f>BDH("BBG01XJS4X70 Equity","PX_LAST,PX_VOLUME","1/1/2020","6/10/2026")</f>
        <v/>
      </c>
      <c r="NE3">
        <f>BDH("BBG01T4J2881 Equity","PX_LAST,PX_VOLUME","1/1/2020","6/10/2026")</f>
        <v/>
      </c>
      <c r="NI3">
        <f>BDH("BBG01XJS6W98 Equity","PX_LAST,PX_VOLUME","1/1/2020","6/10/2026")</f>
        <v/>
      </c>
      <c r="NM3">
        <f>BDH("BBG01T4J29R8 Equity","PX_LAST,PX_VOLUME","1/1/2020","6/10/2026")</f>
        <v/>
      </c>
      <c r="NQ3">
        <f>BDH("BBG01XJS6WX1 Equity","PX_LAST,PX_VOLUME","1/1/2020","6/10/2026")</f>
        <v/>
      </c>
      <c r="NU3">
        <f>BDH("BBG01T4J2F30 Equity","PX_LAST,PX_VOLUME","1/1/2020","6/10/2026")</f>
        <v/>
      </c>
      <c r="NY3">
        <f>BDH("BBG01XJSD0T8 Equity","PX_LAST,PX_VOLUME","1/1/2020","6/10/2026")</f>
        <v/>
      </c>
      <c r="OC3">
        <f>BDH("BBG01T4J3FN7 Equity","PX_LAST,PX_VOLUME","1/1/2020","6/10/2026")</f>
        <v/>
      </c>
      <c r="OG3">
        <f>BDH("BBG01XJSCTC4 Equity","PX_LAST,PX_VOLUME","1/1/2020","6/10/2026")</f>
        <v/>
      </c>
      <c r="OK3">
        <f>BDH("BBG01V1SCYN4 Equity","PX_LAST,PX_VOLUME","1/1/2020","6/10/2026")</f>
        <v/>
      </c>
      <c r="OO3">
        <f>BDH("BBG01XJS53Y5 Equity","PX_LAST,PX_VOLUME","1/1/2020","6/10/2026")</f>
        <v/>
      </c>
      <c r="OS3">
        <f>BDH("BBG01V1SCBT8 Equity","PX_LAST,PX_VOLUME","1/1/2020","6/10/2026")</f>
        <v/>
      </c>
      <c r="OW3">
        <f>BDH("BBG01XJSCTZ9 Equity","PX_LAST,PX_VOLUME","1/1/2020","6/10/2026")</f>
        <v/>
      </c>
      <c r="PA3">
        <f>BDH("BBG01RMDT6G4 Equity","PX_LAST,PX_VOLUME","1/1/2020","6/10/2026")</f>
        <v/>
      </c>
      <c r="PE3">
        <f>BDH("BBG01RMDS041 Equity","PX_LAST,PX_VOLUME","1/1/2020","6/10/2026")</f>
        <v/>
      </c>
      <c r="PI3">
        <f>BDH("BBG01RMDT727 Equity","PX_LAST,PX_VOLUME","1/1/2020","6/10/2026")</f>
        <v/>
      </c>
      <c r="PM3">
        <f>BDH("BBG01RMDSQ71 Equity","PX_LAST,PX_VOLUME","1/1/2020","6/10/2026")</f>
        <v/>
      </c>
      <c r="PQ3">
        <f>BDH("BBG01RMDS0V1 Equity","PX_LAST,PX_VOLUME","1/1/2020","6/10/2026")</f>
        <v/>
      </c>
      <c r="PU3">
        <f>BDH("BBG01RMDS5T3 Equity","PX_LAST,PX_VOLUME","1/1/2020","6/10/2026")</f>
        <v/>
      </c>
      <c r="PY3">
        <f>BDH("BBG01RMDS9J6 Equity","PX_LAST,PX_VOLUME","1/1/2020","6/10/2026")</f>
        <v/>
      </c>
      <c r="QC3">
        <f>BDH("BBG01RMDS8X2 Equity","PX_LAST,PX_VOLUME","1/1/2020","6/10/2026")</f>
        <v/>
      </c>
      <c r="QG3">
        <f>BDH("BBG01RMDRQF3 Equity","PX_LAST,PX_VOLUME","1/1/2020","6/10/2026")</f>
        <v/>
      </c>
      <c r="QK3">
        <f>BDH("BBG01RMDS6F6 Equity","PX_LAST,PX_VOLUME","1/1/2020","6/10/2026")</f>
        <v/>
      </c>
      <c r="QO3">
        <f>BDH("BBG01RMDTH89 Equity","PX_LAST,PX_VOLUME","1/1/2020","6/10/2026")</f>
        <v/>
      </c>
      <c r="QS3">
        <f>BDH("BBG01RMDR765 Equity","PX_LAST,PX_VOLUME","1/1/2020","6/10/2026")</f>
        <v/>
      </c>
      <c r="QW3">
        <f>BDH("BBG01RMDRHZ1 Equity","PX_LAST,PX_VOLUME","1/1/2020","6/10/2026")</f>
        <v/>
      </c>
      <c r="RA3">
        <f>BDH("BBG01RMDR7T0 Equity","PX_LAST,PX_VOLUME","1/1/2020","6/10/2026")</f>
        <v/>
      </c>
      <c r="RE3">
        <f>BDH("BBG01RMDQVZ1 Equity","PX_LAST,PX_VOLUME","1/1/2020","6/10/2026")</f>
        <v/>
      </c>
      <c r="RI3">
        <f>BDH("BBG01RMDRS87 Equity","PX_LAST,PX_VOLUME","1/1/2020","6/10/2026")</f>
        <v/>
      </c>
      <c r="RM3">
        <f>BDH("BBG01RMDRJL2 Equity","PX_LAST,PX_VOLUME","1/1/2020","6/10/2026")</f>
        <v/>
      </c>
      <c r="RQ3">
        <f>BDH("BBG01RMDTCV4 Equity","PX_LAST,PX_VOLUME","1/1/2020","6/10/2026")</f>
        <v/>
      </c>
      <c r="RU3">
        <f>BDH("BBG01RMDR471 Equity","PX_LAST,PX_VOLUME","1/1/2020","6/10/2026")</f>
        <v/>
      </c>
      <c r="RY3">
        <f>BDH("BBG01RMDRR16 Equity","PX_LAST,PX_VOLUME","1/1/2020","6/10/2026")</f>
        <v/>
      </c>
      <c r="SC3">
        <f>BDH("BBG01RMDRMR9 Equity","PX_LAST,PX_VOLUME","1/1/2020","6/10/2026")</f>
        <v/>
      </c>
      <c r="SG3">
        <f>BDH("BBG01RMDS7P3 Equity","PX_LAST,PX_VOLUME","1/1/2020","6/10/2026")</f>
        <v/>
      </c>
      <c r="SK3">
        <f>BDH("BBG01RMDR300 Equity","PX_LAST,PX_VOLUME","1/1/2020","6/10/2026")</f>
        <v/>
      </c>
      <c r="SO3">
        <f>BDH("BBG01RMDRLW5 Equity","PX_LAST,PX_VOLUME","1/1/2020","6/10/2026")</f>
        <v/>
      </c>
      <c r="SS3">
        <f>BDH("BBG01RMDTK37 Equity","PX_LAST,PX_VOLUME","1/1/2020","6/10/2026")</f>
        <v/>
      </c>
      <c r="SW3">
        <f>BDH("BBG01RMDSQV4 Equity","PX_LAST,PX_VOLUME","1/1/2020","6/10/2026")</f>
        <v/>
      </c>
      <c r="TA3">
        <f>BDH("BBG01RMDR4V4 Equity","PX_LAST,PX_VOLUME","1/1/2020","6/10/2026")</f>
        <v/>
      </c>
      <c r="TE3">
        <f>BDH("BBG01RMDRRN2 Equity","PX_LAST,PX_VOLUME","1/1/2020","6/10/2026")</f>
        <v/>
      </c>
      <c r="TI3">
        <f>BDH("BBG01RMDS899 Equity","PX_LAST,PX_VOLUME","1/1/2020","6/10/2026")</f>
        <v/>
      </c>
      <c r="TM3">
        <f>BDH("BBG01RMDRG38 Equity","PX_LAST,PX_VOLUME","1/1/2020","6/10/2026")</f>
        <v/>
      </c>
      <c r="TQ3">
        <f>BDH("BBG01RMDR2F6 Equity","PX_LAST,PX_VOLUME","1/1/2020","6/10/2026")</f>
        <v/>
      </c>
      <c r="TU3">
        <f>BDH("BBG01RMDTJH5 Equity","PX_LAST,PX_VOLUME","1/1/2020","6/10/2026")</f>
        <v/>
      </c>
      <c r="TY3">
        <f>BDH("BBG01RMDSYS1 Equity","PX_LAST,PX_VOLUME","1/1/2020","6/10/2026")</f>
        <v/>
      </c>
      <c r="UC3">
        <f>BDH("BBG01RMDR3M6 Equity","PX_LAST,PX_VOLUME","1/1/2020","6/10/2026")</f>
        <v/>
      </c>
      <c r="UG3">
        <f>BDH("BBG01RMDRPL8 Equity","PX_LAST,PX_VOLUME","1/1/2020","6/10/2026")</f>
        <v/>
      </c>
      <c r="UK3">
        <f>BDH("BBG01RMDRNZ8 Equity","PX_LAST,PX_VOLUME","1/1/2020","6/10/2026")</f>
        <v/>
      </c>
      <c r="UO3">
        <f>BDH("BBG01RMDS719 Equity","PX_LAST,PX_VOLUME","1/1/2020","6/10/2026")</f>
        <v/>
      </c>
      <c r="US3">
        <f>BDH("BBG01RMDR5G8 Equity","PX_LAST,PX_VOLUME","1/1/2020","6/10/2026")</f>
        <v/>
      </c>
      <c r="UW3">
        <f>BDH("BBG01RMDTHW2 Equity","PX_LAST,PX_VOLUME","1/1/2020","6/10/2026")</f>
        <v/>
      </c>
      <c r="VA3">
        <f>BDH("BBG01RMDSPM6 Equity","PX_LAST,PX_VOLUME","1/1/2020","6/10/2026")</f>
        <v/>
      </c>
      <c r="VE3">
        <f>BDH("BBG01RMDSW14 Equity","PX_LAST,PX_VOLUME","1/1/2020","6/10/2026")</f>
        <v/>
      </c>
      <c r="VI3">
        <f>BDH("BBG01RMDQY85 Equity","PX_LAST,PX_VOLUME","1/1/2020","6/10/2026")</f>
        <v/>
      </c>
      <c r="VM3">
        <f>BDH("BBG01RMDRNC3 Equity","PX_LAST,PX_VOLUME","1/1/2020","6/10/2026")</f>
        <v/>
      </c>
      <c r="VQ3">
        <f>BDH("BBG01RMDRLP3 Equity","PX_LAST,PX_VOLUME","1/1/2020","6/10/2026")</f>
        <v/>
      </c>
      <c r="VU3">
        <f>BDH("BBG01RMDT004 Equity","PX_LAST,PX_VOLUME","1/1/2020","6/10/2026")</f>
        <v/>
      </c>
      <c r="VY3">
        <f>BDH("BBG01RMDRK66 Equity","PX_LAST,PX_VOLUME","1/1/2020","6/10/2026")</f>
        <v/>
      </c>
      <c r="WC3">
        <f>BDH("BBG01RMDTL44 Equity","PX_LAST,PX_VOLUME","1/1/2020","6/10/2026")</f>
        <v/>
      </c>
      <c r="WG3">
        <f>BDH("BBG01RMDSP00 Equity","PX_LAST,PX_VOLUME","1/1/2020","6/10/2026")</f>
        <v/>
      </c>
      <c r="WK3">
        <f>BDH("BBG01RMDSBV7 Equity","PX_LAST,PX_VOLUME","1/1/2020","6/10/2026")</f>
        <v/>
      </c>
      <c r="WO3">
        <f>BDH("BBG01RMDQYW8 Equity","PX_LAST,PX_VOLUME","1/1/2020","6/10/2026")</f>
        <v/>
      </c>
      <c r="WS3">
        <f>BDH("BBG01RMDS4B5 Equity","PX_LAST,PX_VOLUME","1/1/2020","6/10/2026")</f>
        <v/>
      </c>
      <c r="WW3">
        <f>BDH("BBG01RMDSWN0 Equity","PX_LAST,PX_VOLUME","1/1/2020","6/10/2026")</f>
        <v/>
      </c>
      <c r="XA3">
        <f>BDH("BBG01WY3N1W1 Equity","PX_LAST,PX_VOLUME","1/1/2020","6/10/2026")</f>
        <v/>
      </c>
      <c r="XE3">
        <f>BDH("BBG01RMDSY47 Equity","PX_LAST,PX_VOLUME","1/1/2020","6/10/2026")</f>
        <v/>
      </c>
      <c r="XI3">
        <f>BDH("BBG01X5PBW75 Equity","PX_LAST,PX_VOLUME","1/1/2020","6/10/2026")</f>
        <v/>
      </c>
      <c r="XM3">
        <f>BDH("BBG01RMDSCG2 Equity","PX_LAST,PX_VOLUME","1/1/2020","6/10/2026")</f>
        <v/>
      </c>
      <c r="XQ3">
        <f>BDH("BBG01XJSDQB0 Equity","PX_LAST,PX_VOLUME","1/1/2020","6/10/2026")</f>
        <v/>
      </c>
      <c r="XU3">
        <f>BDH("BBG01RMDSG46 Equity","PX_LAST,PX_VOLUME","1/1/2020","6/10/2026")</f>
        <v/>
      </c>
      <c r="XY3">
        <f>BDH("BBG01XJSJ316 Equity","PX_LAST,PX_VOLUME","1/1/2020","6/10/2026")</f>
        <v/>
      </c>
      <c r="YC3">
        <f>BDH("BBG01RMDT0M0 Equity","PX_LAST,PX_VOLUME","1/1/2020","6/10/2026")</f>
        <v/>
      </c>
      <c r="YG3">
        <f>BDH("BBG01XJSDQY5 Equity","PX_LAST,PX_VOLUME","1/1/2020","6/10/2026")</f>
        <v/>
      </c>
      <c r="YK3">
        <f>BDH("BBG01RMDSND1 Equity","PX_LAST,PX_VOLUME","1/1/2020","6/10/2026")</f>
        <v/>
      </c>
      <c r="YO3">
        <f>BDH("BBG01XJSHWL2 Equity","PX_LAST,PX_VOLUME","1/1/2020","6/10/2026")</f>
        <v/>
      </c>
      <c r="YS3">
        <f>BDH("BBG01RMDSTD8 Equity","PX_LAST,PX_VOLUME","1/1/2020","6/10/2026")</f>
        <v/>
      </c>
      <c r="YW3">
        <f>BDH("BBG01XJSJ1N6 Equity","PX_LAST,PX_VOLUME","1/1/2020","6/10/2026")</f>
        <v/>
      </c>
      <c r="ZA3">
        <f>BDH("BBG01RMDRHB7 Equity","PX_LAST,PX_VOLUME","1/1/2020","6/10/2026")</f>
        <v/>
      </c>
      <c r="ZE3">
        <f>BDH("BBG01XJSJ0F7 Equity","PX_LAST,PX_VOLUME","1/1/2020","6/10/2026")</f>
        <v/>
      </c>
      <c r="ZI3">
        <f>BDH("BBG01RMDSD25 Equity","PX_LAST,PX_VOLUME","1/1/2020","6/10/2026")</f>
        <v/>
      </c>
      <c r="ZM3">
        <f>BDH("BBG01XJSJ110 Equity","PX_LAST,PX_VOLUME","1/1/2020","6/10/2026")</f>
        <v/>
      </c>
      <c r="ZQ3">
        <f>BDH("BBG01RMDSXJ3 Equity","PX_LAST,PX_VOLUME","1/1/2020","6/10/2026")</f>
        <v/>
      </c>
      <c r="ZU3">
        <f>BDH("BBG01XJSD1R8 Equity","PX_LAST,PX_VOLUME","1/1/2020","6/10/2026")</f>
        <v/>
      </c>
      <c r="ZY3">
        <f>BDH("BBG01TL4MLJ2 Equity","PX_LAST,PX_VOLUME","1/1/2020","6/10/2026")</f>
        <v/>
      </c>
      <c r="AAC3">
        <f>BDH("BBG01G1KDL51 Equity","PX_LAST,PX_VOLUME","1/1/2020","6/10/2026")</f>
        <v/>
      </c>
      <c r="AAG3">
        <f>BDH("BBG01TL4MFN0 Equity","PX_LAST,PX_VOLUME","1/1/2020","6/10/2026")</f>
        <v/>
      </c>
      <c r="AAK3">
        <f>BDH("BBG01G1KDM86 Equity","PX_LAST,PX_VOLUME","1/1/2020","6/10/2026")</f>
        <v/>
      </c>
      <c r="AAO3">
        <f>BDH("BBG01TL4MF14 Equity","PX_LAST,PX_VOLUME","1/1/2020","6/10/2026")</f>
        <v/>
      </c>
      <c r="AAS3">
        <f>BDH("BBG01G1KDNC9 Equity","PX_LAST,PX_VOLUME","1/1/2020","6/10/2026")</f>
        <v/>
      </c>
      <c r="AAW3">
        <f>BDH("BBG01TL4M1G9 Equity","PX_LAST,PX_VOLUME","1/1/2020","6/10/2026")</f>
        <v/>
      </c>
      <c r="ABA3">
        <f>BDH("BBG01G1KDPH9 Equity","PX_LAST,PX_VOLUME","1/1/2020","6/10/2026")</f>
        <v/>
      </c>
      <c r="ABE3">
        <f>BDH("BBG01TL4MCT1 Equity","PX_LAST,PX_VOLUME","1/1/2020","6/10/2026")</f>
        <v/>
      </c>
      <c r="ABI3">
        <f>BDH("BBG01G1KDQL2 Equity","PX_LAST,PX_VOLUME","1/1/2020","6/10/2026")</f>
        <v/>
      </c>
      <c r="ABM3">
        <f>BDH("BBG01TL4MDF4 Equity","PX_LAST,PX_VOLUME","1/1/2020","6/10/2026")</f>
        <v/>
      </c>
      <c r="ABQ3">
        <f>BDH("BBG01G1KDRP6 Equity","PX_LAST,PX_VOLUME","1/1/2020","6/10/2026")</f>
        <v/>
      </c>
      <c r="ABU3">
        <f>BDH("BBG01TL4MNC5 Equity","PX_LAST,PX_VOLUME","1/1/2020","6/10/2026")</f>
        <v/>
      </c>
      <c r="ABY3">
        <f>BDH("BBG01G1KDST0 Equity","PX_LAST,PX_VOLUME","1/1/2020","6/10/2026")</f>
        <v/>
      </c>
      <c r="ACC3">
        <f>BDH("BBG01TL4MP03 Equity","PX_LAST,PX_VOLUME","1/1/2020","6/10/2026")</f>
        <v/>
      </c>
      <c r="ACG3">
        <f>BDH("BBG01G1KDTX3 Equity","PX_LAST,PX_VOLUME","1/1/2020","6/10/2026")</f>
        <v/>
      </c>
      <c r="ACK3">
        <f>BDH("BBG01TL4MM46 Equity","PX_LAST,PX_VOLUME","1/1/2020","6/10/2026")</f>
        <v/>
      </c>
      <c r="ACO3">
        <f>BDH("BBG01G1KDW02 Equity","PX_LAST,PX_VOLUME","1/1/2020","6/10/2026")</f>
        <v/>
      </c>
      <c r="ACS3">
        <f>BDH("BBG01TL4MJ25 Equity","PX_LAST,PX_VOLUME","1/1/2020","6/10/2026")</f>
        <v/>
      </c>
      <c r="ACW3">
        <f>BDH("BBG01G1KDX46 Equity","PX_LAST,PX_VOLUME","1/1/2020","6/10/2026")</f>
        <v/>
      </c>
      <c r="ADA3">
        <f>BDH("BBG01TL4MMR1 Equity","PX_LAST,PX_VOLUME","1/1/2020","6/10/2026")</f>
        <v/>
      </c>
      <c r="ADE3">
        <f>BDH("BBG01G1KDY71 Equity","PX_LAST,PX_VOLUME","1/1/2020","6/10/2026")</f>
        <v/>
      </c>
      <c r="ADI3">
        <f>BDH("BBG01XJSG8B7 Equity","PX_LAST,PX_VOLUME","1/1/2020","6/10/2026")</f>
        <v/>
      </c>
      <c r="ADM3">
        <f>BDH("BBG01G1KDZB3 Equity","PX_LAST,PX_VOLUME","1/1/2020","6/10/2026")</f>
        <v/>
      </c>
      <c r="ADQ3">
        <f>BDH("BBG01XJSFXN0 Equity","PX_LAST,PX_VOLUME","1/1/2020","6/10/2026")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BBG01G1KF0G3 Equity (TSLA US 12/19/25 P370)</t>
        </is>
      </c>
      <c r="E1" t="inlineStr">
        <is>
          <t>BBG01XJSG8Y2 Equity (TSLA US 12/19/25 P375)</t>
        </is>
      </c>
      <c r="I1" t="inlineStr">
        <is>
          <t>BBG01G1KF1K6 Equity (TSLA US 12/19/25 P380)</t>
        </is>
      </c>
      <c r="M1" t="inlineStr">
        <is>
          <t>BBG01XJSG7Q3 Equity (TSLA US 12/19/25 P385)</t>
        </is>
      </c>
      <c r="Q1" t="inlineStr">
        <is>
          <t>BBG01G1KF2N1 Equity (TSLA US 12/19/25 P390)</t>
        </is>
      </c>
      <c r="U1" t="inlineStr">
        <is>
          <t>BBG01XJSC894 Equity (TSLA US 12/19/25 P395)</t>
        </is>
      </c>
      <c r="Y1" t="inlineStr">
        <is>
          <t>BBG01GVRDR32 Equity (TSLA US 12/19/25 P400)</t>
        </is>
      </c>
      <c r="AC1" t="inlineStr">
        <is>
          <t>BBG01GWGY6F5 Equity (TSLA US 12/19/25 P405)</t>
        </is>
      </c>
      <c r="AG1" t="inlineStr">
        <is>
          <t>BBG01GXF1555 Equity (TSLA US 12/19/25 P410)</t>
        </is>
      </c>
      <c r="AK1" t="inlineStr">
        <is>
          <t>BBG01XJSG738 Equity (TSLA US 12/19/25 P415)</t>
        </is>
      </c>
      <c r="AO1" t="inlineStr">
        <is>
          <t>BBG01GXF1699 Equity (TSLA US 12/19/25 P420)</t>
        </is>
      </c>
      <c r="AS1" t="inlineStr">
        <is>
          <t>BBG01GZR9YM7 Equity (TSLA US 12/19/25 P425)</t>
        </is>
      </c>
      <c r="AW1" t="inlineStr">
        <is>
          <t>BBG01GXF17D2 Equity (TSLA US 12/19/25 P430)</t>
        </is>
      </c>
      <c r="BA1" t="inlineStr">
        <is>
          <t>BBG01XJSBQC1 Equity (TSLA US 12/19/25 P435)</t>
        </is>
      </c>
      <c r="BE1" t="inlineStr">
        <is>
          <t>BBG01GXQ0NH0 Equity (TSLA US 12/19/25 P440)</t>
        </is>
      </c>
      <c r="BI1" t="inlineStr">
        <is>
          <t>BBG01XJSBRL9 Equity (TSLA US 12/19/25 P445)</t>
        </is>
      </c>
      <c r="BM1" t="inlineStr">
        <is>
          <t>BBG01GYSN3G5 Equity (TSLA US 12/19/25 P450)</t>
        </is>
      </c>
      <c r="BQ1" t="inlineStr">
        <is>
          <t>BBG01XJSBQZ6 Equity (TSLA US 12/19/25 P455)</t>
        </is>
      </c>
      <c r="BU1" t="inlineStr">
        <is>
          <t>BBG01GYSN4L7 Equity (TSLA US 12/19/25 P460)</t>
        </is>
      </c>
      <c r="BY1" t="inlineStr">
        <is>
          <t>BBG01XJSBPR7 Equity (TSLA US 12/19/25 P465)</t>
        </is>
      </c>
      <c r="CC1" t="inlineStr">
        <is>
          <t>BBG01GZR9ZQ0 Equity (TSLA US 12/19/25 P470)</t>
        </is>
      </c>
      <c r="CG1" t="inlineStr">
        <is>
          <t>BBG01GZRB0T1 Equity (TSLA US 12/19/25 P475)</t>
        </is>
      </c>
      <c r="CK1" t="inlineStr">
        <is>
          <t>BBG01GZRB1Y3 Equity (TSLA US 12/19/25 P480)</t>
        </is>
      </c>
      <c r="CO1" t="inlineStr">
        <is>
          <t>BBG01XJSG3S0 Equity (TSLA US 12/19/25 P485)</t>
        </is>
      </c>
      <c r="CS1" t="inlineStr">
        <is>
          <t>BBG01GZRB315 Equity (TSLA US 12/19/25 P490)</t>
        </is>
      </c>
      <c r="CW1" t="inlineStr">
        <is>
          <t>BBG01XJSB4D9 Equity (TSLA US 12/19/25 P495)</t>
        </is>
      </c>
      <c r="DA1" t="inlineStr">
        <is>
          <t>BBG01GZRB440 Equity (TSLA US 12/19/25 P500)</t>
        </is>
      </c>
      <c r="DE1" t="inlineStr">
        <is>
          <t>BBG01XJSBVW8 Equity (TSLA US 12/19/25 P505)</t>
        </is>
      </c>
      <c r="DI1" t="inlineStr">
        <is>
          <t>BBG01H458MB6 Equity (TSLA US 12/19/25 P510)</t>
        </is>
      </c>
      <c r="DM1" t="inlineStr">
        <is>
          <t>BBG01XJSBSF4 Equity (TSLA US 12/19/25 P515)</t>
        </is>
      </c>
      <c r="DQ1" t="inlineStr">
        <is>
          <t>BBG01H458NG9 Equity (TSLA US 12/19/25 P520)</t>
        </is>
      </c>
      <c r="DU1" t="inlineStr">
        <is>
          <t>BBG01XJSBV85 Equity (TSLA US 12/19/25 P525)</t>
        </is>
      </c>
      <c r="DY1" t="inlineStr">
        <is>
          <t>BBG01H458PK9 Equity (TSLA US 12/19/25 P530)</t>
        </is>
      </c>
      <c r="EC1" t="inlineStr">
        <is>
          <t>BBG01XJSFX14 Equity (TSLA US 12/19/25 P535)</t>
        </is>
      </c>
      <c r="EG1" t="inlineStr">
        <is>
          <t>BBG01H458QN4 Equity (TSLA US 12/19/25 P540)</t>
        </is>
      </c>
      <c r="EK1" t="inlineStr">
        <is>
          <t>BBG01XJSBT17 Equity (TSLA US 12/19/25 P545)</t>
        </is>
      </c>
      <c r="EO1" t="inlineStr">
        <is>
          <t>BBG01H4VLC71 Equity (TSLA US 12/19/25 P550)</t>
        </is>
      </c>
      <c r="ES1" t="inlineStr">
        <is>
          <t>BBG01XJSBTN3 Equity (TSLA US 12/19/25 P555)</t>
        </is>
      </c>
      <c r="EW1" t="inlineStr">
        <is>
          <t>BBG01HC543K3 Equity (TSLA US 12/19/25 P560)</t>
        </is>
      </c>
      <c r="FA1" t="inlineStr">
        <is>
          <t>BBG01XJSFT77 Equity (TSLA US 12/19/25 P565)</t>
        </is>
      </c>
      <c r="FE1" t="inlineStr">
        <is>
          <t>BBG01QPLKVP9 Equity (TSLA US 12/19/25 P570)</t>
        </is>
      </c>
      <c r="FI1" t="inlineStr">
        <is>
          <t>BBG01XJSFTV0 Equity (TSLA US 12/19/25 P575)</t>
        </is>
      </c>
      <c r="FM1" t="inlineStr">
        <is>
          <t>BBG01QR8LPX9 Equity (TSLA US 12/19/25 P580)</t>
        </is>
      </c>
      <c r="FQ1" t="inlineStr">
        <is>
          <t>BBG01XJS3G23 Equity (TSLA US 12/19/25 P585)</t>
        </is>
      </c>
      <c r="FU1" t="inlineStr">
        <is>
          <t>BBG01QR8MHZ4 Equity (TSLA US 12/19/25 P590)</t>
        </is>
      </c>
      <c r="FY1" t="inlineStr">
        <is>
          <t>BBG01XJS3GP8 Equity (TSLA US 12/19/25 P595)</t>
        </is>
      </c>
      <c r="GC1" t="inlineStr">
        <is>
          <t>BBG01J8XBMX9 Equity (TSLA US 01/16/26 P360)</t>
        </is>
      </c>
      <c r="GG1" t="inlineStr">
        <is>
          <t>BBG01ZCH3L55 Equity (TSLA US 01/16/26 P362.5)</t>
        </is>
      </c>
      <c r="GK1" t="inlineStr">
        <is>
          <t>BBG01Y31W5W6 Equity (TSLA US 01/16/26 P365)</t>
        </is>
      </c>
      <c r="GO1" t="inlineStr">
        <is>
          <t>BBG01ZCH3R25 Equity (TSLA US 01/16/26 P367.5)</t>
        </is>
      </c>
      <c r="GS1" t="inlineStr">
        <is>
          <t>BBG01J8XBP17 Equity (TSLA US 01/16/26 P370)</t>
        </is>
      </c>
      <c r="GW1" t="inlineStr">
        <is>
          <t>BBG01ZCH4871 Equity (TSLA US 01/16/26 P372.5)</t>
        </is>
      </c>
      <c r="HA1" t="inlineStr">
        <is>
          <t>BBG01Y31RF69 Equity (TSLA US 01/16/26 P375)</t>
        </is>
      </c>
      <c r="HE1" t="inlineStr">
        <is>
          <t>BBG01ZCH3SX9 Equity (TSLA US 01/16/26 P377.5)</t>
        </is>
      </c>
      <c r="HI1" t="inlineStr">
        <is>
          <t>BBG01J8XBQ42 Equity (TSLA US 01/16/26 P380)</t>
        </is>
      </c>
      <c r="HM1" t="inlineStr">
        <is>
          <t>BBG01ZCH48V4 Equity (TSLA US 01/16/26 P382.5)</t>
        </is>
      </c>
      <c r="HQ1" t="inlineStr">
        <is>
          <t>BBG01Y31RDL7 Equity (TSLA US 01/16/26 P385)</t>
        </is>
      </c>
      <c r="HU1" t="inlineStr">
        <is>
          <t>BBG01ZCH3LS0 Equity (TSLA US 01/16/26 P387.5)</t>
        </is>
      </c>
      <c r="HY1" t="inlineStr">
        <is>
          <t>BBG01J8XBR77 Equity (TSLA US 01/16/26 P390)</t>
        </is>
      </c>
      <c r="IC1" t="inlineStr">
        <is>
          <t>BBG01ZCH7GK5 Equity (TSLA US 01/16/26 P392.5)</t>
        </is>
      </c>
      <c r="IG1" t="inlineStr">
        <is>
          <t>BBG01Y31VN58 Equity (TSLA US 01/16/26 P395)</t>
        </is>
      </c>
      <c r="IK1" t="inlineStr">
        <is>
          <t>BBG01ZCH7L06 Equity (TSLA US 01/16/26 P397.5)</t>
        </is>
      </c>
      <c r="IO1" t="inlineStr">
        <is>
          <t>BBG01J8XBSC9 Equity (TSLA US 01/16/26 P400)</t>
        </is>
      </c>
      <c r="IS1" t="inlineStr">
        <is>
          <t>BBG01ZCH6GR9 Equity (TSLA US 01/16/26 P402.5)</t>
        </is>
      </c>
      <c r="IW1" t="inlineStr">
        <is>
          <t>BBG01Y31RL20 Equity (TSLA US 01/16/26 P405)</t>
        </is>
      </c>
      <c r="JA1" t="inlineStr">
        <is>
          <t>BBG01ZCH6YB7 Equity (TSLA US 01/16/26 P407.5)</t>
        </is>
      </c>
      <c r="JE1" t="inlineStr">
        <is>
          <t>BBG01J8XBTG3 Equity (TSLA US 01/16/26 P410)</t>
        </is>
      </c>
      <c r="JI1" t="inlineStr">
        <is>
          <t>BBG01ZCH6HZ8 Equity (TSLA US 01/16/26 P412.5)</t>
        </is>
      </c>
      <c r="JM1" t="inlineStr">
        <is>
          <t>BBG01Y31RKG7 Equity (TSLA US 01/16/26 P415)</t>
        </is>
      </c>
      <c r="JQ1" t="inlineStr">
        <is>
          <t>BBG01ZCH3PV7 Equity (TSLA US 01/16/26 P417.5)</t>
        </is>
      </c>
      <c r="JU1" t="inlineStr">
        <is>
          <t>BBG01J8XBVK3 Equity (TSLA US 01/16/26 P420)</t>
        </is>
      </c>
      <c r="JY1" t="inlineStr">
        <is>
          <t>BBG01ZCH3RP0 Equity (TSLA US 01/16/26 P422.5)</t>
        </is>
      </c>
      <c r="KC1" t="inlineStr">
        <is>
          <t>BBG01Y31RJV3 Equity (TSLA US 01/16/26 P425)</t>
        </is>
      </c>
      <c r="KG1" t="inlineStr">
        <is>
          <t>BBG01ZCH3S96 Equity (TSLA US 01/16/26 P427.5)</t>
        </is>
      </c>
      <c r="KK1" t="inlineStr">
        <is>
          <t>BBG01J8XBWP6 Equity (TSLA US 01/16/26 P430)</t>
        </is>
      </c>
      <c r="KO1" t="inlineStr">
        <is>
          <t>BBG01ZCH3P74 Equity (TSLA US 01/16/26 P432.5)</t>
        </is>
      </c>
      <c r="KS1" t="inlineStr">
        <is>
          <t>BBG01Y31RFT4 Equity (TSLA US 01/16/26 P435)</t>
        </is>
      </c>
      <c r="KW1" t="inlineStr">
        <is>
          <t>BBG01ZCH6G44 Equity (TSLA US 01/16/26 P437.5)</t>
        </is>
      </c>
      <c r="LA1" t="inlineStr">
        <is>
          <t>BBG01J8XBXS1 Equity (TSLA US 01/16/26 P440)</t>
        </is>
      </c>
      <c r="LE1" t="inlineStr">
        <is>
          <t>BBG01ZCH3KK0 Equity (TSLA US 01/16/26 P442.5)</t>
        </is>
      </c>
      <c r="LI1" t="inlineStr">
        <is>
          <t>BBG01Y31WC51 Equity (TSLA US 01/16/26 P445)</t>
        </is>
      </c>
      <c r="LM1" t="inlineStr">
        <is>
          <t>BBG01ZCH3MD4 Equity (TSLA US 01/16/26 P447.5)</t>
        </is>
      </c>
      <c r="LQ1" t="inlineStr">
        <is>
          <t>BBG01J8XBYW4 Equity (TSLA US 01/16/26 P450)</t>
        </is>
      </c>
      <c r="LU1" t="inlineStr">
        <is>
          <t>BBG01ZCH3JY8 Equity (TSLA US 01/16/26 P452.5)</t>
        </is>
      </c>
      <c r="LY1" t="inlineStr">
        <is>
          <t>BBG01Y31VTV6 Equity (TSLA US 01/16/26 P455)</t>
        </is>
      </c>
      <c r="MC1" t="inlineStr">
        <is>
          <t>BBG01Z78YJQ9 Equity (TSLA US 01/16/26 P457.5)</t>
        </is>
      </c>
      <c r="MG1" t="inlineStr">
        <is>
          <t>BBG01J8XC002 Equity (TSLA US 01/16/26 P460)</t>
        </is>
      </c>
      <c r="MK1" t="inlineStr">
        <is>
          <t>BBG01Z78YKB2 Equity (TSLA US 01/16/26 P462.5)</t>
        </is>
      </c>
      <c r="MO1" t="inlineStr">
        <is>
          <t>BBG01Y31WBK6 Equity (TSLA US 01/16/26 P465)</t>
        </is>
      </c>
      <c r="MS1" t="inlineStr">
        <is>
          <t>BBG01Z78YLH4 Equity (TSLA US 01/16/26 P467.5)</t>
        </is>
      </c>
      <c r="MW1" t="inlineStr">
        <is>
          <t>BBG01J8XC137 Equity (TSLA US 01/16/26 P470)</t>
        </is>
      </c>
      <c r="NA1" t="inlineStr">
        <is>
          <t>BBG01Z78W162 Equity (TSLA US 01/16/26 P472.5)</t>
        </is>
      </c>
      <c r="NE1" t="inlineStr">
        <is>
          <t>BBG01Y31RGF7 Equity (TSLA US 01/16/26 P475)</t>
        </is>
      </c>
      <c r="NI1" t="inlineStr">
        <is>
          <t>BBG01Z78W2F0 Equity (TSLA US 01/16/26 P477.5)</t>
        </is>
      </c>
      <c r="NM1" t="inlineStr">
        <is>
          <t>BBG01J8XC262 Equity (TSLA US 01/16/26 P480)</t>
        </is>
      </c>
      <c r="NQ1" t="inlineStr">
        <is>
          <t>BBG01Z78WLS4 Equity (TSLA US 01/16/26 P482.5)</t>
        </is>
      </c>
      <c r="NU1" t="inlineStr">
        <is>
          <t>BBG01Y31VHG9 Equity (TSLA US 01/16/26 P485)</t>
        </is>
      </c>
      <c r="NY1" t="inlineStr">
        <is>
          <t>BBG01Z78YM37 Equity (TSLA US 01/16/26 P487.5)</t>
        </is>
      </c>
      <c r="OC1" t="inlineStr">
        <is>
          <t>BBG01J8XC3B4 Equity (TSLA US 01/16/26 P490)</t>
        </is>
      </c>
      <c r="OG1" t="inlineStr">
        <is>
          <t>BBG01Z78W1T7 Equity (TSLA US 01/16/26 P492.5)</t>
        </is>
      </c>
      <c r="OK1" t="inlineStr">
        <is>
          <t>BBG01Y31VGV4 Equity (TSLA US 01/16/26 P495)</t>
        </is>
      </c>
      <c r="OO1" t="inlineStr">
        <is>
          <t>BBG01Z78YJ34 Equity (TSLA US 01/16/26 P497.5)</t>
        </is>
      </c>
      <c r="OS1" t="inlineStr">
        <is>
          <t>BBG01J8XC4F8 Equity (TSLA US 01/16/26 P500)</t>
        </is>
      </c>
      <c r="OW1" t="inlineStr">
        <is>
          <t>BBG01Z78YHH3 Equity (TSLA US 01/16/26 P502.5)</t>
        </is>
      </c>
      <c r="PA1" t="inlineStr">
        <is>
          <t>BBG01Y31QJS8 Equity (TSLA US 01/16/26 P505)</t>
        </is>
      </c>
      <c r="PE1" t="inlineStr">
        <is>
          <t>BBG01ZCH7D22 Equity (TSLA US 01/16/26 P507.5)</t>
        </is>
      </c>
      <c r="PI1" t="inlineStr">
        <is>
          <t>BBG01J8XC5J1 Equity (TSLA US 01/16/26 P510)</t>
        </is>
      </c>
      <c r="PM1" t="inlineStr">
        <is>
          <t>BBG01ZCH74M0 Equity (TSLA US 01/16/26 P512.5)</t>
        </is>
      </c>
      <c r="PQ1" t="inlineStr">
        <is>
          <t>BBG01Y31PS36 Equity (TSLA US 01/16/26 P515)</t>
        </is>
      </c>
      <c r="PU1" t="inlineStr">
        <is>
          <t>BBG01ZCH35N0 Equity (TSLA US 01/16/26 P517.5)</t>
        </is>
      </c>
      <c r="PY1" t="inlineStr">
        <is>
          <t>BBG01NQ1FNF4 Equity (TSLA US 01/16/26 P520)</t>
        </is>
      </c>
      <c r="QC1" t="inlineStr">
        <is>
          <t>BBG01ZCH76G2 Equity (TSLA US 01/16/26 P522.5)</t>
        </is>
      </c>
      <c r="QG1" t="inlineStr">
        <is>
          <t>BBG01Y31PQW8 Equity (TSLA US 01/16/26 P525)</t>
        </is>
      </c>
      <c r="QK1" t="inlineStr">
        <is>
          <t>BBG01ZCH2ZB8 Equity (TSLA US 01/16/26 P527.5)</t>
        </is>
      </c>
      <c r="QO1" t="inlineStr">
        <is>
          <t>BBG01NQ1FMV8 Equity (TSLA US 01/16/26 P530)</t>
        </is>
      </c>
      <c r="QS1" t="inlineStr">
        <is>
          <t>BBG01ZCH7574 Equity (TSLA US 01/16/26 P532.5)</t>
        </is>
      </c>
      <c r="QW1" t="inlineStr">
        <is>
          <t>BBG01Y31PQ49 Equity (TSLA US 01/16/26 P535)</t>
        </is>
      </c>
      <c r="RA1" t="inlineStr">
        <is>
          <t>BBG01ZCH2YQ5 Equity (TSLA US 01/16/26 P537.5)</t>
        </is>
      </c>
      <c r="RE1" t="inlineStr">
        <is>
          <t>BBG01NRLKBB3 Equity (TSLA US 01/16/26 P540)</t>
        </is>
      </c>
      <c r="RI1" t="inlineStr">
        <is>
          <t>BBG01ZCH75V7 Equity (TSLA US 01/16/26 P542.5)</t>
        </is>
      </c>
      <c r="RM1" t="inlineStr">
        <is>
          <t>BBG01Y31PPJ5 Equity (TSLA US 01/16/26 P545)</t>
        </is>
      </c>
      <c r="RQ1" t="inlineStr">
        <is>
          <t>BBG01ZCH7CG9 Equity (TSLA US 01/16/26 P547.5)</t>
        </is>
      </c>
      <c r="RU1" t="inlineStr">
        <is>
          <t>BBG01QPLHRG2 Equity (TSLA US 01/16/26 P550)</t>
        </is>
      </c>
      <c r="RY1" t="inlineStr">
        <is>
          <t>BBG01ZCH7HS5 Equity (TSLA US 01/16/26 P552.5)</t>
        </is>
      </c>
      <c r="SC1" t="inlineStr">
        <is>
          <t>BBG01Y31R6K3 Equity (TSLA US 01/16/26 P555)</t>
        </is>
      </c>
      <c r="SG1" t="inlineStr">
        <is>
          <t>BBG01ZCH2Y30 Equity (TSLA US 01/16/26 P557.5)</t>
        </is>
      </c>
      <c r="SK1" t="inlineStr">
        <is>
          <t>BBG01QPLJQS9 Equity (TSLA US 01/16/26 P560)</t>
        </is>
      </c>
      <c r="SO1" t="inlineStr">
        <is>
          <t>BBG01ZCH7JD7 Equity (TSLA US 01/16/26 P562.5)</t>
        </is>
      </c>
      <c r="SS1" t="inlineStr">
        <is>
          <t>BBG01Y31R8D7 Equity (TSLA US 01/16/26 P565)</t>
        </is>
      </c>
      <c r="SW1" t="inlineStr">
        <is>
          <t>BBG01ZCH77P0 Equity (TSLA US 01/16/26 P567.5)</t>
        </is>
      </c>
      <c r="TA1" t="inlineStr">
        <is>
          <t>BBG01QPLHS25 Equity (TSLA US 01/16/26 P570)</t>
        </is>
      </c>
      <c r="TE1" t="inlineStr">
        <is>
          <t>BBG01ZCH7H50 Equity (TSLA US 01/16/26 P572.5)</t>
        </is>
      </c>
      <c r="TI1" t="inlineStr">
        <is>
          <t>BBG01Y31VG71 Equity (TSLA US 01/16/26 P575)</t>
        </is>
      </c>
      <c r="TM1" t="inlineStr">
        <is>
          <t>BBG01ZCH7725 Equity (TSLA US 01/16/26 P577.5)</t>
        </is>
      </c>
      <c r="TQ1" t="inlineStr">
        <is>
          <t>BBG01QR8G738 Equity (TSLA US 01/16/26 P580)</t>
        </is>
      </c>
      <c r="TU1" t="inlineStr">
        <is>
          <t>BBG01Y31R758 Equity (TSLA US 01/16/26 P585)</t>
        </is>
      </c>
      <c r="TY1" t="inlineStr">
        <is>
          <t>BBG01QR8G7Q3 Equity (TSLA US 01/16/26 P590)</t>
        </is>
      </c>
      <c r="UC1" t="inlineStr">
        <is>
          <t>BBG01Y31VPD4 Equity (TSLA US 01/16/26 P595)</t>
        </is>
      </c>
      <c r="UG1" t="inlineStr">
        <is>
          <t>BBG01VV8WNG5 Equity (TSLA US 02/20/26 P360)</t>
        </is>
      </c>
      <c r="UK1" t="inlineStr">
        <is>
          <t>BBG01YRRK1B8 Equity (TSLA US 02/20/26 P365)</t>
        </is>
      </c>
      <c r="UO1" t="inlineStr">
        <is>
          <t>BBG01VV8W1F4 Equity (TSLA US 02/20/26 P370)</t>
        </is>
      </c>
      <c r="US1" t="inlineStr">
        <is>
          <t>BBG01YRRK4F8 Equity (TSLA US 02/20/26 P375)</t>
        </is>
      </c>
      <c r="UW1" t="inlineStr">
        <is>
          <t>BBG01VV8VSG5 Equity (TSLA US 02/20/26 P380)</t>
        </is>
      </c>
      <c r="VA1" t="inlineStr">
        <is>
          <t>BBG01YRRD028 Equity (TSLA US 02/20/26 P385)</t>
        </is>
      </c>
      <c r="VE1" t="inlineStr">
        <is>
          <t>BBG01VV8VYQ1 Equity (TSLA US 02/20/26 P390)</t>
        </is>
      </c>
      <c r="VI1" t="inlineStr">
        <is>
          <t>BBG01YRRJQK5 Equity (TSLA US 02/20/26 P395)</t>
        </is>
      </c>
      <c r="VM1" t="inlineStr">
        <is>
          <t>BBG01VV8VZM2 Equity (TSLA US 02/20/26 P400)</t>
        </is>
      </c>
      <c r="VQ1" t="inlineStr">
        <is>
          <t>BBG01YRRBTF3 Equity (TSLA US 02/20/26 P405)</t>
        </is>
      </c>
      <c r="VU1" t="inlineStr">
        <is>
          <t>BBG01VV8WL60 Equity (TSLA US 02/20/26 P410)</t>
        </is>
      </c>
      <c r="VY1" t="inlineStr">
        <is>
          <t>BBG01YRRK976 Equity (TSLA US 02/20/26 P415)</t>
        </is>
      </c>
      <c r="WC1" t="inlineStr">
        <is>
          <t>BBG01VV8W7B5 Equity (TSLA US 02/20/26 P420)</t>
        </is>
      </c>
      <c r="WG1" t="inlineStr">
        <is>
          <t>BBG01YRR8R34 Equity (TSLA US 02/20/26 P425)</t>
        </is>
      </c>
      <c r="WK1" t="inlineStr">
        <is>
          <t>BBG01VV8WLT5 Equity (TSLA US 02/20/26 P430)</t>
        </is>
      </c>
      <c r="WO1" t="inlineStr">
        <is>
          <t>BBG01YRRBV13 Equity (TSLA US 02/20/26 P435)</t>
        </is>
      </c>
      <c r="WS1" t="inlineStr">
        <is>
          <t>BBG01VV8VGK6 Equity (TSLA US 02/20/26 P440)</t>
        </is>
      </c>
      <c r="WW1" t="inlineStr">
        <is>
          <t>BBG01YRRK8M1 Equity (TSLA US 02/20/26 P445)</t>
        </is>
      </c>
      <c r="XA1" t="inlineStr">
        <is>
          <t>BBG01VV8WDR5 Equity (TSLA US 02/20/26 P450)</t>
        </is>
      </c>
      <c r="XE1" t="inlineStr">
        <is>
          <t>BBG01YRRBVN9 Equity (TSLA US 02/20/26 P455)</t>
        </is>
      </c>
      <c r="XI1" t="inlineStr">
        <is>
          <t>BBG01VV8VWY6 Equity (TSLA US 02/20/26 P460)</t>
        </is>
      </c>
      <c r="XM1" t="inlineStr">
        <is>
          <t>BBG01YRRCZG7 Equity (TSLA US 02/20/26 P465)</t>
        </is>
      </c>
      <c r="XQ1" t="inlineStr">
        <is>
          <t>BBG01VV8VRV0 Equity (TSLA US 02/20/26 P470)</t>
        </is>
      </c>
      <c r="XU1" t="inlineStr">
        <is>
          <t>BBG01YRRKC51 Equity (TSLA US 02/20/26 P475)</t>
        </is>
      </c>
      <c r="XY1" t="inlineStr">
        <is>
          <t>BBG01VV8VWB1 Equity (TSLA US 02/20/26 P480)</t>
        </is>
      </c>
      <c r="YC1" t="inlineStr">
        <is>
          <t>BBG01YRRK805 Equity (TSLA US 02/20/26 P485)</t>
        </is>
      </c>
      <c r="YG1" t="inlineStr">
        <is>
          <t>BBG01VV8WD40 Equity (TSLA US 02/20/26 P490)</t>
        </is>
      </c>
      <c r="YK1" t="inlineStr">
        <is>
          <t>BBG01YRRKCS6 Equity (TSLA US 02/20/26 P495)</t>
        </is>
      </c>
      <c r="YO1" t="inlineStr">
        <is>
          <t>BBG01VV8X1Z1 Equity (TSLA US 02/20/26 P500)</t>
        </is>
      </c>
      <c r="YS1" t="inlineStr">
        <is>
          <t>BBG01YRR8RQ9 Equity (TSLA US 02/20/26 P505)</t>
        </is>
      </c>
      <c r="YW1" t="inlineStr">
        <is>
          <t>BBG01VV8WCV2 Equity (TSLA US 02/20/26 P510)</t>
        </is>
      </c>
      <c r="ZA1" t="inlineStr">
        <is>
          <t>BBG01YRRJY82 Equity (TSLA US 02/20/26 P515)</t>
        </is>
      </c>
      <c r="ZE1" t="inlineStr">
        <is>
          <t>BBG01VV8X5Q2 Equity (TSLA US 02/20/26 P520)</t>
        </is>
      </c>
      <c r="ZI1" t="inlineStr">
        <is>
          <t>BBG01YRRJVH8 Equity (TSLA US 02/20/26 P525)</t>
        </is>
      </c>
      <c r="ZM1" t="inlineStr">
        <is>
          <t>BBG01VV8WBM4 Equity (TSLA US 02/20/26 P530)</t>
        </is>
      </c>
      <c r="ZQ1" t="inlineStr">
        <is>
          <t>BBG01YRRBQW0 Equity (TSLA US 02/20/26 P535)</t>
        </is>
      </c>
      <c r="ZU1" t="inlineStr">
        <is>
          <t>BBG01VV8X6B6 Equity (TSLA US 02/20/26 P540)</t>
        </is>
      </c>
      <c r="ZY1" t="inlineStr">
        <is>
          <t>BBG01YRRK510 Equity (TSLA US 02/20/26 P545)</t>
        </is>
      </c>
      <c r="AAC1" t="inlineStr">
        <is>
          <t>BBG01VV8WC79 Equity (TSLA US 02/20/26 P550)</t>
        </is>
      </c>
      <c r="AAG1" t="inlineStr">
        <is>
          <t>BBG01YRRBRH5 Equity (TSLA US 02/20/26 P555)</t>
        </is>
      </c>
      <c r="AAK1" t="inlineStr">
        <is>
          <t>BBG01VV8X537 Equity (TSLA US 02/20/26 P560)</t>
        </is>
      </c>
      <c r="AAO1" t="inlineStr">
        <is>
          <t>BBG01YRRB716 Equity (TSLA US 02/20/26 P565)</t>
        </is>
      </c>
      <c r="AAS1" t="inlineStr">
        <is>
          <t>BBG01VV8VH51 Equity (TSLA US 02/20/26 P570)</t>
        </is>
      </c>
      <c r="AAW1" t="inlineStr">
        <is>
          <t>BBG01YRRJN04 Equity (TSLA US 02/20/26 P575)</t>
        </is>
      </c>
      <c r="ABA1" t="inlineStr">
        <is>
          <t>BBG01VV8W360 Equity (TSLA US 02/20/26 P580)</t>
        </is>
      </c>
      <c r="ABE1" t="inlineStr">
        <is>
          <t>BBG01YRRJMD2 Equity (TSLA US 02/20/26 P585)</t>
        </is>
      </c>
      <c r="ABI1" t="inlineStr">
        <is>
          <t>BBG01VV8W8K3 Equity (TSLA US 02/20/26 P590)</t>
        </is>
      </c>
      <c r="ABM1" t="inlineStr">
        <is>
          <t>BBG01YRRJNM0 Equity (TSLA US 02/20/26 P595)</t>
        </is>
      </c>
      <c r="ABQ1" t="inlineStr">
        <is>
          <t>BBG01RZMPCC5 Equity (TSLA US 03/20/26 P360)</t>
        </is>
      </c>
      <c r="ABU1" t="inlineStr">
        <is>
          <t>BBG01W66YPL2 Equity (TSLA US 03/20/26 P365)</t>
        </is>
      </c>
      <c r="ABY1" t="inlineStr">
        <is>
          <t>BBG01RZMP8L4 Equity (TSLA US 03/20/26 P370)</t>
        </is>
      </c>
      <c r="ACC1" t="inlineStr">
        <is>
          <t>BBG01W66XZP7 Equity (TSLA US 03/20/26 P375)</t>
        </is>
      </c>
      <c r="ACG1" t="inlineStr">
        <is>
          <t>BBG01RZMNLC7 Equity (TSLA US 03/20/26 P380)</t>
        </is>
      </c>
      <c r="ACK1" t="inlineStr">
        <is>
          <t>BBG01W66XCF9 Equity (TSLA US 03/20/26 P385)</t>
        </is>
      </c>
      <c r="ACO1" t="inlineStr">
        <is>
          <t>BBG01RZMNZ27 Equity (TSLA US 03/20/26 P390)</t>
        </is>
      </c>
      <c r="ACS1" t="inlineStr">
        <is>
          <t>BBG01W66XD12 Equity (TSLA US 03/20/26 P395)</t>
        </is>
      </c>
      <c r="ACW1" t="inlineStr">
        <is>
          <t>BBG01RZMNWH8 Equity (TSLA US 03/20/26 P400)</t>
        </is>
      </c>
      <c r="ADA1" t="inlineStr">
        <is>
          <t>BBG01W66XJ91 Equity (TSLA US 03/20/26 P405)</t>
        </is>
      </c>
      <c r="ADE1" t="inlineStr">
        <is>
          <t>BBG01RZMPY91 Equity (TSLA US 03/20/26 P410)</t>
        </is>
      </c>
      <c r="ADI1" t="inlineStr">
        <is>
          <t>BBG01W66YJB7 Equity (TSLA US 03/20/26 P415)</t>
        </is>
      </c>
      <c r="ADM1" t="inlineStr">
        <is>
          <t>BBG01RZMNX31 Equity (TSLA US 03/20/26 P420)</t>
        </is>
      </c>
      <c r="ADQ1" t="inlineStr">
        <is>
          <t>BBG01ZCZB0K5 Equity (TSLA US 03/20/26 P425)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BDH("BBG01G1KF0G3 Equity","PX_LAST,PX_VOLUME","1/1/2020","6/10/2026")</f>
        <v/>
      </c>
      <c r="E3">
        <f>BDH("BBG01XJSG8Y2 Equity","PX_LAST,PX_VOLUME","1/1/2020","6/10/2026")</f>
        <v/>
      </c>
      <c r="I3">
        <f>BDH("BBG01G1KF1K6 Equity","PX_LAST,PX_VOLUME","1/1/2020","6/10/2026")</f>
        <v/>
      </c>
      <c r="M3">
        <f>BDH("BBG01XJSG7Q3 Equity","PX_LAST,PX_VOLUME","1/1/2020","6/10/2026")</f>
        <v/>
      </c>
      <c r="Q3">
        <f>BDH("BBG01G1KF2N1 Equity","PX_LAST,PX_VOLUME","1/1/2020","6/10/2026")</f>
        <v/>
      </c>
      <c r="U3">
        <f>BDH("BBG01XJSC894 Equity","PX_LAST,PX_VOLUME","1/1/2020","6/10/2026")</f>
        <v/>
      </c>
      <c r="Y3">
        <f>BDH("BBG01GVRDR32 Equity","PX_LAST,PX_VOLUME","1/1/2020","6/10/2026")</f>
        <v/>
      </c>
      <c r="AC3">
        <f>BDH("BBG01GWGY6F5 Equity","PX_LAST,PX_VOLUME","1/1/2020","6/10/2026")</f>
        <v/>
      </c>
      <c r="AG3">
        <f>BDH("BBG01GXF1555 Equity","PX_LAST,PX_VOLUME","1/1/2020","6/10/2026")</f>
        <v/>
      </c>
      <c r="AK3">
        <f>BDH("BBG01XJSG738 Equity","PX_LAST,PX_VOLUME","1/1/2020","6/10/2026")</f>
        <v/>
      </c>
      <c r="AO3">
        <f>BDH("BBG01GXF1699 Equity","PX_LAST,PX_VOLUME","1/1/2020","6/10/2026")</f>
        <v/>
      </c>
      <c r="AS3">
        <f>BDH("BBG01GZR9YM7 Equity","PX_LAST,PX_VOLUME","1/1/2020","6/10/2026")</f>
        <v/>
      </c>
      <c r="AW3">
        <f>BDH("BBG01GXF17D2 Equity","PX_LAST,PX_VOLUME","1/1/2020","6/10/2026")</f>
        <v/>
      </c>
      <c r="BA3">
        <f>BDH("BBG01XJSBQC1 Equity","PX_LAST,PX_VOLUME","1/1/2020","6/10/2026")</f>
        <v/>
      </c>
      <c r="BE3">
        <f>BDH("BBG01GXQ0NH0 Equity","PX_LAST,PX_VOLUME","1/1/2020","6/10/2026")</f>
        <v/>
      </c>
      <c r="BI3">
        <f>BDH("BBG01XJSBRL9 Equity","PX_LAST,PX_VOLUME","1/1/2020","6/10/2026")</f>
        <v/>
      </c>
      <c r="BM3">
        <f>BDH("BBG01GYSN3G5 Equity","PX_LAST,PX_VOLUME","1/1/2020","6/10/2026")</f>
        <v/>
      </c>
      <c r="BQ3">
        <f>BDH("BBG01XJSBQZ6 Equity","PX_LAST,PX_VOLUME","1/1/2020","6/10/2026")</f>
        <v/>
      </c>
      <c r="BU3">
        <f>BDH("BBG01GYSN4L7 Equity","PX_LAST,PX_VOLUME","1/1/2020","6/10/2026")</f>
        <v/>
      </c>
      <c r="BY3">
        <f>BDH("BBG01XJSBPR7 Equity","PX_LAST,PX_VOLUME","1/1/2020","6/10/2026")</f>
        <v/>
      </c>
      <c r="CC3">
        <f>BDH("BBG01GZR9ZQ0 Equity","PX_LAST,PX_VOLUME","1/1/2020","6/10/2026")</f>
        <v/>
      </c>
      <c r="CG3">
        <f>BDH("BBG01GZRB0T1 Equity","PX_LAST,PX_VOLUME","1/1/2020","6/10/2026")</f>
        <v/>
      </c>
      <c r="CK3">
        <f>BDH("BBG01GZRB1Y3 Equity","PX_LAST,PX_VOLUME","1/1/2020","6/10/2026")</f>
        <v/>
      </c>
      <c r="CO3">
        <f>BDH("BBG01XJSG3S0 Equity","PX_LAST,PX_VOLUME","1/1/2020","6/10/2026")</f>
        <v/>
      </c>
      <c r="CS3">
        <f>BDH("BBG01GZRB315 Equity","PX_LAST,PX_VOLUME","1/1/2020","6/10/2026")</f>
        <v/>
      </c>
      <c r="CW3">
        <f>BDH("BBG01XJSB4D9 Equity","PX_LAST,PX_VOLUME","1/1/2020","6/10/2026")</f>
        <v/>
      </c>
      <c r="DA3">
        <f>BDH("BBG01GZRB440 Equity","PX_LAST,PX_VOLUME","1/1/2020","6/10/2026")</f>
        <v/>
      </c>
      <c r="DE3">
        <f>BDH("BBG01XJSBVW8 Equity","PX_LAST,PX_VOLUME","1/1/2020","6/10/2026")</f>
        <v/>
      </c>
      <c r="DI3">
        <f>BDH("BBG01H458MB6 Equity","PX_LAST,PX_VOLUME","1/1/2020","6/10/2026")</f>
        <v/>
      </c>
      <c r="DM3">
        <f>BDH("BBG01XJSBSF4 Equity","PX_LAST,PX_VOLUME","1/1/2020","6/10/2026")</f>
        <v/>
      </c>
      <c r="DQ3">
        <f>BDH("BBG01H458NG9 Equity","PX_LAST,PX_VOLUME","1/1/2020","6/10/2026")</f>
        <v/>
      </c>
      <c r="DU3">
        <f>BDH("BBG01XJSBV85 Equity","PX_LAST,PX_VOLUME","1/1/2020","6/10/2026")</f>
        <v/>
      </c>
      <c r="DY3">
        <f>BDH("BBG01H458PK9 Equity","PX_LAST,PX_VOLUME","1/1/2020","6/10/2026")</f>
        <v/>
      </c>
      <c r="EC3">
        <f>BDH("BBG01XJSFX14 Equity","PX_LAST,PX_VOLUME","1/1/2020","6/10/2026")</f>
        <v/>
      </c>
      <c r="EG3">
        <f>BDH("BBG01H458QN4 Equity","PX_LAST,PX_VOLUME","1/1/2020","6/10/2026")</f>
        <v/>
      </c>
      <c r="EK3">
        <f>BDH("BBG01XJSBT17 Equity","PX_LAST,PX_VOLUME","1/1/2020","6/10/2026")</f>
        <v/>
      </c>
      <c r="EO3">
        <f>BDH("BBG01H4VLC71 Equity","PX_LAST,PX_VOLUME","1/1/2020","6/10/2026")</f>
        <v/>
      </c>
      <c r="ES3">
        <f>BDH("BBG01XJSBTN3 Equity","PX_LAST,PX_VOLUME","1/1/2020","6/10/2026")</f>
        <v/>
      </c>
      <c r="EW3">
        <f>BDH("BBG01HC543K3 Equity","PX_LAST,PX_VOLUME","1/1/2020","6/10/2026")</f>
        <v/>
      </c>
      <c r="FA3">
        <f>BDH("BBG01XJSFT77 Equity","PX_LAST,PX_VOLUME","1/1/2020","6/10/2026")</f>
        <v/>
      </c>
      <c r="FE3">
        <f>BDH("BBG01QPLKVP9 Equity","PX_LAST,PX_VOLUME","1/1/2020","6/10/2026")</f>
        <v/>
      </c>
      <c r="FI3">
        <f>BDH("BBG01XJSFTV0 Equity","PX_LAST,PX_VOLUME","1/1/2020","6/10/2026")</f>
        <v/>
      </c>
      <c r="FM3">
        <f>BDH("BBG01QR8LPX9 Equity","PX_LAST,PX_VOLUME","1/1/2020","6/10/2026")</f>
        <v/>
      </c>
      <c r="FQ3">
        <f>BDH("BBG01XJS3G23 Equity","PX_LAST,PX_VOLUME","1/1/2020","6/10/2026")</f>
        <v/>
      </c>
      <c r="FU3">
        <f>BDH("BBG01QR8MHZ4 Equity","PX_LAST,PX_VOLUME","1/1/2020","6/10/2026")</f>
        <v/>
      </c>
      <c r="FY3">
        <f>BDH("BBG01XJS3GP8 Equity","PX_LAST,PX_VOLUME","1/1/2020","6/10/2026")</f>
        <v/>
      </c>
      <c r="GC3">
        <f>BDH("BBG01J8XBMX9 Equity","PX_LAST,PX_VOLUME","1/1/2020","6/10/2026")</f>
        <v/>
      </c>
      <c r="GG3">
        <f>BDH("BBG01ZCH3L55 Equity","PX_LAST,PX_VOLUME","1/1/2020","6/10/2026")</f>
        <v/>
      </c>
      <c r="GK3">
        <f>BDH("BBG01Y31W5W6 Equity","PX_LAST,PX_VOLUME","1/1/2020","6/10/2026")</f>
        <v/>
      </c>
      <c r="GO3">
        <f>BDH("BBG01ZCH3R25 Equity","PX_LAST,PX_VOLUME","1/1/2020","6/10/2026")</f>
        <v/>
      </c>
      <c r="GS3">
        <f>BDH("BBG01J8XBP17 Equity","PX_LAST,PX_VOLUME","1/1/2020","6/10/2026")</f>
        <v/>
      </c>
      <c r="GW3">
        <f>BDH("BBG01ZCH4871 Equity","PX_LAST,PX_VOLUME","1/1/2020","6/10/2026")</f>
        <v/>
      </c>
      <c r="HA3">
        <f>BDH("BBG01Y31RF69 Equity","PX_LAST,PX_VOLUME","1/1/2020","6/10/2026")</f>
        <v/>
      </c>
      <c r="HE3">
        <f>BDH("BBG01ZCH3SX9 Equity","PX_LAST,PX_VOLUME","1/1/2020","6/10/2026")</f>
        <v/>
      </c>
      <c r="HI3">
        <f>BDH("BBG01J8XBQ42 Equity","PX_LAST,PX_VOLUME","1/1/2020","6/10/2026")</f>
        <v/>
      </c>
      <c r="HM3">
        <f>BDH("BBG01ZCH48V4 Equity","PX_LAST,PX_VOLUME","1/1/2020","6/10/2026")</f>
        <v/>
      </c>
      <c r="HQ3">
        <f>BDH("BBG01Y31RDL7 Equity","PX_LAST,PX_VOLUME","1/1/2020","6/10/2026")</f>
        <v/>
      </c>
      <c r="HU3">
        <f>BDH("BBG01ZCH3LS0 Equity","PX_LAST,PX_VOLUME","1/1/2020","6/10/2026")</f>
        <v/>
      </c>
      <c r="HY3">
        <f>BDH("BBG01J8XBR77 Equity","PX_LAST,PX_VOLUME","1/1/2020","6/10/2026")</f>
        <v/>
      </c>
      <c r="IC3">
        <f>BDH("BBG01ZCH7GK5 Equity","PX_LAST,PX_VOLUME","1/1/2020","6/10/2026")</f>
        <v/>
      </c>
      <c r="IG3">
        <f>BDH("BBG01Y31VN58 Equity","PX_LAST,PX_VOLUME","1/1/2020","6/10/2026")</f>
        <v/>
      </c>
      <c r="IK3">
        <f>BDH("BBG01ZCH7L06 Equity","PX_LAST,PX_VOLUME","1/1/2020","6/10/2026")</f>
        <v/>
      </c>
      <c r="IO3">
        <f>BDH("BBG01J8XBSC9 Equity","PX_LAST,PX_VOLUME","1/1/2020","6/10/2026")</f>
        <v/>
      </c>
      <c r="IS3">
        <f>BDH("BBG01ZCH6GR9 Equity","PX_LAST,PX_VOLUME","1/1/2020","6/10/2026")</f>
        <v/>
      </c>
      <c r="IW3">
        <f>BDH("BBG01Y31RL20 Equity","PX_LAST,PX_VOLUME","1/1/2020","6/10/2026")</f>
        <v/>
      </c>
      <c r="JA3">
        <f>BDH("BBG01ZCH6YB7 Equity","PX_LAST,PX_VOLUME","1/1/2020","6/10/2026")</f>
        <v/>
      </c>
      <c r="JE3">
        <f>BDH("BBG01J8XBTG3 Equity","PX_LAST,PX_VOLUME","1/1/2020","6/10/2026")</f>
        <v/>
      </c>
      <c r="JI3">
        <f>BDH("BBG01ZCH6HZ8 Equity","PX_LAST,PX_VOLUME","1/1/2020","6/10/2026")</f>
        <v/>
      </c>
      <c r="JM3">
        <f>BDH("BBG01Y31RKG7 Equity","PX_LAST,PX_VOLUME","1/1/2020","6/10/2026")</f>
        <v/>
      </c>
      <c r="JQ3">
        <f>BDH("BBG01ZCH3PV7 Equity","PX_LAST,PX_VOLUME","1/1/2020","6/10/2026")</f>
        <v/>
      </c>
      <c r="JU3">
        <f>BDH("BBG01J8XBVK3 Equity","PX_LAST,PX_VOLUME","1/1/2020","6/10/2026")</f>
        <v/>
      </c>
      <c r="JY3">
        <f>BDH("BBG01ZCH3RP0 Equity","PX_LAST,PX_VOLUME","1/1/2020","6/10/2026")</f>
        <v/>
      </c>
      <c r="KC3">
        <f>BDH("BBG01Y31RJV3 Equity","PX_LAST,PX_VOLUME","1/1/2020","6/10/2026")</f>
        <v/>
      </c>
      <c r="KG3">
        <f>BDH("BBG01ZCH3S96 Equity","PX_LAST,PX_VOLUME","1/1/2020","6/10/2026")</f>
        <v/>
      </c>
      <c r="KK3">
        <f>BDH("BBG01J8XBWP6 Equity","PX_LAST,PX_VOLUME","1/1/2020","6/10/2026")</f>
        <v/>
      </c>
      <c r="KO3">
        <f>BDH("BBG01ZCH3P74 Equity","PX_LAST,PX_VOLUME","1/1/2020","6/10/2026")</f>
        <v/>
      </c>
      <c r="KS3">
        <f>BDH("BBG01Y31RFT4 Equity","PX_LAST,PX_VOLUME","1/1/2020","6/10/2026")</f>
        <v/>
      </c>
      <c r="KW3">
        <f>BDH("BBG01ZCH6G44 Equity","PX_LAST,PX_VOLUME","1/1/2020","6/10/2026")</f>
        <v/>
      </c>
      <c r="LA3">
        <f>BDH("BBG01J8XBXS1 Equity","PX_LAST,PX_VOLUME","1/1/2020","6/10/2026")</f>
        <v/>
      </c>
      <c r="LE3">
        <f>BDH("BBG01ZCH3KK0 Equity","PX_LAST,PX_VOLUME","1/1/2020","6/10/2026")</f>
        <v/>
      </c>
      <c r="LI3">
        <f>BDH("BBG01Y31WC51 Equity","PX_LAST,PX_VOLUME","1/1/2020","6/10/2026")</f>
        <v/>
      </c>
      <c r="LM3">
        <f>BDH("BBG01ZCH3MD4 Equity","PX_LAST,PX_VOLUME","1/1/2020","6/10/2026")</f>
        <v/>
      </c>
      <c r="LQ3">
        <f>BDH("BBG01J8XBYW4 Equity","PX_LAST,PX_VOLUME","1/1/2020","6/10/2026")</f>
        <v/>
      </c>
      <c r="LU3">
        <f>BDH("BBG01ZCH3JY8 Equity","PX_LAST,PX_VOLUME","1/1/2020","6/10/2026")</f>
        <v/>
      </c>
      <c r="LY3">
        <f>BDH("BBG01Y31VTV6 Equity","PX_LAST,PX_VOLUME","1/1/2020","6/10/2026")</f>
        <v/>
      </c>
      <c r="MC3">
        <f>BDH("BBG01Z78YJQ9 Equity","PX_LAST,PX_VOLUME","1/1/2020","6/10/2026")</f>
        <v/>
      </c>
      <c r="MG3">
        <f>BDH("BBG01J8XC002 Equity","PX_LAST,PX_VOLUME","1/1/2020","6/10/2026")</f>
        <v/>
      </c>
      <c r="MK3">
        <f>BDH("BBG01Z78YKB2 Equity","PX_LAST,PX_VOLUME","1/1/2020","6/10/2026")</f>
        <v/>
      </c>
      <c r="MO3">
        <f>BDH("BBG01Y31WBK6 Equity","PX_LAST,PX_VOLUME","1/1/2020","6/10/2026")</f>
        <v/>
      </c>
      <c r="MS3">
        <f>BDH("BBG01Z78YLH4 Equity","PX_LAST,PX_VOLUME","1/1/2020","6/10/2026")</f>
        <v/>
      </c>
      <c r="MW3">
        <f>BDH("BBG01J8XC137 Equity","PX_LAST,PX_VOLUME","1/1/2020","6/10/2026")</f>
        <v/>
      </c>
      <c r="NA3">
        <f>BDH("BBG01Z78W162 Equity","PX_LAST,PX_VOLUME","1/1/2020","6/10/2026")</f>
        <v/>
      </c>
      <c r="NE3">
        <f>BDH("BBG01Y31RGF7 Equity","PX_LAST,PX_VOLUME","1/1/2020","6/10/2026")</f>
        <v/>
      </c>
      <c r="NI3">
        <f>BDH("BBG01Z78W2F0 Equity","PX_LAST,PX_VOLUME","1/1/2020","6/10/2026")</f>
        <v/>
      </c>
      <c r="NM3">
        <f>BDH("BBG01J8XC262 Equity","PX_LAST,PX_VOLUME","1/1/2020","6/10/2026")</f>
        <v/>
      </c>
      <c r="NQ3">
        <f>BDH("BBG01Z78WLS4 Equity","PX_LAST,PX_VOLUME","1/1/2020","6/10/2026")</f>
        <v/>
      </c>
      <c r="NU3">
        <f>BDH("BBG01Y31VHG9 Equity","PX_LAST,PX_VOLUME","1/1/2020","6/10/2026")</f>
        <v/>
      </c>
      <c r="NY3">
        <f>BDH("BBG01Z78YM37 Equity","PX_LAST,PX_VOLUME","1/1/2020","6/10/2026")</f>
        <v/>
      </c>
      <c r="OC3">
        <f>BDH("BBG01J8XC3B4 Equity","PX_LAST,PX_VOLUME","1/1/2020","6/10/2026")</f>
        <v/>
      </c>
      <c r="OG3">
        <f>BDH("BBG01Z78W1T7 Equity","PX_LAST,PX_VOLUME","1/1/2020","6/10/2026")</f>
        <v/>
      </c>
      <c r="OK3">
        <f>BDH("BBG01Y31VGV4 Equity","PX_LAST,PX_VOLUME","1/1/2020","6/10/2026")</f>
        <v/>
      </c>
      <c r="OO3">
        <f>BDH("BBG01Z78YJ34 Equity","PX_LAST,PX_VOLUME","1/1/2020","6/10/2026")</f>
        <v/>
      </c>
      <c r="OS3">
        <f>BDH("BBG01J8XC4F8 Equity","PX_LAST,PX_VOLUME","1/1/2020","6/10/2026")</f>
        <v/>
      </c>
      <c r="OW3">
        <f>BDH("BBG01Z78YHH3 Equity","PX_LAST,PX_VOLUME","1/1/2020","6/10/2026")</f>
        <v/>
      </c>
      <c r="PA3">
        <f>BDH("BBG01Y31QJS8 Equity","PX_LAST,PX_VOLUME","1/1/2020","6/10/2026")</f>
        <v/>
      </c>
      <c r="PE3">
        <f>BDH("BBG01ZCH7D22 Equity","PX_LAST,PX_VOLUME","1/1/2020","6/10/2026")</f>
        <v/>
      </c>
      <c r="PI3">
        <f>BDH("BBG01J8XC5J1 Equity","PX_LAST,PX_VOLUME","1/1/2020","6/10/2026")</f>
        <v/>
      </c>
      <c r="PM3">
        <f>BDH("BBG01ZCH74M0 Equity","PX_LAST,PX_VOLUME","1/1/2020","6/10/2026")</f>
        <v/>
      </c>
      <c r="PQ3">
        <f>BDH("BBG01Y31PS36 Equity","PX_LAST,PX_VOLUME","1/1/2020","6/10/2026")</f>
        <v/>
      </c>
      <c r="PU3">
        <f>BDH("BBG01ZCH35N0 Equity","PX_LAST,PX_VOLUME","1/1/2020","6/10/2026")</f>
        <v/>
      </c>
      <c r="PY3">
        <f>BDH("BBG01NQ1FNF4 Equity","PX_LAST,PX_VOLUME","1/1/2020","6/10/2026")</f>
        <v/>
      </c>
      <c r="QC3">
        <f>BDH("BBG01ZCH76G2 Equity","PX_LAST,PX_VOLUME","1/1/2020","6/10/2026")</f>
        <v/>
      </c>
      <c r="QG3">
        <f>BDH("BBG01Y31PQW8 Equity","PX_LAST,PX_VOLUME","1/1/2020","6/10/2026")</f>
        <v/>
      </c>
      <c r="QK3">
        <f>BDH("BBG01ZCH2ZB8 Equity","PX_LAST,PX_VOLUME","1/1/2020","6/10/2026")</f>
        <v/>
      </c>
      <c r="QO3">
        <f>BDH("BBG01NQ1FMV8 Equity","PX_LAST,PX_VOLUME","1/1/2020","6/10/2026")</f>
        <v/>
      </c>
      <c r="QS3">
        <f>BDH("BBG01ZCH7574 Equity","PX_LAST,PX_VOLUME","1/1/2020","6/10/2026")</f>
        <v/>
      </c>
      <c r="QW3">
        <f>BDH("BBG01Y31PQ49 Equity","PX_LAST,PX_VOLUME","1/1/2020","6/10/2026")</f>
        <v/>
      </c>
      <c r="RA3">
        <f>BDH("BBG01ZCH2YQ5 Equity","PX_LAST,PX_VOLUME","1/1/2020","6/10/2026")</f>
        <v/>
      </c>
      <c r="RE3">
        <f>BDH("BBG01NRLKBB3 Equity","PX_LAST,PX_VOLUME","1/1/2020","6/10/2026")</f>
        <v/>
      </c>
      <c r="RI3">
        <f>BDH("BBG01ZCH75V7 Equity","PX_LAST,PX_VOLUME","1/1/2020","6/10/2026")</f>
        <v/>
      </c>
      <c r="RM3">
        <f>BDH("BBG01Y31PPJ5 Equity","PX_LAST,PX_VOLUME","1/1/2020","6/10/2026")</f>
        <v/>
      </c>
      <c r="RQ3">
        <f>BDH("BBG01ZCH7CG9 Equity","PX_LAST,PX_VOLUME","1/1/2020","6/10/2026")</f>
        <v/>
      </c>
      <c r="RU3">
        <f>BDH("BBG01QPLHRG2 Equity","PX_LAST,PX_VOLUME","1/1/2020","6/10/2026")</f>
        <v/>
      </c>
      <c r="RY3">
        <f>BDH("BBG01ZCH7HS5 Equity","PX_LAST,PX_VOLUME","1/1/2020","6/10/2026")</f>
        <v/>
      </c>
      <c r="SC3">
        <f>BDH("BBG01Y31R6K3 Equity","PX_LAST,PX_VOLUME","1/1/2020","6/10/2026")</f>
        <v/>
      </c>
      <c r="SG3">
        <f>BDH("BBG01ZCH2Y30 Equity","PX_LAST,PX_VOLUME","1/1/2020","6/10/2026")</f>
        <v/>
      </c>
      <c r="SK3">
        <f>BDH("BBG01QPLJQS9 Equity","PX_LAST,PX_VOLUME","1/1/2020","6/10/2026")</f>
        <v/>
      </c>
      <c r="SO3">
        <f>BDH("BBG01ZCH7JD7 Equity","PX_LAST,PX_VOLUME","1/1/2020","6/10/2026")</f>
        <v/>
      </c>
      <c r="SS3">
        <f>BDH("BBG01Y31R8D7 Equity","PX_LAST,PX_VOLUME","1/1/2020","6/10/2026")</f>
        <v/>
      </c>
      <c r="SW3">
        <f>BDH("BBG01ZCH77P0 Equity","PX_LAST,PX_VOLUME","1/1/2020","6/10/2026")</f>
        <v/>
      </c>
      <c r="TA3">
        <f>BDH("BBG01QPLHS25 Equity","PX_LAST,PX_VOLUME","1/1/2020","6/10/2026")</f>
        <v/>
      </c>
      <c r="TE3">
        <f>BDH("BBG01ZCH7H50 Equity","PX_LAST,PX_VOLUME","1/1/2020","6/10/2026")</f>
        <v/>
      </c>
      <c r="TI3">
        <f>BDH("BBG01Y31VG71 Equity","PX_LAST,PX_VOLUME","1/1/2020","6/10/2026")</f>
        <v/>
      </c>
      <c r="TM3">
        <f>BDH("BBG01ZCH7725 Equity","PX_LAST,PX_VOLUME","1/1/2020","6/10/2026")</f>
        <v/>
      </c>
      <c r="TQ3">
        <f>BDH("BBG01QR8G738 Equity","PX_LAST,PX_VOLUME","1/1/2020","6/10/2026")</f>
        <v/>
      </c>
      <c r="TU3">
        <f>BDH("BBG01Y31R758 Equity","PX_LAST,PX_VOLUME","1/1/2020","6/10/2026")</f>
        <v/>
      </c>
      <c r="TY3">
        <f>BDH("BBG01QR8G7Q3 Equity","PX_LAST,PX_VOLUME","1/1/2020","6/10/2026")</f>
        <v/>
      </c>
      <c r="UC3">
        <f>BDH("BBG01Y31VPD4 Equity","PX_LAST,PX_VOLUME","1/1/2020","6/10/2026")</f>
        <v/>
      </c>
      <c r="UG3">
        <f>BDH("BBG01VV8WNG5 Equity","PX_LAST,PX_VOLUME","1/1/2020","6/10/2026")</f>
        <v/>
      </c>
      <c r="UK3">
        <f>BDH("BBG01YRRK1B8 Equity","PX_LAST,PX_VOLUME","1/1/2020","6/10/2026")</f>
        <v/>
      </c>
      <c r="UO3">
        <f>BDH("BBG01VV8W1F4 Equity","PX_LAST,PX_VOLUME","1/1/2020","6/10/2026")</f>
        <v/>
      </c>
      <c r="US3">
        <f>BDH("BBG01YRRK4F8 Equity","PX_LAST,PX_VOLUME","1/1/2020","6/10/2026")</f>
        <v/>
      </c>
      <c r="UW3">
        <f>BDH("BBG01VV8VSG5 Equity","PX_LAST,PX_VOLUME","1/1/2020","6/10/2026")</f>
        <v/>
      </c>
      <c r="VA3">
        <f>BDH("BBG01YRRD028 Equity","PX_LAST,PX_VOLUME","1/1/2020","6/10/2026")</f>
        <v/>
      </c>
      <c r="VE3">
        <f>BDH("BBG01VV8VYQ1 Equity","PX_LAST,PX_VOLUME","1/1/2020","6/10/2026")</f>
        <v/>
      </c>
      <c r="VI3">
        <f>BDH("BBG01YRRJQK5 Equity","PX_LAST,PX_VOLUME","1/1/2020","6/10/2026")</f>
        <v/>
      </c>
      <c r="VM3">
        <f>BDH("BBG01VV8VZM2 Equity","PX_LAST,PX_VOLUME","1/1/2020","6/10/2026")</f>
        <v/>
      </c>
      <c r="VQ3">
        <f>BDH("BBG01YRRBTF3 Equity","PX_LAST,PX_VOLUME","1/1/2020","6/10/2026")</f>
        <v/>
      </c>
      <c r="VU3">
        <f>BDH("BBG01VV8WL60 Equity","PX_LAST,PX_VOLUME","1/1/2020","6/10/2026")</f>
        <v/>
      </c>
      <c r="VY3">
        <f>BDH("BBG01YRRK976 Equity","PX_LAST,PX_VOLUME","1/1/2020","6/10/2026")</f>
        <v/>
      </c>
      <c r="WC3">
        <f>BDH("BBG01VV8W7B5 Equity","PX_LAST,PX_VOLUME","1/1/2020","6/10/2026")</f>
        <v/>
      </c>
      <c r="WG3">
        <f>BDH("BBG01YRR8R34 Equity","PX_LAST,PX_VOLUME","1/1/2020","6/10/2026")</f>
        <v/>
      </c>
      <c r="WK3">
        <f>BDH("BBG01VV8WLT5 Equity","PX_LAST,PX_VOLUME","1/1/2020","6/10/2026")</f>
        <v/>
      </c>
      <c r="WO3">
        <f>BDH("BBG01YRRBV13 Equity","PX_LAST,PX_VOLUME","1/1/2020","6/10/2026")</f>
        <v/>
      </c>
      <c r="WS3">
        <f>BDH("BBG01VV8VGK6 Equity","PX_LAST,PX_VOLUME","1/1/2020","6/10/2026")</f>
        <v/>
      </c>
      <c r="WW3">
        <f>BDH("BBG01YRRK8M1 Equity","PX_LAST,PX_VOLUME","1/1/2020","6/10/2026")</f>
        <v/>
      </c>
      <c r="XA3">
        <f>BDH("BBG01VV8WDR5 Equity","PX_LAST,PX_VOLUME","1/1/2020","6/10/2026")</f>
        <v/>
      </c>
      <c r="XE3">
        <f>BDH("BBG01YRRBVN9 Equity","PX_LAST,PX_VOLUME","1/1/2020","6/10/2026")</f>
        <v/>
      </c>
      <c r="XI3">
        <f>BDH("BBG01VV8VWY6 Equity","PX_LAST,PX_VOLUME","1/1/2020","6/10/2026")</f>
        <v/>
      </c>
      <c r="XM3">
        <f>BDH("BBG01YRRCZG7 Equity","PX_LAST,PX_VOLUME","1/1/2020","6/10/2026")</f>
        <v/>
      </c>
      <c r="XQ3">
        <f>BDH("BBG01VV8VRV0 Equity","PX_LAST,PX_VOLUME","1/1/2020","6/10/2026")</f>
        <v/>
      </c>
      <c r="XU3">
        <f>BDH("BBG01YRRKC51 Equity","PX_LAST,PX_VOLUME","1/1/2020","6/10/2026")</f>
        <v/>
      </c>
      <c r="XY3">
        <f>BDH("BBG01VV8VWB1 Equity","PX_LAST,PX_VOLUME","1/1/2020","6/10/2026")</f>
        <v/>
      </c>
      <c r="YC3">
        <f>BDH("BBG01YRRK805 Equity","PX_LAST,PX_VOLUME","1/1/2020","6/10/2026")</f>
        <v/>
      </c>
      <c r="YG3">
        <f>BDH("BBG01VV8WD40 Equity","PX_LAST,PX_VOLUME","1/1/2020","6/10/2026")</f>
        <v/>
      </c>
      <c r="YK3">
        <f>BDH("BBG01YRRKCS6 Equity","PX_LAST,PX_VOLUME","1/1/2020","6/10/2026")</f>
        <v/>
      </c>
      <c r="YO3">
        <f>BDH("BBG01VV8X1Z1 Equity","PX_LAST,PX_VOLUME","1/1/2020","6/10/2026")</f>
        <v/>
      </c>
      <c r="YS3">
        <f>BDH("BBG01YRR8RQ9 Equity","PX_LAST,PX_VOLUME","1/1/2020","6/10/2026")</f>
        <v/>
      </c>
      <c r="YW3">
        <f>BDH("BBG01VV8WCV2 Equity","PX_LAST,PX_VOLUME","1/1/2020","6/10/2026")</f>
        <v/>
      </c>
      <c r="ZA3">
        <f>BDH("BBG01YRRJY82 Equity","PX_LAST,PX_VOLUME","1/1/2020","6/10/2026")</f>
        <v/>
      </c>
      <c r="ZE3">
        <f>BDH("BBG01VV8X5Q2 Equity","PX_LAST,PX_VOLUME","1/1/2020","6/10/2026")</f>
        <v/>
      </c>
      <c r="ZI3">
        <f>BDH("BBG01YRRJVH8 Equity","PX_LAST,PX_VOLUME","1/1/2020","6/10/2026")</f>
        <v/>
      </c>
      <c r="ZM3">
        <f>BDH("BBG01VV8WBM4 Equity","PX_LAST,PX_VOLUME","1/1/2020","6/10/2026")</f>
        <v/>
      </c>
      <c r="ZQ3">
        <f>BDH("BBG01YRRBQW0 Equity","PX_LAST,PX_VOLUME","1/1/2020","6/10/2026")</f>
        <v/>
      </c>
      <c r="ZU3">
        <f>BDH("BBG01VV8X6B6 Equity","PX_LAST,PX_VOLUME","1/1/2020","6/10/2026")</f>
        <v/>
      </c>
      <c r="ZY3">
        <f>BDH("BBG01YRRK510 Equity","PX_LAST,PX_VOLUME","1/1/2020","6/10/2026")</f>
        <v/>
      </c>
      <c r="AAC3">
        <f>BDH("BBG01VV8WC79 Equity","PX_LAST,PX_VOLUME","1/1/2020","6/10/2026")</f>
        <v/>
      </c>
      <c r="AAG3">
        <f>BDH("BBG01YRRBRH5 Equity","PX_LAST,PX_VOLUME","1/1/2020","6/10/2026")</f>
        <v/>
      </c>
      <c r="AAK3">
        <f>BDH("BBG01VV8X537 Equity","PX_LAST,PX_VOLUME","1/1/2020","6/10/2026")</f>
        <v/>
      </c>
      <c r="AAO3">
        <f>BDH("BBG01YRRB716 Equity","PX_LAST,PX_VOLUME","1/1/2020","6/10/2026")</f>
        <v/>
      </c>
      <c r="AAS3">
        <f>BDH("BBG01VV8VH51 Equity","PX_LAST,PX_VOLUME","1/1/2020","6/10/2026")</f>
        <v/>
      </c>
      <c r="AAW3">
        <f>BDH("BBG01YRRJN04 Equity","PX_LAST,PX_VOLUME","1/1/2020","6/10/2026")</f>
        <v/>
      </c>
      <c r="ABA3">
        <f>BDH("BBG01VV8W360 Equity","PX_LAST,PX_VOLUME","1/1/2020","6/10/2026")</f>
        <v/>
      </c>
      <c r="ABE3">
        <f>BDH("BBG01YRRJMD2 Equity","PX_LAST,PX_VOLUME","1/1/2020","6/10/2026")</f>
        <v/>
      </c>
      <c r="ABI3">
        <f>BDH("BBG01VV8W8K3 Equity","PX_LAST,PX_VOLUME","1/1/2020","6/10/2026")</f>
        <v/>
      </c>
      <c r="ABM3">
        <f>BDH("BBG01YRRJNM0 Equity","PX_LAST,PX_VOLUME","1/1/2020","6/10/2026")</f>
        <v/>
      </c>
      <c r="ABQ3">
        <f>BDH("BBG01RZMPCC5 Equity","PX_LAST,PX_VOLUME","1/1/2020","6/10/2026")</f>
        <v/>
      </c>
      <c r="ABU3">
        <f>BDH("BBG01W66YPL2 Equity","PX_LAST,PX_VOLUME","1/1/2020","6/10/2026")</f>
        <v/>
      </c>
      <c r="ABY3">
        <f>BDH("BBG01RZMP8L4 Equity","PX_LAST,PX_VOLUME","1/1/2020","6/10/2026")</f>
        <v/>
      </c>
      <c r="ACC3">
        <f>BDH("BBG01W66XZP7 Equity","PX_LAST,PX_VOLUME","1/1/2020","6/10/2026")</f>
        <v/>
      </c>
      <c r="ACG3">
        <f>BDH("BBG01RZMNLC7 Equity","PX_LAST,PX_VOLUME","1/1/2020","6/10/2026")</f>
        <v/>
      </c>
      <c r="ACK3">
        <f>BDH("BBG01W66XCF9 Equity","PX_LAST,PX_VOLUME","1/1/2020","6/10/2026")</f>
        <v/>
      </c>
      <c r="ACO3">
        <f>BDH("BBG01RZMNZ27 Equity","PX_LAST,PX_VOLUME","1/1/2020","6/10/2026")</f>
        <v/>
      </c>
      <c r="ACS3">
        <f>BDH("BBG01W66XD12 Equity","PX_LAST,PX_VOLUME","1/1/2020","6/10/2026")</f>
        <v/>
      </c>
      <c r="ACW3">
        <f>BDH("BBG01RZMNWH8 Equity","PX_LAST,PX_VOLUME","1/1/2020","6/10/2026")</f>
        <v/>
      </c>
      <c r="ADA3">
        <f>BDH("BBG01W66XJ91 Equity","PX_LAST,PX_VOLUME","1/1/2020","6/10/2026")</f>
        <v/>
      </c>
      <c r="ADE3">
        <f>BDH("BBG01RZMPY91 Equity","PX_LAST,PX_VOLUME","1/1/2020","6/10/2026")</f>
        <v/>
      </c>
      <c r="ADI3">
        <f>BDH("BBG01W66YJB7 Equity","PX_LAST,PX_VOLUME","1/1/2020","6/10/2026")</f>
        <v/>
      </c>
      <c r="ADM3">
        <f>BDH("BBG01RZMNX31 Equity","PX_LAST,PX_VOLUME","1/1/2020","6/10/2026")</f>
        <v/>
      </c>
      <c r="ADQ3">
        <f>BDH("BBG01ZCZB0K5 Equity","PX_LAST,PX_VOLUME","1/1/2020","6/10/2026")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BBG01RZMNXQ6 Equity (TSLA US 03/20/26 P430)</t>
        </is>
      </c>
      <c r="E1" t="inlineStr">
        <is>
          <t>BBG01ZCZGM40 Equity (TSLA US 03/20/26 P435)</t>
        </is>
      </c>
      <c r="I1" t="inlineStr">
        <is>
          <t>BBG01RZMNYB0 Equity (TSLA US 03/20/26 P440)</t>
        </is>
      </c>
      <c r="M1" t="inlineStr">
        <is>
          <t>BBG01ZCZGNC9 Equity (TSLA US 03/20/26 P445)</t>
        </is>
      </c>
      <c r="Q1" t="inlineStr">
        <is>
          <t>BBG01RZMPX20 Equity (TSLA US 03/20/26 P450)</t>
        </is>
      </c>
      <c r="U1" t="inlineStr">
        <is>
          <t>BBG01ZCZGMR5 Equity (TSLA US 03/20/26 P455)</t>
        </is>
      </c>
      <c r="Y1" t="inlineStr">
        <is>
          <t>BBG01RZMPSS3 Equity (TSLA US 03/20/26 P460)</t>
        </is>
      </c>
      <c r="AC1" t="inlineStr">
        <is>
          <t>BBG01ZCZGF36 Equity (TSLA US 03/20/26 P465)</t>
        </is>
      </c>
      <c r="AG1" t="inlineStr">
        <is>
          <t>BBG01RZMPL44 Equity (TSLA US 03/20/26 P470)</t>
        </is>
      </c>
      <c r="AK1" t="inlineStr">
        <is>
          <t>BBG01ZCZG5Z3 Equity (TSLA US 03/20/26 P475)</t>
        </is>
      </c>
      <c r="AO1" t="inlineStr">
        <is>
          <t>BBG01RZMMZ55 Equity (TSLA US 03/20/26 P480)</t>
        </is>
      </c>
      <c r="AS1" t="inlineStr">
        <is>
          <t>BBG01ZCZGDH6 Equity (TSLA US 03/20/26 P485)</t>
        </is>
      </c>
      <c r="AW1" t="inlineStr">
        <is>
          <t>BBG01RZMPC17 Equity (TSLA US 03/20/26 P490)</t>
        </is>
      </c>
      <c r="BA1" t="inlineStr">
        <is>
          <t>BBG01ZCZ9RM7 Equity (TSLA US 03/20/26 P495)</t>
        </is>
      </c>
      <c r="BE1" t="inlineStr">
        <is>
          <t>BBG01RZMP3K6 Equity (TSLA US 03/20/26 P500)</t>
        </is>
      </c>
      <c r="BI1" t="inlineStr">
        <is>
          <t>BBG01ZCZGNZ4 Equity (TSLA US 03/20/26 P505)</t>
        </is>
      </c>
      <c r="BM1" t="inlineStr">
        <is>
          <t>BBG01RZMPJQ5 Equity (TSLA US 03/20/26 P510)</t>
        </is>
      </c>
      <c r="BQ1" t="inlineStr">
        <is>
          <t>BBG01ZCZGQJ5 Equity (TSLA US 03/20/26 P515)</t>
        </is>
      </c>
      <c r="BU1" t="inlineStr">
        <is>
          <t>BBG01RZMP9T4 Equity (TSLA US 03/20/26 P520)</t>
        </is>
      </c>
      <c r="BY1" t="inlineStr">
        <is>
          <t>BBG01ZCZGFQ1 Equity (TSLA US 03/20/26 P525)</t>
        </is>
      </c>
      <c r="CC1" t="inlineStr">
        <is>
          <t>BBG01RZMPCZ0 Equity (TSLA US 03/20/26 P530)</t>
        </is>
      </c>
      <c r="CG1" t="inlineStr">
        <is>
          <t>BBG01ZCZB3Y4 Equity (TSLA US 03/20/26 P535)</t>
        </is>
      </c>
      <c r="CK1" t="inlineStr">
        <is>
          <t>BBG01RZMPBF4 Equity (TSLA US 03/20/26 P540)</t>
        </is>
      </c>
      <c r="CO1" t="inlineStr">
        <is>
          <t>BBG01ZCZB3B9 Equity (TSLA US 03/20/26 P545)</t>
        </is>
      </c>
      <c r="CS1" t="inlineStr">
        <is>
          <t>BBG01RZMP5C0 Equity (TSLA US 03/20/26 P550)</t>
        </is>
      </c>
      <c r="CW1" t="inlineStr">
        <is>
          <t>BBG01ZCZGSC8 Equity (TSLA US 03/20/26 P555)</t>
        </is>
      </c>
      <c r="DA1" t="inlineStr">
        <is>
          <t>BBG01RZMMZS0 Equity (TSLA US 03/20/26 P560)</t>
        </is>
      </c>
      <c r="DE1" t="inlineStr">
        <is>
          <t>BBG01ZCZGRR4 Equity (TSLA US 03/20/26 P565)</t>
        </is>
      </c>
      <c r="DI1" t="inlineStr">
        <is>
          <t>BBG01RZMNYG5 Equity (TSLA US 03/20/26 P570)</t>
        </is>
      </c>
      <c r="DM1" t="inlineStr">
        <is>
          <t>BBG01ZCZ9SV5 Equity (TSLA US 03/20/26 P575)</t>
        </is>
      </c>
      <c r="DQ1" t="inlineStr">
        <is>
          <t>BBG01RZMP5Z5 Equity (TSLA US 03/20/26 P580)</t>
        </is>
      </c>
      <c r="DU1" t="inlineStr">
        <is>
          <t>BBG01ZCZ9S72 Equity (TSLA US 03/20/26 P585)</t>
        </is>
      </c>
      <c r="DY1" t="inlineStr">
        <is>
          <t>BBG01RZMN505 Equity (TSLA US 03/20/26 P590)</t>
        </is>
      </c>
      <c r="EC1" t="inlineStr">
        <is>
          <t>BBG01ZCZ9R01 Equity (TSLA US 03/20/26 P595)</t>
        </is>
      </c>
      <c r="EG1" t="inlineStr">
        <is>
          <t>BBG01WXGFN90 Equity (TSLA US 04/17/26 P310)</t>
        </is>
      </c>
      <c r="EK1" t="inlineStr">
        <is>
          <t>BBG01WXGGJ43 Equity (TSLA US 04/17/26 P315)</t>
        </is>
      </c>
      <c r="EO1" t="inlineStr">
        <is>
          <t>BBG01WXGGHJ1 Equity (TSLA US 04/17/26 P320)</t>
        </is>
      </c>
      <c r="ES1" t="inlineStr">
        <is>
          <t>BBG01WXG9QV5 Equity (TSLA US 04/17/26 P325)</t>
        </is>
      </c>
      <c r="EW1" t="inlineStr">
        <is>
          <t>BBG01WXG79G2 Equity (TSLA US 04/17/26 P330)</t>
        </is>
      </c>
      <c r="FA1" t="inlineStr">
        <is>
          <t>BBG01WXGDTV4 Equity (TSLA US 04/17/26 P335)</t>
        </is>
      </c>
      <c r="FE1" t="inlineStr">
        <is>
          <t>BBG01WXGDJT9 Equity (TSLA US 04/17/26 P340)</t>
        </is>
      </c>
      <c r="FI1" t="inlineStr">
        <is>
          <t>BBG01WXGD5G3 Equity (TSLA US 04/17/26 P345)</t>
        </is>
      </c>
      <c r="FM1" t="inlineStr">
        <is>
          <t>BBG01WXG9FB1 Equity (TSLA US 04/17/26 P350)</t>
        </is>
      </c>
      <c r="FQ1" t="inlineStr">
        <is>
          <t>BBG01WXGGJR8 Equity (TSLA US 04/17/26 P355)</t>
        </is>
      </c>
      <c r="FU1" t="inlineStr">
        <is>
          <t>BBG01WXG9FY6 Equity (TSLA US 04/17/26 P360)</t>
        </is>
      </c>
      <c r="FY1" t="inlineStr">
        <is>
          <t>BBG01WXG74W5 Equity (TSLA US 04/17/26 P365)</t>
        </is>
      </c>
      <c r="GC1" t="inlineStr">
        <is>
          <t>BBG01WXGDHL1 Equity (TSLA US 04/17/26 P370)</t>
        </is>
      </c>
      <c r="GG1" t="inlineStr">
        <is>
          <t>BBG0216B3N00 Equity (TSLA US 04/17/26 P372.5)</t>
        </is>
      </c>
      <c r="GK1" t="inlineStr">
        <is>
          <t>BBG01WXGDWP4 Equity (TSLA US 04/17/26 P375)</t>
        </is>
      </c>
      <c r="GO1" t="inlineStr">
        <is>
          <t>BBG0216B3MD8 Equity (TSLA US 04/17/26 P377.5)</t>
        </is>
      </c>
      <c r="GS1" t="inlineStr">
        <is>
          <t>BBG01WXGDJ64 Equity (TSLA US 04/17/26 P380)</t>
        </is>
      </c>
      <c r="GW1" t="inlineStr">
        <is>
          <t>BBG0216B3Y88 Equity (TSLA US 04/17/26 P382.5)</t>
        </is>
      </c>
      <c r="HA1" t="inlineStr">
        <is>
          <t>BBG01WXG8X69 Equity (TSLA US 04/17/26 P385)</t>
        </is>
      </c>
      <c r="HE1" t="inlineStr">
        <is>
          <t>BBG0216B2KH9 Equity (TSLA US 04/17/26 P387.5)</t>
        </is>
      </c>
      <c r="HI1" t="inlineStr">
        <is>
          <t>BBG01WXGG5L4 Equity (TSLA US 04/17/26 P390)</t>
        </is>
      </c>
      <c r="HM1" t="inlineStr">
        <is>
          <t>BBG0216B3NM6 Equity (TSLA US 04/17/26 P392.5)</t>
        </is>
      </c>
      <c r="HQ1" t="inlineStr">
        <is>
          <t>BBG01WXGD4V9 Equity (TSLA US 04/17/26 P395)</t>
        </is>
      </c>
      <c r="HU1" t="inlineStr">
        <is>
          <t>BBG0216B2JW5 Equity (TSLA US 04/17/26 P397.5)</t>
        </is>
      </c>
      <c r="HY1" t="inlineStr">
        <is>
          <t>BBG01WXG9PM7 Equity (TSLA US 04/17/26 P400)</t>
        </is>
      </c>
      <c r="IC1" t="inlineStr">
        <is>
          <t>BBG0216B3YW1 Equity (TSLA US 04/17/26 P402.5)</t>
        </is>
      </c>
      <c r="IG1" t="inlineStr">
        <is>
          <t>BBG01WXG7GV9 Equity (TSLA US 04/17/26 P405)</t>
        </is>
      </c>
      <c r="IK1" t="inlineStr">
        <is>
          <t>BBG01WXGDW29 Equity (TSLA US 04/17/26 P410)</t>
        </is>
      </c>
      <c r="IO1" t="inlineStr">
        <is>
          <t>BBG01WXG8XT4 Equity (TSLA US 04/17/26 P415)</t>
        </is>
      </c>
      <c r="IS1" t="inlineStr">
        <is>
          <t>BBG01WXG9RG0 Equity (TSLA US 04/17/26 P420)</t>
        </is>
      </c>
      <c r="IW1" t="inlineStr">
        <is>
          <t>BBG01WXGBSC9 Equity (TSLA US 04/17/26 P425)</t>
        </is>
      </c>
      <c r="JA1" t="inlineStr">
        <is>
          <t>BBG01WXGBR40 Equity (TSLA US 04/17/26 P430)</t>
        </is>
      </c>
      <c r="JE1" t="inlineStr">
        <is>
          <t>BBG01WXG75H9 Equity (TSLA US 04/17/26 P435)</t>
        </is>
      </c>
      <c r="JI1" t="inlineStr">
        <is>
          <t>BBG01WXG8WL4 Equity (TSLA US 04/17/26 P440)</t>
        </is>
      </c>
      <c r="JM1" t="inlineStr">
        <is>
          <t>BBG01WXGDXM5 Equity (TSLA US 04/17/26 P445)</t>
        </is>
      </c>
      <c r="JQ1" t="inlineStr">
        <is>
          <t>BBG01WXG8VZ1 Equity (TSLA US 04/17/26 P450)</t>
        </is>
      </c>
      <c r="JU1" t="inlineStr">
        <is>
          <t>BBG01WXG9S23 Equity (TSLA US 04/17/26 P455)</t>
        </is>
      </c>
      <c r="JY1" t="inlineStr">
        <is>
          <t>BBG01WXGD3M1 Equity (TSLA US 04/17/26 P460)</t>
        </is>
      </c>
      <c r="KC1" t="inlineStr">
        <is>
          <t>BBG01WXGBSZ4 Equity (TSLA US 04/17/26 P465)</t>
        </is>
      </c>
      <c r="KG1" t="inlineStr">
        <is>
          <t>BBG01WXGD476 Equity (TSLA US 04/17/26 P470)</t>
        </is>
      </c>
      <c r="KK1" t="inlineStr">
        <is>
          <t>BBG01WXGDFN3 Equity (TSLA US 04/17/26 P475)</t>
        </is>
      </c>
      <c r="KO1" t="inlineStr">
        <is>
          <t>BBG01WXGD2D3 Equity (TSLA US 04/17/26 P480)</t>
        </is>
      </c>
      <c r="KS1" t="inlineStr">
        <is>
          <t>BBG01WXGDY70 Equity (TSLA US 04/17/26 P485)</t>
        </is>
      </c>
      <c r="KW1" t="inlineStr">
        <is>
          <t>BBG01WXGD305 Equity (TSLA US 04/17/26 P490)</t>
        </is>
      </c>
      <c r="LA1" t="inlineStr">
        <is>
          <t>BBG01WXGG4Z2 Equity (TSLA US 04/17/26 P495)</t>
        </is>
      </c>
      <c r="LE1" t="inlineStr">
        <is>
          <t>BBG01WXGGKR5 Equity (TSLA US 04/17/26 P500)</t>
        </is>
      </c>
      <c r="LI1" t="inlineStr">
        <is>
          <t>BBG01WXGG286 Equity (TSLA US 04/17/26 P505)</t>
        </is>
      </c>
      <c r="LM1" t="inlineStr">
        <is>
          <t>BBG01WXGDF17 Equity (TSLA US 04/17/26 P510)</t>
        </is>
      </c>
      <c r="LQ1" t="inlineStr">
        <is>
          <t>BBG01WXGBX10 Equity (TSLA US 04/17/26 P515)</t>
        </is>
      </c>
      <c r="LU1" t="inlineStr">
        <is>
          <t>BBG01WXGDYV3 Equity (TSLA US 04/17/26 P520)</t>
        </is>
      </c>
      <c r="LY1" t="inlineStr">
        <is>
          <t>BBG01WXG93G3 Equity (TSLA US 04/17/26 P525)</t>
        </is>
      </c>
      <c r="MC1" t="inlineStr">
        <is>
          <t>BBG01WXGDDF7 Equity (TSLA US 04/17/26 P530)</t>
        </is>
      </c>
      <c r="MG1" t="inlineStr">
        <is>
          <t>BBG01WXGBRR5 Equity (TSLA US 04/17/26 P535)</t>
        </is>
      </c>
      <c r="MK1" t="inlineStr">
        <is>
          <t>BBG01WXGDGL3 Equity (TSLA US 04/17/26 P540)</t>
        </is>
      </c>
      <c r="MO1" t="inlineStr">
        <is>
          <t>BBG01WXG9275 Equity (TSLA US 04/17/26 P545)</t>
        </is>
      </c>
      <c r="MS1" t="inlineStr">
        <is>
          <t>BBG01WXG47H8 Equity (TSLA US 04/17/26 P550)</t>
        </is>
      </c>
      <c r="MW1" t="inlineStr">
        <is>
          <t>BBG01WXGF0T8 Equity (TSLA US 04/17/26 P555)</t>
        </is>
      </c>
      <c r="NA1" t="inlineStr">
        <is>
          <t>BBG01WXGDG88 Equity (TSLA US 04/17/26 P560)</t>
        </is>
      </c>
      <c r="NE1" t="inlineStr">
        <is>
          <t>BBG01WXGBLK5 Equity (TSLA US 04/17/26 P565)</t>
        </is>
      </c>
      <c r="NI1" t="inlineStr">
        <is>
          <t>BBG01WXGB5R3 Equity (TSLA US 04/17/26 P570)</t>
        </is>
      </c>
      <c r="NM1" t="inlineStr">
        <is>
          <t>BBG01WXGGNZ0 Equity (TSLA US 04/17/26 P575)</t>
        </is>
      </c>
      <c r="NQ1" t="inlineStr">
        <is>
          <t>BBG01WXGB548 Equity (TSLA US 04/17/26 P580)</t>
        </is>
      </c>
      <c r="NU1" t="inlineStr">
        <is>
          <t>BBG01VQKP0X3 Equity (TSLA US 05/15/26 P310)</t>
        </is>
      </c>
      <c r="NY1" t="inlineStr">
        <is>
          <t>BBG020J9DML1 Equity (TSLA US 05/15/26 P315)</t>
        </is>
      </c>
      <c r="OC1" t="inlineStr">
        <is>
          <t>BBG01VQKMB71 Equity (TSLA US 05/15/26 P320)</t>
        </is>
      </c>
      <c r="OG1" t="inlineStr">
        <is>
          <t>BBG020J9DN66 Equity (TSLA US 05/15/26 P325)</t>
        </is>
      </c>
      <c r="OK1" t="inlineStr">
        <is>
          <t>BBG01VQKMMS4 Equity (TSLA US 05/15/26 P330)</t>
        </is>
      </c>
      <c r="OO1" t="inlineStr">
        <is>
          <t>BBG020J99WQ9 Equity (TSLA US 05/15/26 P335)</t>
        </is>
      </c>
      <c r="OS1" t="inlineStr">
        <is>
          <t>BBG01VQKMPJ7 Equity (TSLA US 05/15/26 P340)</t>
        </is>
      </c>
      <c r="OW1" t="inlineStr">
        <is>
          <t>BBG020J9D6X3 Equity (TSLA US 05/15/26 P345)</t>
        </is>
      </c>
      <c r="PA1" t="inlineStr">
        <is>
          <t>BBG01VQKN2V3 Equity (TSLA US 05/15/26 P350)</t>
        </is>
      </c>
      <c r="PE1" t="inlineStr">
        <is>
          <t>BBG020J99W34 Equity (TSLA US 05/15/26 P355)</t>
        </is>
      </c>
      <c r="PI1" t="inlineStr">
        <is>
          <t>BBG01VQKMNX6 Equity (TSLA US 05/15/26 P360)</t>
        </is>
      </c>
      <c r="PM1" t="inlineStr">
        <is>
          <t>BBG020J9D084 Equity (TSLA US 05/15/26 P365)</t>
        </is>
      </c>
      <c r="PQ1" t="inlineStr">
        <is>
          <t>BBG01VQKMM59 Equity (TSLA US 05/15/26 P370)</t>
        </is>
      </c>
      <c r="PU1" t="inlineStr">
        <is>
          <t>BBG020J9CSS2 Equity (TSLA US 05/15/26 P375)</t>
        </is>
      </c>
      <c r="PY1" t="inlineStr">
        <is>
          <t>BBG01VQKMND8 Equity (TSLA US 05/15/26 P380)</t>
        </is>
      </c>
      <c r="QC1" t="inlineStr">
        <is>
          <t>BBG020J99PN7 Equity (TSLA US 05/15/26 P385)</t>
        </is>
      </c>
      <c r="QG1" t="inlineStr">
        <is>
          <t>BBG01VQKNV03 Equity (TSLA US 05/15/26 P390)</t>
        </is>
      </c>
      <c r="QK1" t="inlineStr">
        <is>
          <t>BBG020J99P11 Equity (TSLA US 05/15/26 P395)</t>
        </is>
      </c>
      <c r="QO1" t="inlineStr">
        <is>
          <t>BBG01VQKMDH6 Equity (TSLA US 05/15/26 P400)</t>
        </is>
      </c>
      <c r="QS1" t="inlineStr">
        <is>
          <t>BBG020J9DHW0 Equity (TSLA US 05/15/26 P405)</t>
        </is>
      </c>
      <c r="QW1" t="inlineStr">
        <is>
          <t>BBG01VQKMHF9 Equity (TSLA US 05/15/26 P410)</t>
        </is>
      </c>
      <c r="RA1" t="inlineStr">
        <is>
          <t>BBG020J9DGP0 Equity (TSLA US 05/15/26 P415)</t>
        </is>
      </c>
      <c r="RE1" t="inlineStr">
        <is>
          <t>BBG01VQKM6K7 Equity (TSLA US 05/15/26 P420)</t>
        </is>
      </c>
      <c r="RI1" t="inlineStr">
        <is>
          <t>BBG020J9DG25 Equity (TSLA US 05/15/26 P425)</t>
        </is>
      </c>
      <c r="RM1" t="inlineStr">
        <is>
          <t>BBG01VQKLQ60 Equity (TSLA US 05/15/26 P430)</t>
        </is>
      </c>
      <c r="RQ1" t="inlineStr">
        <is>
          <t>BBG020J9DH96 Equity (TSLA US 05/15/26 P435)</t>
        </is>
      </c>
      <c r="RU1" t="inlineStr">
        <is>
          <t>BBG01VQKLPL5 Equity (TSLA US 05/15/26 P440)</t>
        </is>
      </c>
      <c r="RY1" t="inlineStr">
        <is>
          <t>BBG020J9DJH3 Equity (TSLA US 05/15/26 P445)</t>
        </is>
      </c>
      <c r="SC1" t="inlineStr">
        <is>
          <t>BBG01VQKM7Z9 Equity (TSLA US 05/15/26 P450)</t>
        </is>
      </c>
      <c r="SG1" t="inlineStr">
        <is>
          <t>BBG020J964B0 Equity (TSLA US 05/15/26 P455)</t>
        </is>
      </c>
      <c r="SK1" t="inlineStr">
        <is>
          <t>BBG01VQKMGT6 Equity (TSLA US 05/15/26 P460)</t>
        </is>
      </c>
      <c r="SO1" t="inlineStr">
        <is>
          <t>BBG020J99JH8 Equity (TSLA US 05/15/26 P465)</t>
        </is>
      </c>
      <c r="SS1" t="inlineStr">
        <is>
          <t>BBG01VQKLXF5 Equity (TSLA US 05/15/26 P470)</t>
        </is>
      </c>
      <c r="SW1" t="inlineStr">
        <is>
          <t>BBG020J9DFG2 Equity (TSLA US 05/15/26 P475)</t>
        </is>
      </c>
      <c r="TA1" t="inlineStr">
        <is>
          <t>BBG01VQKMG61 Equity (TSLA US 05/15/26 P480)</t>
        </is>
      </c>
      <c r="TE1" t="inlineStr">
        <is>
          <t>BBG020J9D9K1 Equity (TSLA US 05/15/26 P485)</t>
        </is>
      </c>
      <c r="TI1" t="inlineStr">
        <is>
          <t>BBG01VQKMJ10 Equity (TSLA US 05/15/26 P490)</t>
        </is>
      </c>
      <c r="TM1" t="inlineStr">
        <is>
          <t>BBG020J9DDV0 Equity (TSLA US 05/15/26 P495)</t>
        </is>
      </c>
      <c r="TQ1" t="inlineStr">
        <is>
          <t>BBG01VQKMRC0 Equity (TSLA US 05/15/26 P500)</t>
        </is>
      </c>
      <c r="TU1" t="inlineStr">
        <is>
          <t>BBG020J99VH1 Equity (TSLA US 05/15/26 P505)</t>
        </is>
      </c>
      <c r="TY1" t="inlineStr">
        <is>
          <t>BBG01VQKNFM4 Equity (TSLA US 05/15/26 P510)</t>
        </is>
      </c>
      <c r="UC1" t="inlineStr">
        <is>
          <t>BBG020J9D7J7 Equity (TSLA US 05/15/26 P515)</t>
        </is>
      </c>
      <c r="UG1" t="inlineStr">
        <is>
          <t>BBG01VQKN3G8 Equity (TSLA US 05/15/26 P520)</t>
        </is>
      </c>
      <c r="UK1" t="inlineStr">
        <is>
          <t>BBG020J99TW9 Equity (TSLA US 05/15/26 P525)</t>
        </is>
      </c>
      <c r="UO1" t="inlineStr">
        <is>
          <t>BBG01VQKNF08 Equity (TSLA US 05/15/26 P530)</t>
        </is>
      </c>
      <c r="US1" t="inlineStr">
        <is>
          <t>BBG020J99SG9 Equity (TSLA US 05/15/26 P535)</t>
        </is>
      </c>
      <c r="UW1" t="inlineStr">
        <is>
          <t>BBG01VQKNDD9 Equity (TSLA US 05/15/26 P540)</t>
        </is>
      </c>
      <c r="VA1" t="inlineStr">
        <is>
          <t>BBG020J99K30 Equity (TSLA US 05/15/26 P545)</t>
        </is>
      </c>
      <c r="VE1" t="inlineStr">
        <is>
          <t>BBG01VQKMQ41 Equity (TSLA US 05/15/26 P550)</t>
        </is>
      </c>
      <c r="VI1" t="inlineStr">
        <is>
          <t>BBG020J99LB9 Equity (TSLA US 05/15/26 P555)</t>
        </is>
      </c>
      <c r="VM1" t="inlineStr">
        <is>
          <t>BBG01VQKMQR6 Equity (TSLA US 05/15/26 P560)</t>
        </is>
      </c>
      <c r="VQ1" t="inlineStr">
        <is>
          <t>BBG020J9D1H2 Equity (TSLA US 05/15/26 P565)</t>
        </is>
      </c>
      <c r="VU1" t="inlineStr">
        <is>
          <t>BBG01VQKN948 Equity (TSLA US 05/15/26 P570)</t>
        </is>
      </c>
      <c r="VY1" t="inlineStr">
        <is>
          <t>BBG020J99RV4 Equity (TSLA US 05/15/26 P575)</t>
        </is>
      </c>
      <c r="WC1" t="inlineStr">
        <is>
          <t>BBG01VQKMVM0 Equity (TSLA US 05/15/26 P580)</t>
        </is>
      </c>
      <c r="WG1" t="inlineStr">
        <is>
          <t>BBG01KWGGV52 Equity (TSLA US 06/18/26 P310)</t>
        </is>
      </c>
      <c r="WK1" t="inlineStr">
        <is>
          <t>BBG0216B3X08 Equity (TSLA US 06/18/26 P315)</t>
        </is>
      </c>
      <c r="WO1" t="inlineStr">
        <is>
          <t>BBG01KWGGWC2 Equity (TSLA US 06/18/26 P320)</t>
        </is>
      </c>
      <c r="WS1" t="inlineStr">
        <is>
          <t>BBG0216B3XM4 Equity (TSLA US 06/18/26 P325)</t>
        </is>
      </c>
      <c r="WW1" t="inlineStr">
        <is>
          <t>BBG01KWGGXJ3 Equity (TSLA US 06/18/26 P330)</t>
        </is>
      </c>
      <c r="XA1" t="inlineStr">
        <is>
          <t>BBG01XZ8FY18 Equity (TSLA US 06/18/26 P335)</t>
        </is>
      </c>
      <c r="XE1" t="inlineStr">
        <is>
          <t>BBG01KWGGYP4 Equity (TSLA US 06/18/26 P340)</t>
        </is>
      </c>
      <c r="XI1" t="inlineStr">
        <is>
          <t>BBG01XZ89607 Equity (TSLA US 06/18/26 P345)</t>
        </is>
      </c>
      <c r="XM1" t="inlineStr">
        <is>
          <t>BBG01KWGGZW3 Equity (TSLA US 06/18/26 P350)</t>
        </is>
      </c>
      <c r="XQ1" t="inlineStr">
        <is>
          <t>BBG01XZ895D5 Equity (TSLA US 06/18/26 P355)</t>
        </is>
      </c>
      <c r="XU1" t="inlineStr">
        <is>
          <t>BBG01KWGH111 Equity (TSLA US 06/18/26 P360)</t>
        </is>
      </c>
      <c r="XY1" t="inlineStr">
        <is>
          <t>BBG01XZ896M3 Equity (TSLA US 06/18/26 P365)</t>
        </is>
      </c>
      <c r="YC1" t="inlineStr">
        <is>
          <t>BBG01KWGH273 Equity (TSLA US 06/18/26 P370)</t>
        </is>
      </c>
      <c r="YG1" t="inlineStr">
        <is>
          <t>BBG01XZ8FXF5 Equity (TSLA US 06/18/26 P375)</t>
        </is>
      </c>
      <c r="YK1" t="inlineStr">
        <is>
          <t>BBG01KWGH3D4 Equity (TSLA US 06/18/26 P380)</t>
        </is>
      </c>
      <c r="YO1" t="inlineStr">
        <is>
          <t>BBG01XZ88SR1 Equity (TSLA US 06/18/26 P385)</t>
        </is>
      </c>
      <c r="YS1" t="inlineStr">
        <is>
          <t>BBG01KWGH4K4 Equity (TSLA US 06/18/26 P390)</t>
        </is>
      </c>
      <c r="YW1" t="inlineStr">
        <is>
          <t>BBG01XZ8F9M0 Equity (TSLA US 06/18/26 P395)</t>
        </is>
      </c>
      <c r="ZA1" t="inlineStr">
        <is>
          <t>BBG01KWGH5R4 Equity (TSLA US 06/18/26 P400)</t>
        </is>
      </c>
      <c r="ZE1" t="inlineStr">
        <is>
          <t>BBG01XZ88JC7 Equity (TSLA US 06/18/26 P405)</t>
        </is>
      </c>
      <c r="ZI1" t="inlineStr">
        <is>
          <t>BBG01KWGH6X5 Equity (TSLA US 06/18/26 P410)</t>
        </is>
      </c>
      <c r="ZM1" t="inlineStr">
        <is>
          <t>BBG01XZ88KL4 Equity (TSLA US 06/18/26 P415)</t>
        </is>
      </c>
      <c r="ZQ1" t="inlineStr">
        <is>
          <t>BBG01KWGH825 Equity (TSLA US 06/18/26 P420)</t>
        </is>
      </c>
      <c r="ZU1" t="inlineStr">
        <is>
          <t>BBG01XZ88JZ2 Equity (TSLA US 06/18/26 P425)</t>
        </is>
      </c>
      <c r="ZY1" t="inlineStr">
        <is>
          <t>BBG01KWGH987 Equity (TSLA US 06/18/26 P430)</t>
        </is>
      </c>
      <c r="AAC1" t="inlineStr">
        <is>
          <t>BBG01XZ88L69 Equity (TSLA US 06/18/26 P435)</t>
        </is>
      </c>
      <c r="AAG1" t="inlineStr">
        <is>
          <t>BBG01KWGHBF4 Equity (TSLA US 06/18/26 P440)</t>
        </is>
      </c>
      <c r="AAK1" t="inlineStr">
        <is>
          <t>BBG01XZ894S2 Equity (TSLA US 06/18/26 P445)</t>
        </is>
      </c>
      <c r="AAO1" t="inlineStr">
        <is>
          <t>BBG01KWGHCL5 Equity (TSLA US 06/18/26 P450)</t>
        </is>
      </c>
      <c r="AAS1" t="inlineStr">
        <is>
          <t>BBG01XZ8FNM9 Equity (TSLA US 06/18/26 P455)</t>
        </is>
      </c>
      <c r="AAW1" t="inlineStr">
        <is>
          <t>BBG01KWGHDS6 Equity (TSLA US 06/18/26 P460)</t>
        </is>
      </c>
      <c r="ABA1" t="inlineStr">
        <is>
          <t>BBG01XZ8FN03 Equity (TSLA US 06/18/26 P465)</t>
        </is>
      </c>
      <c r="ABE1" t="inlineStr">
        <is>
          <t>BBG01KWGHFY4 Equity (TSLA US 06/18/26 P470)</t>
        </is>
      </c>
      <c r="ABI1" t="inlineStr">
        <is>
          <t>BBG01XZ8FB72 Equity (TSLA US 06/18/26 P475)</t>
        </is>
      </c>
      <c r="ABM1" t="inlineStr">
        <is>
          <t>BBG01KWGHH43 Equity (TSLA US 06/18/26 P480)</t>
        </is>
      </c>
      <c r="ABQ1" t="inlineStr">
        <is>
          <t>BBG01XZ8FMD1 Equity (TSLA US 06/18/26 P485)</t>
        </is>
      </c>
      <c r="ABU1" t="inlineStr">
        <is>
          <t>BBG01KWGHJ94 Equity (TSLA US 06/18/26 P490)</t>
        </is>
      </c>
      <c r="ABY1" t="inlineStr">
        <is>
          <t>BBG01XZ8FLS7 Equity (TSLA US 06/18/26 P495)</t>
        </is>
      </c>
      <c r="ACC1" t="inlineStr">
        <is>
          <t>BBG01NP39MB4 Equity (TSLA US 06/18/26 P500)</t>
        </is>
      </c>
      <c r="ACG1" t="inlineStr">
        <is>
          <t>BBG01XZ8F904 Equity (TSLA US 06/18/26 P505)</t>
        </is>
      </c>
      <c r="ACK1" t="inlineStr">
        <is>
          <t>BBG01NQ1JYM8 Equity (TSLA US 06/18/26 P510)</t>
        </is>
      </c>
      <c r="ACO1" t="inlineStr">
        <is>
          <t>BBG01XZ88GZ8 Equity (TSLA US 06/18/26 P515)</t>
        </is>
      </c>
      <c r="ACS1" t="inlineStr">
        <is>
          <t>BBG01NQ1JZ63 Equity (TSLA US 06/18/26 P520)</t>
        </is>
      </c>
      <c r="ACW1" t="inlineStr">
        <is>
          <t>BBG01XZ8DNN0 Equity (TSLA US 06/18/26 P525)</t>
        </is>
      </c>
      <c r="ADA1" t="inlineStr">
        <is>
          <t>BBG01NQ1JY11 Equity (TSLA US 06/18/26 P530)</t>
        </is>
      </c>
      <c r="ADE1" t="inlineStr">
        <is>
          <t>BBG01XZ88GC3 Equity (TSLA US 06/18/26 P535)</t>
        </is>
      </c>
      <c r="ADI1" t="inlineStr">
        <is>
          <t>BBG01NRLLC11 Equity (TSLA US 06/18/26 P540)</t>
        </is>
      </c>
      <c r="ADM1" t="inlineStr">
        <is>
          <t>BBG0216B0VS5 Equity (TSLA US 06/18/26 P545)</t>
        </is>
      </c>
      <c r="ADQ1" t="inlineStr">
        <is>
          <t>BBG01QPLK291 Equity (TSLA US 06/18/26 P550)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  <c r="ADI2" t="inlineStr">
        <is>
          <t>Date</t>
        </is>
      </c>
      <c r="ADJ2" t="inlineStr">
        <is>
          <t>PX_LAST</t>
        </is>
      </c>
      <c r="ADK2" t="inlineStr">
        <is>
          <t>PX_VOLUME</t>
        </is>
      </c>
      <c r="ADM2" t="inlineStr">
        <is>
          <t>Date</t>
        </is>
      </c>
      <c r="ADN2" t="inlineStr">
        <is>
          <t>PX_LAST</t>
        </is>
      </c>
      <c r="ADO2" t="inlineStr">
        <is>
          <t>PX_VOLUME</t>
        </is>
      </c>
      <c r="ADQ2" t="inlineStr">
        <is>
          <t>Date</t>
        </is>
      </c>
      <c r="ADR2" t="inlineStr">
        <is>
          <t>PX_LAST</t>
        </is>
      </c>
      <c r="ADS2" t="inlineStr">
        <is>
          <t>PX_VOLUME</t>
        </is>
      </c>
    </row>
    <row r="3">
      <c r="A3">
        <f>BDH("BBG01RZMNXQ6 Equity","PX_LAST,PX_VOLUME","1/1/2020","6/10/2026")</f>
        <v/>
      </c>
      <c r="E3">
        <f>BDH("BBG01ZCZGM40 Equity","PX_LAST,PX_VOLUME","1/1/2020","6/10/2026")</f>
        <v/>
      </c>
      <c r="I3">
        <f>BDH("BBG01RZMNYB0 Equity","PX_LAST,PX_VOLUME","1/1/2020","6/10/2026")</f>
        <v/>
      </c>
      <c r="M3">
        <f>BDH("BBG01ZCZGNC9 Equity","PX_LAST,PX_VOLUME","1/1/2020","6/10/2026")</f>
        <v/>
      </c>
      <c r="Q3">
        <f>BDH("BBG01RZMPX20 Equity","PX_LAST,PX_VOLUME","1/1/2020","6/10/2026")</f>
        <v/>
      </c>
      <c r="U3">
        <f>BDH("BBG01ZCZGMR5 Equity","PX_LAST,PX_VOLUME","1/1/2020","6/10/2026")</f>
        <v/>
      </c>
      <c r="Y3">
        <f>BDH("BBG01RZMPSS3 Equity","PX_LAST,PX_VOLUME","1/1/2020","6/10/2026")</f>
        <v/>
      </c>
      <c r="AC3">
        <f>BDH("BBG01ZCZGF36 Equity","PX_LAST,PX_VOLUME","1/1/2020","6/10/2026")</f>
        <v/>
      </c>
      <c r="AG3">
        <f>BDH("BBG01RZMPL44 Equity","PX_LAST,PX_VOLUME","1/1/2020","6/10/2026")</f>
        <v/>
      </c>
      <c r="AK3">
        <f>BDH("BBG01ZCZG5Z3 Equity","PX_LAST,PX_VOLUME","1/1/2020","6/10/2026")</f>
        <v/>
      </c>
      <c r="AO3">
        <f>BDH("BBG01RZMMZ55 Equity","PX_LAST,PX_VOLUME","1/1/2020","6/10/2026")</f>
        <v/>
      </c>
      <c r="AS3">
        <f>BDH("BBG01ZCZGDH6 Equity","PX_LAST,PX_VOLUME","1/1/2020","6/10/2026")</f>
        <v/>
      </c>
      <c r="AW3">
        <f>BDH("BBG01RZMPC17 Equity","PX_LAST,PX_VOLUME","1/1/2020","6/10/2026")</f>
        <v/>
      </c>
      <c r="BA3">
        <f>BDH("BBG01ZCZ9RM7 Equity","PX_LAST,PX_VOLUME","1/1/2020","6/10/2026")</f>
        <v/>
      </c>
      <c r="BE3">
        <f>BDH("BBG01RZMP3K6 Equity","PX_LAST,PX_VOLUME","1/1/2020","6/10/2026")</f>
        <v/>
      </c>
      <c r="BI3">
        <f>BDH("BBG01ZCZGNZ4 Equity","PX_LAST,PX_VOLUME","1/1/2020","6/10/2026")</f>
        <v/>
      </c>
      <c r="BM3">
        <f>BDH("BBG01RZMPJQ5 Equity","PX_LAST,PX_VOLUME","1/1/2020","6/10/2026")</f>
        <v/>
      </c>
      <c r="BQ3">
        <f>BDH("BBG01ZCZGQJ5 Equity","PX_LAST,PX_VOLUME","1/1/2020","6/10/2026")</f>
        <v/>
      </c>
      <c r="BU3">
        <f>BDH("BBG01RZMP9T4 Equity","PX_LAST,PX_VOLUME","1/1/2020","6/10/2026")</f>
        <v/>
      </c>
      <c r="BY3">
        <f>BDH("BBG01ZCZGFQ1 Equity","PX_LAST,PX_VOLUME","1/1/2020","6/10/2026")</f>
        <v/>
      </c>
      <c r="CC3">
        <f>BDH("BBG01RZMPCZ0 Equity","PX_LAST,PX_VOLUME","1/1/2020","6/10/2026")</f>
        <v/>
      </c>
      <c r="CG3">
        <f>BDH("BBG01ZCZB3Y4 Equity","PX_LAST,PX_VOLUME","1/1/2020","6/10/2026")</f>
        <v/>
      </c>
      <c r="CK3">
        <f>BDH("BBG01RZMPBF4 Equity","PX_LAST,PX_VOLUME","1/1/2020","6/10/2026")</f>
        <v/>
      </c>
      <c r="CO3">
        <f>BDH("BBG01ZCZB3B9 Equity","PX_LAST,PX_VOLUME","1/1/2020","6/10/2026")</f>
        <v/>
      </c>
      <c r="CS3">
        <f>BDH("BBG01RZMP5C0 Equity","PX_LAST,PX_VOLUME","1/1/2020","6/10/2026")</f>
        <v/>
      </c>
      <c r="CW3">
        <f>BDH("BBG01ZCZGSC8 Equity","PX_LAST,PX_VOLUME","1/1/2020","6/10/2026")</f>
        <v/>
      </c>
      <c r="DA3">
        <f>BDH("BBG01RZMMZS0 Equity","PX_LAST,PX_VOLUME","1/1/2020","6/10/2026")</f>
        <v/>
      </c>
      <c r="DE3">
        <f>BDH("BBG01ZCZGRR4 Equity","PX_LAST,PX_VOLUME","1/1/2020","6/10/2026")</f>
        <v/>
      </c>
      <c r="DI3">
        <f>BDH("BBG01RZMNYG5 Equity","PX_LAST,PX_VOLUME","1/1/2020","6/10/2026")</f>
        <v/>
      </c>
      <c r="DM3">
        <f>BDH("BBG01ZCZ9SV5 Equity","PX_LAST,PX_VOLUME","1/1/2020","6/10/2026")</f>
        <v/>
      </c>
      <c r="DQ3">
        <f>BDH("BBG01RZMP5Z5 Equity","PX_LAST,PX_VOLUME","1/1/2020","6/10/2026")</f>
        <v/>
      </c>
      <c r="DU3">
        <f>BDH("BBG01ZCZ9S72 Equity","PX_LAST,PX_VOLUME","1/1/2020","6/10/2026")</f>
        <v/>
      </c>
      <c r="DY3">
        <f>BDH("BBG01RZMN505 Equity","PX_LAST,PX_VOLUME","1/1/2020","6/10/2026")</f>
        <v/>
      </c>
      <c r="EC3">
        <f>BDH("BBG01ZCZ9R01 Equity","PX_LAST,PX_VOLUME","1/1/2020","6/10/2026")</f>
        <v/>
      </c>
      <c r="EG3">
        <f>BDH("BBG01WXGFN90 Equity","PX_LAST,PX_VOLUME","1/1/2020","6/10/2026")</f>
        <v/>
      </c>
      <c r="EK3">
        <f>BDH("BBG01WXGGJ43 Equity","PX_LAST,PX_VOLUME","1/1/2020","6/10/2026")</f>
        <v/>
      </c>
      <c r="EO3">
        <f>BDH("BBG01WXGGHJ1 Equity","PX_LAST,PX_VOLUME","1/1/2020","6/10/2026")</f>
        <v/>
      </c>
      <c r="ES3">
        <f>BDH("BBG01WXG9QV5 Equity","PX_LAST,PX_VOLUME","1/1/2020","6/10/2026")</f>
        <v/>
      </c>
      <c r="EW3">
        <f>BDH("BBG01WXG79G2 Equity","PX_LAST,PX_VOLUME","1/1/2020","6/10/2026")</f>
        <v/>
      </c>
      <c r="FA3">
        <f>BDH("BBG01WXGDTV4 Equity","PX_LAST,PX_VOLUME","1/1/2020","6/10/2026")</f>
        <v/>
      </c>
      <c r="FE3">
        <f>BDH("BBG01WXGDJT9 Equity","PX_LAST,PX_VOLUME","1/1/2020","6/10/2026")</f>
        <v/>
      </c>
      <c r="FI3">
        <f>BDH("BBG01WXGD5G3 Equity","PX_LAST,PX_VOLUME","1/1/2020","6/10/2026")</f>
        <v/>
      </c>
      <c r="FM3">
        <f>BDH("BBG01WXG9FB1 Equity","PX_LAST,PX_VOLUME","1/1/2020","6/10/2026")</f>
        <v/>
      </c>
      <c r="FQ3">
        <f>BDH("BBG01WXGGJR8 Equity","PX_LAST,PX_VOLUME","1/1/2020","6/10/2026")</f>
        <v/>
      </c>
      <c r="FU3">
        <f>BDH("BBG01WXG9FY6 Equity","PX_LAST,PX_VOLUME","1/1/2020","6/10/2026")</f>
        <v/>
      </c>
      <c r="FY3">
        <f>BDH("BBG01WXG74W5 Equity","PX_LAST,PX_VOLUME","1/1/2020","6/10/2026")</f>
        <v/>
      </c>
      <c r="GC3">
        <f>BDH("BBG01WXGDHL1 Equity","PX_LAST,PX_VOLUME","1/1/2020","6/10/2026")</f>
        <v/>
      </c>
      <c r="GG3">
        <f>BDH("BBG0216B3N00 Equity","PX_LAST,PX_VOLUME","1/1/2020","6/10/2026")</f>
        <v/>
      </c>
      <c r="GK3">
        <f>BDH("BBG01WXGDWP4 Equity","PX_LAST,PX_VOLUME","1/1/2020","6/10/2026")</f>
        <v/>
      </c>
      <c r="GO3">
        <f>BDH("BBG0216B3MD8 Equity","PX_LAST,PX_VOLUME","1/1/2020","6/10/2026")</f>
        <v/>
      </c>
      <c r="GS3">
        <f>BDH("BBG01WXGDJ64 Equity","PX_LAST,PX_VOLUME","1/1/2020","6/10/2026")</f>
        <v/>
      </c>
      <c r="GW3">
        <f>BDH("BBG0216B3Y88 Equity","PX_LAST,PX_VOLUME","1/1/2020","6/10/2026")</f>
        <v/>
      </c>
      <c r="HA3">
        <f>BDH("BBG01WXG8X69 Equity","PX_LAST,PX_VOLUME","1/1/2020","6/10/2026")</f>
        <v/>
      </c>
      <c r="HE3">
        <f>BDH("BBG0216B2KH9 Equity","PX_LAST,PX_VOLUME","1/1/2020","6/10/2026")</f>
        <v/>
      </c>
      <c r="HI3">
        <f>BDH("BBG01WXGG5L4 Equity","PX_LAST,PX_VOLUME","1/1/2020","6/10/2026")</f>
        <v/>
      </c>
      <c r="HM3">
        <f>BDH("BBG0216B3NM6 Equity","PX_LAST,PX_VOLUME","1/1/2020","6/10/2026")</f>
        <v/>
      </c>
      <c r="HQ3">
        <f>BDH("BBG01WXGD4V9 Equity","PX_LAST,PX_VOLUME","1/1/2020","6/10/2026")</f>
        <v/>
      </c>
      <c r="HU3">
        <f>BDH("BBG0216B2JW5 Equity","PX_LAST,PX_VOLUME","1/1/2020","6/10/2026")</f>
        <v/>
      </c>
      <c r="HY3">
        <f>BDH("BBG01WXG9PM7 Equity","PX_LAST,PX_VOLUME","1/1/2020","6/10/2026")</f>
        <v/>
      </c>
      <c r="IC3">
        <f>BDH("BBG0216B3YW1 Equity","PX_LAST,PX_VOLUME","1/1/2020","6/10/2026")</f>
        <v/>
      </c>
      <c r="IG3">
        <f>BDH("BBG01WXG7GV9 Equity","PX_LAST,PX_VOLUME","1/1/2020","6/10/2026")</f>
        <v/>
      </c>
      <c r="IK3">
        <f>BDH("BBG01WXGDW29 Equity","PX_LAST,PX_VOLUME","1/1/2020","6/10/2026")</f>
        <v/>
      </c>
      <c r="IO3">
        <f>BDH("BBG01WXG8XT4 Equity","PX_LAST,PX_VOLUME","1/1/2020","6/10/2026")</f>
        <v/>
      </c>
      <c r="IS3">
        <f>BDH("BBG01WXG9RG0 Equity","PX_LAST,PX_VOLUME","1/1/2020","6/10/2026")</f>
        <v/>
      </c>
      <c r="IW3">
        <f>BDH("BBG01WXGBSC9 Equity","PX_LAST,PX_VOLUME","1/1/2020","6/10/2026")</f>
        <v/>
      </c>
      <c r="JA3">
        <f>BDH("BBG01WXGBR40 Equity","PX_LAST,PX_VOLUME","1/1/2020","6/10/2026")</f>
        <v/>
      </c>
      <c r="JE3">
        <f>BDH("BBG01WXG75H9 Equity","PX_LAST,PX_VOLUME","1/1/2020","6/10/2026")</f>
        <v/>
      </c>
      <c r="JI3">
        <f>BDH("BBG01WXG8WL4 Equity","PX_LAST,PX_VOLUME","1/1/2020","6/10/2026")</f>
        <v/>
      </c>
      <c r="JM3">
        <f>BDH("BBG01WXGDXM5 Equity","PX_LAST,PX_VOLUME","1/1/2020","6/10/2026")</f>
        <v/>
      </c>
      <c r="JQ3">
        <f>BDH("BBG01WXG8VZ1 Equity","PX_LAST,PX_VOLUME","1/1/2020","6/10/2026")</f>
        <v/>
      </c>
      <c r="JU3">
        <f>BDH("BBG01WXG9S23 Equity","PX_LAST,PX_VOLUME","1/1/2020","6/10/2026")</f>
        <v/>
      </c>
      <c r="JY3">
        <f>BDH("BBG01WXGD3M1 Equity","PX_LAST,PX_VOLUME","1/1/2020","6/10/2026")</f>
        <v/>
      </c>
      <c r="KC3">
        <f>BDH("BBG01WXGBSZ4 Equity","PX_LAST,PX_VOLUME","1/1/2020","6/10/2026")</f>
        <v/>
      </c>
      <c r="KG3">
        <f>BDH("BBG01WXGD476 Equity","PX_LAST,PX_VOLUME","1/1/2020","6/10/2026")</f>
        <v/>
      </c>
      <c r="KK3">
        <f>BDH("BBG01WXGDFN3 Equity","PX_LAST,PX_VOLUME","1/1/2020","6/10/2026")</f>
        <v/>
      </c>
      <c r="KO3">
        <f>BDH("BBG01WXGD2D3 Equity","PX_LAST,PX_VOLUME","1/1/2020","6/10/2026")</f>
        <v/>
      </c>
      <c r="KS3">
        <f>BDH("BBG01WXGDY70 Equity","PX_LAST,PX_VOLUME","1/1/2020","6/10/2026")</f>
        <v/>
      </c>
      <c r="KW3">
        <f>BDH("BBG01WXGD305 Equity","PX_LAST,PX_VOLUME","1/1/2020","6/10/2026")</f>
        <v/>
      </c>
      <c r="LA3">
        <f>BDH("BBG01WXGG4Z2 Equity","PX_LAST,PX_VOLUME","1/1/2020","6/10/2026")</f>
        <v/>
      </c>
      <c r="LE3">
        <f>BDH("BBG01WXGGKR5 Equity","PX_LAST,PX_VOLUME","1/1/2020","6/10/2026")</f>
        <v/>
      </c>
      <c r="LI3">
        <f>BDH("BBG01WXGG286 Equity","PX_LAST,PX_VOLUME","1/1/2020","6/10/2026")</f>
        <v/>
      </c>
      <c r="LM3">
        <f>BDH("BBG01WXGDF17 Equity","PX_LAST,PX_VOLUME","1/1/2020","6/10/2026")</f>
        <v/>
      </c>
      <c r="LQ3">
        <f>BDH("BBG01WXGBX10 Equity","PX_LAST,PX_VOLUME","1/1/2020","6/10/2026")</f>
        <v/>
      </c>
      <c r="LU3">
        <f>BDH("BBG01WXGDYV3 Equity","PX_LAST,PX_VOLUME","1/1/2020","6/10/2026")</f>
        <v/>
      </c>
      <c r="LY3">
        <f>BDH("BBG01WXG93G3 Equity","PX_LAST,PX_VOLUME","1/1/2020","6/10/2026")</f>
        <v/>
      </c>
      <c r="MC3">
        <f>BDH("BBG01WXGDDF7 Equity","PX_LAST,PX_VOLUME","1/1/2020","6/10/2026")</f>
        <v/>
      </c>
      <c r="MG3">
        <f>BDH("BBG01WXGBRR5 Equity","PX_LAST,PX_VOLUME","1/1/2020","6/10/2026")</f>
        <v/>
      </c>
      <c r="MK3">
        <f>BDH("BBG01WXGDGL3 Equity","PX_LAST,PX_VOLUME","1/1/2020","6/10/2026")</f>
        <v/>
      </c>
      <c r="MO3">
        <f>BDH("BBG01WXG9275 Equity","PX_LAST,PX_VOLUME","1/1/2020","6/10/2026")</f>
        <v/>
      </c>
      <c r="MS3">
        <f>BDH("BBG01WXG47H8 Equity","PX_LAST,PX_VOLUME","1/1/2020","6/10/2026")</f>
        <v/>
      </c>
      <c r="MW3">
        <f>BDH("BBG01WXGF0T8 Equity","PX_LAST,PX_VOLUME","1/1/2020","6/10/2026")</f>
        <v/>
      </c>
      <c r="NA3">
        <f>BDH("BBG01WXGDG88 Equity","PX_LAST,PX_VOLUME","1/1/2020","6/10/2026")</f>
        <v/>
      </c>
      <c r="NE3">
        <f>BDH("BBG01WXGBLK5 Equity","PX_LAST,PX_VOLUME","1/1/2020","6/10/2026")</f>
        <v/>
      </c>
      <c r="NI3">
        <f>BDH("BBG01WXGB5R3 Equity","PX_LAST,PX_VOLUME","1/1/2020","6/10/2026")</f>
        <v/>
      </c>
      <c r="NM3">
        <f>BDH("BBG01WXGGNZ0 Equity","PX_LAST,PX_VOLUME","1/1/2020","6/10/2026")</f>
        <v/>
      </c>
      <c r="NQ3">
        <f>BDH("BBG01WXGB548 Equity","PX_LAST,PX_VOLUME","1/1/2020","6/10/2026")</f>
        <v/>
      </c>
      <c r="NU3">
        <f>BDH("BBG01VQKP0X3 Equity","PX_LAST,PX_VOLUME","1/1/2020","6/10/2026")</f>
        <v/>
      </c>
      <c r="NY3">
        <f>BDH("BBG020J9DML1 Equity","PX_LAST,PX_VOLUME","1/1/2020","6/10/2026")</f>
        <v/>
      </c>
      <c r="OC3">
        <f>BDH("BBG01VQKMB71 Equity","PX_LAST,PX_VOLUME","1/1/2020","6/10/2026")</f>
        <v/>
      </c>
      <c r="OG3">
        <f>BDH("BBG020J9DN66 Equity","PX_LAST,PX_VOLUME","1/1/2020","6/10/2026")</f>
        <v/>
      </c>
      <c r="OK3">
        <f>BDH("BBG01VQKMMS4 Equity","PX_LAST,PX_VOLUME","1/1/2020","6/10/2026")</f>
        <v/>
      </c>
      <c r="OO3">
        <f>BDH("BBG020J99WQ9 Equity","PX_LAST,PX_VOLUME","1/1/2020","6/10/2026")</f>
        <v/>
      </c>
      <c r="OS3">
        <f>BDH("BBG01VQKMPJ7 Equity","PX_LAST,PX_VOLUME","1/1/2020","6/10/2026")</f>
        <v/>
      </c>
      <c r="OW3">
        <f>BDH("BBG020J9D6X3 Equity","PX_LAST,PX_VOLUME","1/1/2020","6/10/2026")</f>
        <v/>
      </c>
      <c r="PA3">
        <f>BDH("BBG01VQKN2V3 Equity","PX_LAST,PX_VOLUME","1/1/2020","6/10/2026")</f>
        <v/>
      </c>
      <c r="PE3">
        <f>BDH("BBG020J99W34 Equity","PX_LAST,PX_VOLUME","1/1/2020","6/10/2026")</f>
        <v/>
      </c>
      <c r="PI3">
        <f>BDH("BBG01VQKMNX6 Equity","PX_LAST,PX_VOLUME","1/1/2020","6/10/2026")</f>
        <v/>
      </c>
      <c r="PM3">
        <f>BDH("BBG020J9D084 Equity","PX_LAST,PX_VOLUME","1/1/2020","6/10/2026")</f>
        <v/>
      </c>
      <c r="PQ3">
        <f>BDH("BBG01VQKMM59 Equity","PX_LAST,PX_VOLUME","1/1/2020","6/10/2026")</f>
        <v/>
      </c>
      <c r="PU3">
        <f>BDH("BBG020J9CSS2 Equity","PX_LAST,PX_VOLUME","1/1/2020","6/10/2026")</f>
        <v/>
      </c>
      <c r="PY3">
        <f>BDH("BBG01VQKMND8 Equity","PX_LAST,PX_VOLUME","1/1/2020","6/10/2026")</f>
        <v/>
      </c>
      <c r="QC3">
        <f>BDH("BBG020J99PN7 Equity","PX_LAST,PX_VOLUME","1/1/2020","6/10/2026")</f>
        <v/>
      </c>
      <c r="QG3">
        <f>BDH("BBG01VQKNV03 Equity","PX_LAST,PX_VOLUME","1/1/2020","6/10/2026")</f>
        <v/>
      </c>
      <c r="QK3">
        <f>BDH("BBG020J99P11 Equity","PX_LAST,PX_VOLUME","1/1/2020","6/10/2026")</f>
        <v/>
      </c>
      <c r="QO3">
        <f>BDH("BBG01VQKMDH6 Equity","PX_LAST,PX_VOLUME","1/1/2020","6/10/2026")</f>
        <v/>
      </c>
      <c r="QS3">
        <f>BDH("BBG020J9DHW0 Equity","PX_LAST,PX_VOLUME","1/1/2020","6/10/2026")</f>
        <v/>
      </c>
      <c r="QW3">
        <f>BDH("BBG01VQKMHF9 Equity","PX_LAST,PX_VOLUME","1/1/2020","6/10/2026")</f>
        <v/>
      </c>
      <c r="RA3">
        <f>BDH("BBG020J9DGP0 Equity","PX_LAST,PX_VOLUME","1/1/2020","6/10/2026")</f>
        <v/>
      </c>
      <c r="RE3">
        <f>BDH("BBG01VQKM6K7 Equity","PX_LAST,PX_VOLUME","1/1/2020","6/10/2026")</f>
        <v/>
      </c>
      <c r="RI3">
        <f>BDH("BBG020J9DG25 Equity","PX_LAST,PX_VOLUME","1/1/2020","6/10/2026")</f>
        <v/>
      </c>
      <c r="RM3">
        <f>BDH("BBG01VQKLQ60 Equity","PX_LAST,PX_VOLUME","1/1/2020","6/10/2026")</f>
        <v/>
      </c>
      <c r="RQ3">
        <f>BDH("BBG020J9DH96 Equity","PX_LAST,PX_VOLUME","1/1/2020","6/10/2026")</f>
        <v/>
      </c>
      <c r="RU3">
        <f>BDH("BBG01VQKLPL5 Equity","PX_LAST,PX_VOLUME","1/1/2020","6/10/2026")</f>
        <v/>
      </c>
      <c r="RY3">
        <f>BDH("BBG020J9DJH3 Equity","PX_LAST,PX_VOLUME","1/1/2020","6/10/2026")</f>
        <v/>
      </c>
      <c r="SC3">
        <f>BDH("BBG01VQKM7Z9 Equity","PX_LAST,PX_VOLUME","1/1/2020","6/10/2026")</f>
        <v/>
      </c>
      <c r="SG3">
        <f>BDH("BBG020J964B0 Equity","PX_LAST,PX_VOLUME","1/1/2020","6/10/2026")</f>
        <v/>
      </c>
      <c r="SK3">
        <f>BDH("BBG01VQKMGT6 Equity","PX_LAST,PX_VOLUME","1/1/2020","6/10/2026")</f>
        <v/>
      </c>
      <c r="SO3">
        <f>BDH("BBG020J99JH8 Equity","PX_LAST,PX_VOLUME","1/1/2020","6/10/2026")</f>
        <v/>
      </c>
      <c r="SS3">
        <f>BDH("BBG01VQKLXF5 Equity","PX_LAST,PX_VOLUME","1/1/2020","6/10/2026")</f>
        <v/>
      </c>
      <c r="SW3">
        <f>BDH("BBG020J9DFG2 Equity","PX_LAST,PX_VOLUME","1/1/2020","6/10/2026")</f>
        <v/>
      </c>
      <c r="TA3">
        <f>BDH("BBG01VQKMG61 Equity","PX_LAST,PX_VOLUME","1/1/2020","6/10/2026")</f>
        <v/>
      </c>
      <c r="TE3">
        <f>BDH("BBG020J9D9K1 Equity","PX_LAST,PX_VOLUME","1/1/2020","6/10/2026")</f>
        <v/>
      </c>
      <c r="TI3">
        <f>BDH("BBG01VQKMJ10 Equity","PX_LAST,PX_VOLUME","1/1/2020","6/10/2026")</f>
        <v/>
      </c>
      <c r="TM3">
        <f>BDH("BBG020J9DDV0 Equity","PX_LAST,PX_VOLUME","1/1/2020","6/10/2026")</f>
        <v/>
      </c>
      <c r="TQ3">
        <f>BDH("BBG01VQKMRC0 Equity","PX_LAST,PX_VOLUME","1/1/2020","6/10/2026")</f>
        <v/>
      </c>
      <c r="TU3">
        <f>BDH("BBG020J99VH1 Equity","PX_LAST,PX_VOLUME","1/1/2020","6/10/2026")</f>
        <v/>
      </c>
      <c r="TY3">
        <f>BDH("BBG01VQKNFM4 Equity","PX_LAST,PX_VOLUME","1/1/2020","6/10/2026")</f>
        <v/>
      </c>
      <c r="UC3">
        <f>BDH("BBG020J9D7J7 Equity","PX_LAST,PX_VOLUME","1/1/2020","6/10/2026")</f>
        <v/>
      </c>
      <c r="UG3">
        <f>BDH("BBG01VQKN3G8 Equity","PX_LAST,PX_VOLUME","1/1/2020","6/10/2026")</f>
        <v/>
      </c>
      <c r="UK3">
        <f>BDH("BBG020J99TW9 Equity","PX_LAST,PX_VOLUME","1/1/2020","6/10/2026")</f>
        <v/>
      </c>
      <c r="UO3">
        <f>BDH("BBG01VQKNF08 Equity","PX_LAST,PX_VOLUME","1/1/2020","6/10/2026")</f>
        <v/>
      </c>
      <c r="US3">
        <f>BDH("BBG020J99SG9 Equity","PX_LAST,PX_VOLUME","1/1/2020","6/10/2026")</f>
        <v/>
      </c>
      <c r="UW3">
        <f>BDH("BBG01VQKNDD9 Equity","PX_LAST,PX_VOLUME","1/1/2020","6/10/2026")</f>
        <v/>
      </c>
      <c r="VA3">
        <f>BDH("BBG020J99K30 Equity","PX_LAST,PX_VOLUME","1/1/2020","6/10/2026")</f>
        <v/>
      </c>
      <c r="VE3">
        <f>BDH("BBG01VQKMQ41 Equity","PX_LAST,PX_VOLUME","1/1/2020","6/10/2026")</f>
        <v/>
      </c>
      <c r="VI3">
        <f>BDH("BBG020J99LB9 Equity","PX_LAST,PX_VOLUME","1/1/2020","6/10/2026")</f>
        <v/>
      </c>
      <c r="VM3">
        <f>BDH("BBG01VQKMQR6 Equity","PX_LAST,PX_VOLUME","1/1/2020","6/10/2026")</f>
        <v/>
      </c>
      <c r="VQ3">
        <f>BDH("BBG020J9D1H2 Equity","PX_LAST,PX_VOLUME","1/1/2020","6/10/2026")</f>
        <v/>
      </c>
      <c r="VU3">
        <f>BDH("BBG01VQKN948 Equity","PX_LAST,PX_VOLUME","1/1/2020","6/10/2026")</f>
        <v/>
      </c>
      <c r="VY3">
        <f>BDH("BBG020J99RV4 Equity","PX_LAST,PX_VOLUME","1/1/2020","6/10/2026")</f>
        <v/>
      </c>
      <c r="WC3">
        <f>BDH("BBG01VQKMVM0 Equity","PX_LAST,PX_VOLUME","1/1/2020","6/10/2026")</f>
        <v/>
      </c>
      <c r="WG3">
        <f>BDH("BBG01KWGGV52 Equity","PX_LAST,PX_VOLUME","1/1/2020","6/10/2026")</f>
        <v/>
      </c>
      <c r="WK3">
        <f>BDH("BBG0216B3X08 Equity","PX_LAST,PX_VOLUME","1/1/2020","6/10/2026")</f>
        <v/>
      </c>
      <c r="WO3">
        <f>BDH("BBG01KWGGWC2 Equity","PX_LAST,PX_VOLUME","1/1/2020","6/10/2026")</f>
        <v/>
      </c>
      <c r="WS3">
        <f>BDH("BBG0216B3XM4 Equity","PX_LAST,PX_VOLUME","1/1/2020","6/10/2026")</f>
        <v/>
      </c>
      <c r="WW3">
        <f>BDH("BBG01KWGGXJ3 Equity","PX_LAST,PX_VOLUME","1/1/2020","6/10/2026")</f>
        <v/>
      </c>
      <c r="XA3">
        <f>BDH("BBG01XZ8FY18 Equity","PX_LAST,PX_VOLUME","1/1/2020","6/10/2026")</f>
        <v/>
      </c>
      <c r="XE3">
        <f>BDH("BBG01KWGGYP4 Equity","PX_LAST,PX_VOLUME","1/1/2020","6/10/2026")</f>
        <v/>
      </c>
      <c r="XI3">
        <f>BDH("BBG01XZ89607 Equity","PX_LAST,PX_VOLUME","1/1/2020","6/10/2026")</f>
        <v/>
      </c>
      <c r="XM3">
        <f>BDH("BBG01KWGGZW3 Equity","PX_LAST,PX_VOLUME","1/1/2020","6/10/2026")</f>
        <v/>
      </c>
      <c r="XQ3">
        <f>BDH("BBG01XZ895D5 Equity","PX_LAST,PX_VOLUME","1/1/2020","6/10/2026")</f>
        <v/>
      </c>
      <c r="XU3">
        <f>BDH("BBG01KWGH111 Equity","PX_LAST,PX_VOLUME","1/1/2020","6/10/2026")</f>
        <v/>
      </c>
      <c r="XY3">
        <f>BDH("BBG01XZ896M3 Equity","PX_LAST,PX_VOLUME","1/1/2020","6/10/2026")</f>
        <v/>
      </c>
      <c r="YC3">
        <f>BDH("BBG01KWGH273 Equity","PX_LAST,PX_VOLUME","1/1/2020","6/10/2026")</f>
        <v/>
      </c>
      <c r="YG3">
        <f>BDH("BBG01XZ8FXF5 Equity","PX_LAST,PX_VOLUME","1/1/2020","6/10/2026")</f>
        <v/>
      </c>
      <c r="YK3">
        <f>BDH("BBG01KWGH3D4 Equity","PX_LAST,PX_VOLUME","1/1/2020","6/10/2026")</f>
        <v/>
      </c>
      <c r="YO3">
        <f>BDH("BBG01XZ88SR1 Equity","PX_LAST,PX_VOLUME","1/1/2020","6/10/2026")</f>
        <v/>
      </c>
      <c r="YS3">
        <f>BDH("BBG01KWGH4K4 Equity","PX_LAST,PX_VOLUME","1/1/2020","6/10/2026")</f>
        <v/>
      </c>
      <c r="YW3">
        <f>BDH("BBG01XZ8F9M0 Equity","PX_LAST,PX_VOLUME","1/1/2020","6/10/2026")</f>
        <v/>
      </c>
      <c r="ZA3">
        <f>BDH("BBG01KWGH5R4 Equity","PX_LAST,PX_VOLUME","1/1/2020","6/10/2026")</f>
        <v/>
      </c>
      <c r="ZE3">
        <f>BDH("BBG01XZ88JC7 Equity","PX_LAST,PX_VOLUME","1/1/2020","6/10/2026")</f>
        <v/>
      </c>
      <c r="ZI3">
        <f>BDH("BBG01KWGH6X5 Equity","PX_LAST,PX_VOLUME","1/1/2020","6/10/2026")</f>
        <v/>
      </c>
      <c r="ZM3">
        <f>BDH("BBG01XZ88KL4 Equity","PX_LAST,PX_VOLUME","1/1/2020","6/10/2026")</f>
        <v/>
      </c>
      <c r="ZQ3">
        <f>BDH("BBG01KWGH825 Equity","PX_LAST,PX_VOLUME","1/1/2020","6/10/2026")</f>
        <v/>
      </c>
      <c r="ZU3">
        <f>BDH("BBG01XZ88JZ2 Equity","PX_LAST,PX_VOLUME","1/1/2020","6/10/2026")</f>
        <v/>
      </c>
      <c r="ZY3">
        <f>BDH("BBG01KWGH987 Equity","PX_LAST,PX_VOLUME","1/1/2020","6/10/2026")</f>
        <v/>
      </c>
      <c r="AAC3">
        <f>BDH("BBG01XZ88L69 Equity","PX_LAST,PX_VOLUME","1/1/2020","6/10/2026")</f>
        <v/>
      </c>
      <c r="AAG3">
        <f>BDH("BBG01KWGHBF4 Equity","PX_LAST,PX_VOLUME","1/1/2020","6/10/2026")</f>
        <v/>
      </c>
      <c r="AAK3">
        <f>BDH("BBG01XZ894S2 Equity","PX_LAST,PX_VOLUME","1/1/2020","6/10/2026")</f>
        <v/>
      </c>
      <c r="AAO3">
        <f>BDH("BBG01KWGHCL5 Equity","PX_LAST,PX_VOLUME","1/1/2020","6/10/2026")</f>
        <v/>
      </c>
      <c r="AAS3">
        <f>BDH("BBG01XZ8FNM9 Equity","PX_LAST,PX_VOLUME","1/1/2020","6/10/2026")</f>
        <v/>
      </c>
      <c r="AAW3">
        <f>BDH("BBG01KWGHDS6 Equity","PX_LAST,PX_VOLUME","1/1/2020","6/10/2026")</f>
        <v/>
      </c>
      <c r="ABA3">
        <f>BDH("BBG01XZ8FN03 Equity","PX_LAST,PX_VOLUME","1/1/2020","6/10/2026")</f>
        <v/>
      </c>
      <c r="ABE3">
        <f>BDH("BBG01KWGHFY4 Equity","PX_LAST,PX_VOLUME","1/1/2020","6/10/2026")</f>
        <v/>
      </c>
      <c r="ABI3">
        <f>BDH("BBG01XZ8FB72 Equity","PX_LAST,PX_VOLUME","1/1/2020","6/10/2026")</f>
        <v/>
      </c>
      <c r="ABM3">
        <f>BDH("BBG01KWGHH43 Equity","PX_LAST,PX_VOLUME","1/1/2020","6/10/2026")</f>
        <v/>
      </c>
      <c r="ABQ3">
        <f>BDH("BBG01XZ8FMD1 Equity","PX_LAST,PX_VOLUME","1/1/2020","6/10/2026")</f>
        <v/>
      </c>
      <c r="ABU3">
        <f>BDH("BBG01KWGHJ94 Equity","PX_LAST,PX_VOLUME","1/1/2020","6/10/2026")</f>
        <v/>
      </c>
      <c r="ABY3">
        <f>BDH("BBG01XZ8FLS7 Equity","PX_LAST,PX_VOLUME","1/1/2020","6/10/2026")</f>
        <v/>
      </c>
      <c r="ACC3">
        <f>BDH("BBG01NP39MB4 Equity","PX_LAST,PX_VOLUME","1/1/2020","6/10/2026")</f>
        <v/>
      </c>
      <c r="ACG3">
        <f>BDH("BBG01XZ8F904 Equity","PX_LAST,PX_VOLUME","1/1/2020","6/10/2026")</f>
        <v/>
      </c>
      <c r="ACK3">
        <f>BDH("BBG01NQ1JYM8 Equity","PX_LAST,PX_VOLUME","1/1/2020","6/10/2026")</f>
        <v/>
      </c>
      <c r="ACO3">
        <f>BDH("BBG01XZ88GZ8 Equity","PX_LAST,PX_VOLUME","1/1/2020","6/10/2026")</f>
        <v/>
      </c>
      <c r="ACS3">
        <f>BDH("BBG01NQ1JZ63 Equity","PX_LAST,PX_VOLUME","1/1/2020","6/10/2026")</f>
        <v/>
      </c>
      <c r="ACW3">
        <f>BDH("BBG01XZ8DNN0 Equity","PX_LAST,PX_VOLUME","1/1/2020","6/10/2026")</f>
        <v/>
      </c>
      <c r="ADA3">
        <f>BDH("BBG01NQ1JY11 Equity","PX_LAST,PX_VOLUME","1/1/2020","6/10/2026")</f>
        <v/>
      </c>
      <c r="ADE3">
        <f>BDH("BBG01XZ88GC3 Equity","PX_LAST,PX_VOLUME","1/1/2020","6/10/2026")</f>
        <v/>
      </c>
      <c r="ADI3">
        <f>BDH("BBG01NRLLC11 Equity","PX_LAST,PX_VOLUME","1/1/2020","6/10/2026")</f>
        <v/>
      </c>
      <c r="ADM3">
        <f>BDH("BBG0216B0VS5 Equity","PX_LAST,PX_VOLUME","1/1/2020","6/10/2026")</f>
        <v/>
      </c>
      <c r="ADQ3">
        <f>BDH("BBG01QPLK291 Equity","PX_LAST,PX_VOLUME","1/1/2020","6/10/2026")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BBG0216B0WD9 Equity (TSLA US 06/18/26 P555)</t>
        </is>
      </c>
      <c r="E1" t="inlineStr">
        <is>
          <t>BBG01QPLK3J8 Equity (TSLA US 06/18/26 P560)</t>
        </is>
      </c>
      <c r="I1" t="inlineStr">
        <is>
          <t>BBG0217WCKF3 Equity (TSLA US 06/18/26 P565)</t>
        </is>
      </c>
      <c r="M1" t="inlineStr">
        <is>
          <t>BBG01QPLK2X4 Equity (TSLA US 06/18/26 P570)</t>
        </is>
      </c>
      <c r="Q1" t="inlineStr">
        <is>
          <t>BBG0217WCL16 Equity (TSLA US 06/18/26 P575)</t>
        </is>
      </c>
      <c r="U1" t="inlineStr">
        <is>
          <t>BBG01QR8K350 Equity (TSLA US 06/18/26 P580)</t>
        </is>
      </c>
      <c r="Y1" t="inlineStr">
        <is>
          <t>BBG01W2NBZD1 Equity (TSLA US 07/17/26 P310)</t>
        </is>
      </c>
      <c r="AC1" t="inlineStr">
        <is>
          <t>BBG01W2NBDW9 Equity (TSLA US 07/17/26 P320)</t>
        </is>
      </c>
      <c r="AG1" t="inlineStr">
        <is>
          <t>BBG01W2NC0M7 Equity (TSLA US 07/17/26 P330)</t>
        </is>
      </c>
      <c r="AK1" t="inlineStr">
        <is>
          <t>BBG01W2NC172 Equity (TSLA US 07/17/26 P340)</t>
        </is>
      </c>
      <c r="AO1" t="inlineStr">
        <is>
          <t>BBG01W2NC1W4 Equity (TSLA US 07/17/26 P350)</t>
        </is>
      </c>
      <c r="AS1" t="inlineStr">
        <is>
          <t>BBG01W2NC2H9 Equity (TSLA US 07/17/26 P360)</t>
        </is>
      </c>
      <c r="AW1" t="inlineStr">
        <is>
          <t>BBG01W2N9XT2 Equity (TSLA US 07/17/26 P370)</t>
        </is>
      </c>
      <c r="BA1" t="inlineStr">
        <is>
          <t>BBG01W2NBMG7 Equity (TSLA US 07/17/26 P380)</t>
        </is>
      </c>
      <c r="BE1" t="inlineStr">
        <is>
          <t>BBG01W2N9C90 Equity (TSLA US 07/17/26 P390)</t>
        </is>
      </c>
      <c r="BI1" t="inlineStr">
        <is>
          <t>BBG01W2N9TG5 Equity (TSLA US 07/17/26 P400)</t>
        </is>
      </c>
      <c r="BM1" t="inlineStr">
        <is>
          <t>BBG01W2N9B29 Equity (TSLA US 07/17/26 P410)</t>
        </is>
      </c>
      <c r="BQ1" t="inlineStr">
        <is>
          <t>BBG01W2N9R15 Equity (TSLA US 07/17/26 P420)</t>
        </is>
      </c>
      <c r="BU1" t="inlineStr">
        <is>
          <t>BBG01W2N9BP4 Equity (TSLA US 07/17/26 P430)</t>
        </is>
      </c>
      <c r="BY1" t="inlineStr">
        <is>
          <t>BBG01W2N9CX3 Equity (TSLA US 07/17/26 P440)</t>
        </is>
      </c>
      <c r="CC1" t="inlineStr">
        <is>
          <t>BBG01W2N9YF5 Equity (TSLA US 07/17/26 P450)</t>
        </is>
      </c>
      <c r="CG1" t="inlineStr">
        <is>
          <t>BBG01W2NBKM4 Equity (TSLA US 07/17/26 P460)</t>
        </is>
      </c>
      <c r="CK1" t="inlineStr">
        <is>
          <t>BBG01W2N9ZN3 Equity (TSLA US 07/17/26 P470)</t>
        </is>
      </c>
      <c r="CO1" t="inlineStr">
        <is>
          <t>BBG01W2NBCN1 Equity (TSLA US 07/17/26 P480)</t>
        </is>
      </c>
      <c r="CS1" t="inlineStr">
        <is>
          <t>BBG01W2NBD86 Equity (TSLA US 07/17/26 P490)</t>
        </is>
      </c>
      <c r="CW1" t="inlineStr">
        <is>
          <t>BBG01W2NC001 Equity (TSLA US 07/17/26 P500)</t>
        </is>
      </c>
      <c r="DA1" t="inlineStr">
        <is>
          <t>BBG01W2NBV40 Equity (TSLA US 07/17/26 P510)</t>
        </is>
      </c>
      <c r="DE1" t="inlineStr">
        <is>
          <t>BBG01W2N9H44 Equity (TSLA US 07/17/26 P520)</t>
        </is>
      </c>
      <c r="DI1" t="inlineStr">
        <is>
          <t>BBG01W2NBTJ9 Equity (TSLA US 07/17/26 P530)</t>
        </is>
      </c>
      <c r="DM1" t="inlineStr">
        <is>
          <t>BBG01WM3R5R7 Equity (TSLA US 08/21/26 P310)</t>
        </is>
      </c>
      <c r="DQ1" t="inlineStr">
        <is>
          <t>BBG01WM3L6R1 Equity (TSLA US 08/21/26 P320)</t>
        </is>
      </c>
      <c r="DU1" t="inlineStr">
        <is>
          <t>BBG01WM3L7Z0 Equity (TSLA US 08/21/26 P330)</t>
        </is>
      </c>
      <c r="DY1" t="inlineStr">
        <is>
          <t>BBG01WM3NFV4 Equity (TSLA US 08/21/26 P340)</t>
        </is>
      </c>
      <c r="EC1" t="inlineStr">
        <is>
          <t>BBG01WM3QYX8 Equity (TSLA US 08/21/26 P350)</t>
        </is>
      </c>
      <c r="EG1" t="inlineStr">
        <is>
          <t>BBG01WM3NF71 Equity (TSLA US 08/21/26 P360)</t>
        </is>
      </c>
      <c r="EK1" t="inlineStr">
        <is>
          <t>BBG01WM3QSN2 Equity (TSLA US 08/21/26 P370)</t>
        </is>
      </c>
      <c r="EO1" t="inlineStr">
        <is>
          <t>BBG01WM3QS16 Equity (TSLA US 08/21/26 P380)</t>
        </is>
      </c>
      <c r="ES1" t="inlineStr">
        <is>
          <t>BBG01WM3QT87 Equity (TSLA US 08/21/26 P390)</t>
        </is>
      </c>
      <c r="EW1" t="inlineStr">
        <is>
          <t>BBG01WM3NBD3 Equity (TSLA US 08/21/26 P400)</t>
        </is>
      </c>
      <c r="FA1" t="inlineStr">
        <is>
          <t>BBG01WM3QZJ1 Equity (TSLA US 08/21/26 P410)</t>
        </is>
      </c>
      <c r="FE1" t="inlineStr">
        <is>
          <t>BBG01WM3R1P8 Equity (TSLA US 08/21/26 P420)</t>
        </is>
      </c>
      <c r="FI1" t="inlineStr">
        <is>
          <t>BBG01WM3QW44 Equity (TSLA US 08/21/26 P430)</t>
        </is>
      </c>
      <c r="FM1" t="inlineStr">
        <is>
          <t>BBG01WM3R294 Equity (TSLA US 08/21/26 P440)</t>
        </is>
      </c>
      <c r="FQ1" t="inlineStr">
        <is>
          <t>BBG01WM3P3R4 Equity (TSLA US 08/21/26 P450)</t>
        </is>
      </c>
      <c r="FU1" t="inlineStr">
        <is>
          <t>BBG01WM3R2X7 Equity (TSLA US 08/21/26 P460)</t>
        </is>
      </c>
      <c r="FY1" t="inlineStr">
        <is>
          <t>BBG01WM3QRF3 Equity (TSLA US 08/21/26 P470)</t>
        </is>
      </c>
      <c r="GC1" t="inlineStr">
        <is>
          <t>BBG01WM3P4Z3 Equity (TSLA US 08/21/26 P480)</t>
        </is>
      </c>
      <c r="GG1" t="inlineStr">
        <is>
          <t>BBG01WM3P4C8 Equity (TSLA US 08/21/26 P490)</t>
        </is>
      </c>
      <c r="GK1" t="inlineStr">
        <is>
          <t>BBG01WM3RH82 Equity (TSLA US 08/21/26 P500)</t>
        </is>
      </c>
      <c r="GO1" t="inlineStr">
        <is>
          <t>BBG01XB6QJJ0 Equity (TSLA US 08/21/26 P510)</t>
        </is>
      </c>
      <c r="GS1" t="inlineStr">
        <is>
          <t>BBG01XB6QK43 Equity (TSLA US 08/21/26 P520)</t>
        </is>
      </c>
      <c r="GW1" t="inlineStr">
        <is>
          <t>BBG01XB6QFK6 Equity (TSLA US 08/21/26 P530)</t>
        </is>
      </c>
      <c r="HA1" t="inlineStr">
        <is>
          <t>BBG01S6R9118 Equity (TSLA US 09/18/26 P310)</t>
        </is>
      </c>
      <c r="HE1" t="inlineStr">
        <is>
          <t>BBG01S6R8HT4 Equity (TSLA US 09/18/26 P320)</t>
        </is>
      </c>
      <c r="HI1" t="inlineStr">
        <is>
          <t>BBG01S6R8H69 Equity (TSLA US 09/18/26 P330)</t>
        </is>
      </c>
      <c r="HM1" t="inlineStr">
        <is>
          <t>BBG01S6R8823 Equity (TSLA US 09/18/26 P340)</t>
        </is>
      </c>
      <c r="HQ1" t="inlineStr">
        <is>
          <t>BBG01ZN2KNZ0 Equity (TSLA US 09/18/26 P345)</t>
        </is>
      </c>
      <c r="HU1" t="inlineStr">
        <is>
          <t>BBG01S6R9KT6 Equity (TSLA US 09/18/26 P350)</t>
        </is>
      </c>
      <c r="HY1" t="inlineStr">
        <is>
          <t>BBG01ZN2KMR1 Equity (TSLA US 09/18/26 P355)</t>
        </is>
      </c>
      <c r="IC1" t="inlineStr">
        <is>
          <t>BBG01S6R9JN5 Equity (TSLA US 09/18/26 P360)</t>
        </is>
      </c>
      <c r="IG1" t="inlineStr">
        <is>
          <t>BBG01ZN27CF1 Equity (TSLA US 09/18/26 P365)</t>
        </is>
      </c>
      <c r="IK1" t="inlineStr">
        <is>
          <t>BBG01S6R88P8 Equity (TSLA US 09/18/26 P370)</t>
        </is>
      </c>
      <c r="IO1" t="inlineStr">
        <is>
          <t>BBG01ZN29859 Equity (TSLA US 09/18/26 P375)</t>
        </is>
      </c>
      <c r="IS1" t="inlineStr">
        <is>
          <t>BBG01S6R87G0 Equity (TSLA US 09/18/26 P380)</t>
        </is>
      </c>
      <c r="IW1" t="inlineStr">
        <is>
          <t>BBG01ZN2G8F0 Equity (TSLA US 09/18/26 P385)</t>
        </is>
      </c>
      <c r="JA1" t="inlineStr">
        <is>
          <t>BBG01S6R8994 Equity (TSLA US 09/18/26 P390)</t>
        </is>
      </c>
      <c r="JE1" t="inlineStr">
        <is>
          <t>BBG01ZN2KDV6 Equity (TSLA US 09/18/26 P395)</t>
        </is>
      </c>
      <c r="JI1" t="inlineStr">
        <is>
          <t>BBG01S6R9WM7 Equity (TSLA US 09/18/26 P400)</t>
        </is>
      </c>
      <c r="JM1" t="inlineStr">
        <is>
          <t>BBG01ZN2G7T7 Equity (TSLA US 09/18/26 P405)</t>
        </is>
      </c>
      <c r="JQ1" t="inlineStr">
        <is>
          <t>BBG01S6R8LY9 Equity (TSLA US 09/18/26 P410)</t>
        </is>
      </c>
      <c r="JU1" t="inlineStr">
        <is>
          <t>BBG01ZN2KZ65 Equity (TSLA US 09/18/26 P415)</t>
        </is>
      </c>
      <c r="JY1" t="inlineStr">
        <is>
          <t>BBG01S6R9X72 Equity (TSLA US 09/18/26 P420)</t>
        </is>
      </c>
      <c r="KC1" t="inlineStr">
        <is>
          <t>BBG01ZN2KYL1 Equity (TSLA US 09/18/26 P425)</t>
        </is>
      </c>
      <c r="KG1" t="inlineStr">
        <is>
          <t>BBG01S6R86L6 Equity (TSLA US 09/18/26 P430)</t>
        </is>
      </c>
      <c r="KK1" t="inlineStr">
        <is>
          <t>BBG01ZN2FZK5 Equity (TSLA US 09/18/26 P435)</t>
        </is>
      </c>
      <c r="KO1" t="inlineStr">
        <is>
          <t>BBG01S6R7YV5 Equity (TSLA US 09/18/26 P440)</t>
        </is>
      </c>
      <c r="KS1" t="inlineStr">
        <is>
          <t>BBG01ZN2G0S3 Equity (TSLA US 09/18/26 P445)</t>
        </is>
      </c>
      <c r="KW1" t="inlineStr">
        <is>
          <t>BBG01S6R8CT5 Equity (TSLA US 09/18/26 P450)</t>
        </is>
      </c>
      <c r="LA1" t="inlineStr">
        <is>
          <t>BBG01ZN2G058 Equity (TSLA US 09/18/26 P455)</t>
        </is>
      </c>
      <c r="LE1" t="inlineStr">
        <is>
          <t>BBG01S6R7ZG9 Equity (TSLA US 09/18/26 P460)</t>
        </is>
      </c>
      <c r="LI1" t="inlineStr">
        <is>
          <t>BBG01ZN2KXZ8 Equity (TSLA US 09/18/26 P465)</t>
        </is>
      </c>
      <c r="LM1" t="inlineStr">
        <is>
          <t>BBG01S6R81C7 Equity (TSLA US 09/18/26 P470)</t>
        </is>
      </c>
      <c r="LQ1" t="inlineStr">
        <is>
          <t>BBG01ZN2G1D7 Equity (TSLA US 09/18/26 P475)</t>
        </is>
      </c>
      <c r="LU1" t="inlineStr">
        <is>
          <t>BBG01S6R74J5 Equity (TSLA US 09/18/26 P480)</t>
        </is>
      </c>
      <c r="LY1" t="inlineStr">
        <is>
          <t>BBG01ZN2G762 Equity (TSLA US 09/18/26 P485)</t>
        </is>
      </c>
      <c r="MC1" t="inlineStr">
        <is>
          <t>BBG01S6R80R3 Equity (TSLA US 09/18/26 P490)</t>
        </is>
      </c>
      <c r="MG1" t="inlineStr">
        <is>
          <t>BBG01ZN2G6L7 Equity (TSLA US 09/18/26 P495)</t>
        </is>
      </c>
      <c r="MK1" t="inlineStr">
        <is>
          <t>BBG01S6R8YY1 Equity (TSLA US 09/18/26 P500)</t>
        </is>
      </c>
      <c r="MO1" t="inlineStr">
        <is>
          <t>BBG01ZN2G209 Equity (TSLA US 09/18/26 P505)</t>
        </is>
      </c>
      <c r="MS1" t="inlineStr">
        <is>
          <t>BBG01S6R9671 Equity (TSLA US 09/18/26 P510)</t>
        </is>
      </c>
      <c r="MW1" t="inlineStr">
        <is>
          <t>BBG01ZN27D14 Equity (TSLA US 09/18/26 P515)</t>
        </is>
      </c>
      <c r="NA1" t="inlineStr">
        <is>
          <t>BBG01S6R8YB6 Equity (TSLA US 09/18/26 P520)</t>
        </is>
      </c>
      <c r="NE1" t="inlineStr">
        <is>
          <t>BBG01ZN2KM46 Equity (TSLA US 09/18/26 P525)</t>
        </is>
      </c>
      <c r="NI1" t="inlineStr">
        <is>
          <t>BBG01S6R96V4 Equity (TSLA US 09/18/26 P530)</t>
        </is>
      </c>
      <c r="NM1" t="inlineStr">
        <is>
          <t>BBG0214ZXYQ4 Equity (TSLA US 10/16/26 P330)</t>
        </is>
      </c>
      <c r="NQ1" t="inlineStr">
        <is>
          <t>BBG0214ZXJN0 Equity (TSLA US 10/16/26 P335)</t>
        </is>
      </c>
      <c r="NU1" t="inlineStr">
        <is>
          <t>BBG0214ZRWT2 Equity (TSLA US 10/16/26 P340)</t>
        </is>
      </c>
      <c r="NY1" t="inlineStr">
        <is>
          <t>BBG0214ZXGT0 Equity (TSLA US 10/16/26 P345)</t>
        </is>
      </c>
      <c r="OC1" t="inlineStr">
        <is>
          <t>BBG0214ZTRB0 Equity (TSLA US 10/16/26 P350)</t>
        </is>
      </c>
      <c r="OG1" t="inlineStr">
        <is>
          <t>BBG0214ZX809 Equity (TSLA US 10/16/26 P355)</t>
        </is>
      </c>
      <c r="OK1" t="inlineStr">
        <is>
          <t>BBG0214ZXZB7 Equity (TSLA US 10/16/26 P360)</t>
        </is>
      </c>
      <c r="OO1" t="inlineStr">
        <is>
          <t>BBG0214ZX8M5 Equity (TSLA US 10/16/26 P365)</t>
        </is>
      </c>
      <c r="OS1" t="inlineStr">
        <is>
          <t>BBG0214ZXY39 Equity (TSLA US 10/16/26 P370)</t>
        </is>
      </c>
      <c r="OW1" t="inlineStr">
        <is>
          <t>BBG0214ZX970 Equity (TSLA US 10/16/26 P375)</t>
        </is>
      </c>
      <c r="PA1" t="inlineStr">
        <is>
          <t>BBG0214ZS2M4 Equity (TSLA US 10/16/26 P380)</t>
        </is>
      </c>
      <c r="PE1" t="inlineStr">
        <is>
          <t>BBG0214ZSQC2 Equity (TSLA US 10/16/26 P385)</t>
        </is>
      </c>
      <c r="PI1" t="inlineStr">
        <is>
          <t>BBG0214ZXNX0 Equity (TSLA US 10/16/26 P390)</t>
        </is>
      </c>
      <c r="PM1" t="inlineStr">
        <is>
          <t>BBG0214ZXC55 Equity (TSLA US 10/16/26 P395)</t>
        </is>
      </c>
      <c r="PQ1" t="inlineStr">
        <is>
          <t>BBG0214ZXHF3 Equity (TSLA US 10/16/26 P400)</t>
        </is>
      </c>
      <c r="PU1" t="inlineStr">
        <is>
          <t>BBG0214ZWV18 Equity (TSLA US 10/16/26 P405)</t>
        </is>
      </c>
      <c r="PY1" t="inlineStr">
        <is>
          <t>BBG0214ZX7J1 Equity (TSLA US 10/16/26 P410)</t>
        </is>
      </c>
      <c r="QC1" t="inlineStr">
        <is>
          <t>BBG0214ZRXF5 Equity (TSLA US 10/16/26 P415)</t>
        </is>
      </c>
      <c r="QG1" t="inlineStr">
        <is>
          <t>BBG0214ZX694 Equity (TSLA US 10/16/26 P420)</t>
        </is>
      </c>
      <c r="QK1" t="inlineStr">
        <is>
          <t>BBG0214ZT9B0 Equity (TSLA US 10/16/26 P425)</t>
        </is>
      </c>
      <c r="QO1" t="inlineStr">
        <is>
          <t>BBG0214ZX6X7 Equity (TSLA US 10/16/26 P430)</t>
        </is>
      </c>
      <c r="QS1" t="inlineStr">
        <is>
          <t>BBG0214ZY167 Equity (TSLA US 10/16/26 P435)</t>
        </is>
      </c>
      <c r="QW1" t="inlineStr">
        <is>
          <t>BBG0214ZSQZ7 Equity (TSLA US 10/16/26 P440)</t>
        </is>
      </c>
      <c r="RA1" t="inlineStr">
        <is>
          <t>BBG0214ZWVN4 Equity (TSLA US 10/16/26 P445)</t>
        </is>
      </c>
      <c r="RE1" t="inlineStr">
        <is>
          <t>BBG0214ZSPZ9 Equity (TSLA US 10/16/26 P450)</t>
        </is>
      </c>
      <c r="RI1" t="inlineStr">
        <is>
          <t>BBG0214ZWM09 Equity (TSLA US 10/16/26 P455)</t>
        </is>
      </c>
      <c r="RM1" t="inlineStr">
        <is>
          <t>BBG0214ZSLB4 Equity (TSLA US 10/16/26 P460)</t>
        </is>
      </c>
      <c r="RQ1" t="inlineStr">
        <is>
          <t>BBG0214ZY1T2 Equity (TSLA US 10/16/26 P465)</t>
        </is>
      </c>
      <c r="RU1" t="inlineStr">
        <is>
          <t>BBG0214ZSRL0 Equity (TSLA US 10/16/26 P470)</t>
        </is>
      </c>
      <c r="RY1" t="inlineStr">
        <is>
          <t>BBG0214ZY2F5 Equity (TSLA US 10/16/26 P475)</t>
        </is>
      </c>
      <c r="SC1" t="inlineStr">
        <is>
          <t>BBG0214ZSS65 Equity (TSLA US 10/16/26 P480)</t>
        </is>
      </c>
      <c r="SG1" t="inlineStr">
        <is>
          <t>BBG0214ZRYN4 Equity (TSLA US 10/16/26 P485)</t>
        </is>
      </c>
      <c r="SK1" t="inlineStr">
        <is>
          <t>BBG0214ZWYD9 Equity (TSLA US 10/16/26 P490)</t>
        </is>
      </c>
      <c r="SO1" t="inlineStr">
        <is>
          <t>BBG0214ZRY18 Equity (TSLA US 10/16/26 P495)</t>
        </is>
      </c>
      <c r="SS1" t="inlineStr">
        <is>
          <t>BBG0214ZT0C8 Equity (TSLA US 10/16/26 P500)</t>
        </is>
      </c>
      <c r="SW1" t="inlineStr">
        <is>
          <t>BBG0214ZRLX1 Equity (TSLA US 10/16/26 P505)</t>
        </is>
      </c>
      <c r="TA1" t="inlineStr">
        <is>
          <t>BBG0214ZXS69 Equity (TSLA US 10/16/26 P510)</t>
        </is>
      </c>
      <c r="TE1" t="inlineStr">
        <is>
          <t>BBG0214ZW3K9 Equity (TSLA US 10/16/26 P515)</t>
        </is>
      </c>
      <c r="TI1" t="inlineStr">
        <is>
          <t>BBG0214ZQXM8 Equity (TSLA US 10/16/26 P520)</t>
        </is>
      </c>
      <c r="TM1" t="inlineStr">
        <is>
          <t>BBG0214ZSCZ8 Equity (TSLA US 10/16/26 P525)</t>
        </is>
      </c>
      <c r="TQ1" t="inlineStr">
        <is>
          <t>BBG0214ZWR53 Equity (TSLA US 10/16/26 P530)</t>
        </is>
      </c>
      <c r="TU1" t="inlineStr">
        <is>
          <t>BBG01ZJR4KY5 Equity (TSLA US 11/20/26 P330)</t>
        </is>
      </c>
      <c r="TY1" t="inlineStr">
        <is>
          <t>BBG01ZJR7QW1 Equity (TSLA US 11/20/26 P335)</t>
        </is>
      </c>
      <c r="UC1" t="inlineStr">
        <is>
          <t>BBG01ZJR5522 Equity (TSLA US 11/20/26 P340)</t>
        </is>
      </c>
      <c r="UG1" t="inlineStr">
        <is>
          <t>BBG01ZJR44Y1 Equity (TSLA US 11/20/26 P345)</t>
        </is>
      </c>
      <c r="UK1" t="inlineStr">
        <is>
          <t>BBG01ZJR4GG4 Equity (TSLA US 11/20/26 P350)</t>
        </is>
      </c>
      <c r="UO1" t="inlineStr">
        <is>
          <t>BBG01ZJR7JR3 Equity (TSLA US 11/20/26 P355)</t>
        </is>
      </c>
      <c r="US1" t="inlineStr">
        <is>
          <t>BBG01ZJR3ZF4 Equity (TSLA US 11/20/26 P360)</t>
        </is>
      </c>
      <c r="UW1" t="inlineStr">
        <is>
          <t>BBG01ZJR84W9 Equity (TSLA US 11/20/26 P365)</t>
        </is>
      </c>
      <c r="VA1" t="inlineStr">
        <is>
          <t>BBG01ZJR4LK8 Equity (TSLA US 11/20/26 P370)</t>
        </is>
      </c>
      <c r="VE1" t="inlineStr">
        <is>
          <t>BBG01ZJR8P52 Equity (TSLA US 11/20/26 P375)</t>
        </is>
      </c>
      <c r="VI1" t="inlineStr">
        <is>
          <t>BBG01ZJR8S74 Equity (TSLA US 11/20/26 P380)</t>
        </is>
      </c>
      <c r="VM1" t="inlineStr">
        <is>
          <t>BBG01ZJR4H27 Equity (TSLA US 11/20/26 P385)</t>
        </is>
      </c>
      <c r="VQ1" t="inlineStr">
        <is>
          <t>BBG01ZJR80B0 Equity (TSLA US 11/20/26 P390)</t>
        </is>
      </c>
      <c r="VU1" t="inlineStr">
        <is>
          <t>BBG01ZJR7H88 Equity (TSLA US 11/20/26 P395)</t>
        </is>
      </c>
      <c r="VY1" t="inlineStr">
        <is>
          <t>BBG01ZJR45K3 Equity (TSLA US 11/20/26 P400)</t>
        </is>
      </c>
      <c r="WC1" t="inlineStr">
        <is>
          <t>BBG01ZJR8CP9 Equity (TSLA US 11/20/26 P405)</t>
        </is>
      </c>
      <c r="WG1" t="inlineStr">
        <is>
          <t>BBG01ZJR5693 Equity (TSLA US 11/20/26 P410)</t>
        </is>
      </c>
      <c r="WK1" t="inlineStr">
        <is>
          <t>BBG01ZJR8DX8 Equity (TSLA US 11/20/26 P415)</t>
        </is>
      </c>
      <c r="WO1" t="inlineStr">
        <is>
          <t>BBG01ZJR4HP2 Equity (TSLA US 11/20/26 P420)</t>
        </is>
      </c>
      <c r="WS1" t="inlineStr">
        <is>
          <t>BBG01ZJR3HQ2 Equity (TSLA US 11/20/26 P425)</t>
        </is>
      </c>
      <c r="WW1" t="inlineStr">
        <is>
          <t>BBG01ZJR7G17 Equity (TSLA US 11/20/26 P430)</t>
        </is>
      </c>
      <c r="XA1" t="inlineStr">
        <is>
          <t>BBG01ZJR3JB4 Equity (TSLA US 11/20/26 P435)</t>
        </is>
      </c>
      <c r="XE1" t="inlineStr">
        <is>
          <t>BBG01ZJR4JQ7 Equity (TSLA US 11/20/26 P440)</t>
        </is>
      </c>
      <c r="XI1" t="inlineStr">
        <is>
          <t>BBG01ZJR8D95 Equity (TSLA US 11/20/26 P445)</t>
        </is>
      </c>
      <c r="XM1" t="inlineStr">
        <is>
          <t>BBG01ZJR56X6 Equity (TSLA US 11/20/26 P450)</t>
        </is>
      </c>
      <c r="XQ1" t="inlineStr">
        <is>
          <t>BBG01ZJR8FJ9 Equity (TSLA US 11/20/26 P455)</t>
        </is>
      </c>
      <c r="XU1" t="inlineStr">
        <is>
          <t>BBG01ZJR80Y5 Equity (TSLA US 11/20/26 P460)</t>
        </is>
      </c>
      <c r="XY1" t="inlineStr">
        <is>
          <t>BBG01ZJR3W34 Equity (TSLA US 11/20/26 P465)</t>
        </is>
      </c>
      <c r="YC1" t="inlineStr">
        <is>
          <t>BBG01ZJR7CG0 Equity (TSLA US 11/20/26 P470)</t>
        </is>
      </c>
      <c r="YG1" t="inlineStr">
        <is>
          <t>BBG01ZJR6Q34 Equity (TSLA US 11/20/26 P475)</t>
        </is>
      </c>
      <c r="YK1" t="inlineStr">
        <is>
          <t>BBG01ZJR4F76 Equity (TSLA US 11/20/26 P480)</t>
        </is>
      </c>
      <c r="YO1" t="inlineStr">
        <is>
          <t>BBG01ZJR5372 Equity (TSLA US 11/20/26 P485)</t>
        </is>
      </c>
      <c r="YS1" t="inlineStr">
        <is>
          <t>BBG01ZJR8LP9 Equity (TSLA US 11/20/26 P490)</t>
        </is>
      </c>
      <c r="YW1" t="inlineStr">
        <is>
          <t>BBG01ZJR29Z1 Equity (TSLA US 11/20/26 P495)</t>
        </is>
      </c>
      <c r="ZA1" t="inlineStr">
        <is>
          <t>BBG01ZJR3JY9 Equity (TSLA US 11/20/26 P500)</t>
        </is>
      </c>
      <c r="ZE1" t="inlineStr">
        <is>
          <t>BBG01ZJR2669 Equity (TSLA US 11/20/26 P505)</t>
        </is>
      </c>
      <c r="ZI1" t="inlineStr">
        <is>
          <t>BBG01ZJR3KK1 Equity (TSLA US 11/20/26 P510)</t>
        </is>
      </c>
      <c r="ZM1" t="inlineStr">
        <is>
          <t>BBG01ZJR26T4 Equity (TSLA US 11/20/26 P515)</t>
        </is>
      </c>
      <c r="ZQ1" t="inlineStr">
        <is>
          <t>BBG01ZJR53V5 Equity (TSLA US 11/20/26 P520)</t>
        </is>
      </c>
      <c r="ZU1" t="inlineStr">
        <is>
          <t>BBG01ZJR25L4 Equity (TSLA US 11/20/26 P525)</t>
        </is>
      </c>
      <c r="ZY1" t="inlineStr">
        <is>
          <t>BBG01ZJR29C6 Equity (TSLA US 11/20/26 P530)</t>
        </is>
      </c>
      <c r="AAC1" t="inlineStr">
        <is>
          <t>BBG01M58NSP3 Equity (TSLA US 12/18/26 P330)</t>
        </is>
      </c>
      <c r="AAG1" t="inlineStr">
        <is>
          <t>BBG01MN5K1J8 Equity (TSLA US 12/18/26 P340)</t>
        </is>
      </c>
      <c r="AAK1" t="inlineStr">
        <is>
          <t>BBG01MNSTQX8 Equity (TSLA US 12/18/26 P350)</t>
        </is>
      </c>
      <c r="AAO1" t="inlineStr">
        <is>
          <t>BBG01MNSTSJ0 Equity (TSLA US 12/18/26 P360)</t>
        </is>
      </c>
      <c r="AAS1" t="inlineStr">
        <is>
          <t>BBG01MNSTTP1 Equity (TSLA US 12/18/26 P370)</t>
        </is>
      </c>
      <c r="AAW1" t="inlineStr">
        <is>
          <t>BBG01MNSTVV9 Equity (TSLA US 12/18/26 P380)</t>
        </is>
      </c>
      <c r="ABA1" t="inlineStr">
        <is>
          <t>BBG01NMLC6H2 Equity (TSLA US 12/18/26 P390)</t>
        </is>
      </c>
      <c r="ABE1" t="inlineStr">
        <is>
          <t>BBG01NMLBWR5 Equity (TSLA US 12/18/26 P400)</t>
        </is>
      </c>
      <c r="ABI1" t="inlineStr">
        <is>
          <t>BBG01NMLC5X6 Equity (TSLA US 12/18/26 P410)</t>
        </is>
      </c>
      <c r="ABM1" t="inlineStr">
        <is>
          <t>BBG01NMLB6Q3 Equity (TSLA US 12/18/26 P420)</t>
        </is>
      </c>
      <c r="ABQ1" t="inlineStr">
        <is>
          <t>BBG01NML91R6 Equity (TSLA US 12/18/26 P430)</t>
        </is>
      </c>
      <c r="ABU1" t="inlineStr">
        <is>
          <t>BBG01NML9150 Equity (TSLA US 12/18/26 P440)</t>
        </is>
      </c>
      <c r="ABY1" t="inlineStr">
        <is>
          <t>BBG01NML92B1 Equity (TSLA US 12/18/26 P450)</t>
        </is>
      </c>
      <c r="ACC1" t="inlineStr">
        <is>
          <t>BBG01NMLBW59 Equity (TSLA US 12/18/26 P460)</t>
        </is>
      </c>
      <c r="ACG1" t="inlineStr">
        <is>
          <t>BBG01NP3B9G5 Equity (TSLA US 12/18/26 P470)</t>
        </is>
      </c>
      <c r="ACK1" t="inlineStr">
        <is>
          <t>BBG01NP39VC3 Equity (TSLA US 12/18/26 P480)</t>
        </is>
      </c>
      <c r="ACO1" t="inlineStr">
        <is>
          <t>BBG01NP39VY9 Equity (TSLA US 12/18/26 P490)</t>
        </is>
      </c>
      <c r="ACS1" t="inlineStr">
        <is>
          <t>BBG01NP39TS1 Equity (TSLA US 12/18/26 P500)</t>
        </is>
      </c>
      <c r="ACW1" t="inlineStr">
        <is>
          <t>BBG01NQ1JKL9 Equity (TSLA US 12/18/26 P510)</t>
        </is>
      </c>
      <c r="ADA1" t="inlineStr">
        <is>
          <t>BBG01NQ1JL55 Equity (TSLA US 12/18/26 P520)</t>
        </is>
      </c>
      <c r="ADE1" t="inlineStr">
        <is>
          <t>BBG01NQ1JK02 Equity (TSLA US 12/18/26 P530)</t>
        </is>
      </c>
    </row>
    <row r="2">
      <c r="A2" t="inlineStr">
        <is>
          <t>Date</t>
        </is>
      </c>
      <c r="B2" t="inlineStr">
        <is>
          <t>PX_LAST</t>
        </is>
      </c>
      <c r="C2" t="inlineStr">
        <is>
          <t>PX_VOLUME</t>
        </is>
      </c>
      <c r="E2" t="inlineStr">
        <is>
          <t>Date</t>
        </is>
      </c>
      <c r="F2" t="inlineStr">
        <is>
          <t>PX_LAST</t>
        </is>
      </c>
      <c r="G2" t="inlineStr">
        <is>
          <t>PX_VOLUME</t>
        </is>
      </c>
      <c r="I2" t="inlineStr">
        <is>
          <t>Date</t>
        </is>
      </c>
      <c r="J2" t="inlineStr">
        <is>
          <t>PX_LAST</t>
        </is>
      </c>
      <c r="K2" t="inlineStr">
        <is>
          <t>PX_VOLUME</t>
        </is>
      </c>
      <c r="M2" t="inlineStr">
        <is>
          <t>Date</t>
        </is>
      </c>
      <c r="N2" t="inlineStr">
        <is>
          <t>PX_LAST</t>
        </is>
      </c>
      <c r="O2" t="inlineStr">
        <is>
          <t>PX_VOLUME</t>
        </is>
      </c>
      <c r="Q2" t="inlineStr">
        <is>
          <t>Date</t>
        </is>
      </c>
      <c r="R2" t="inlineStr">
        <is>
          <t>PX_LAST</t>
        </is>
      </c>
      <c r="S2" t="inlineStr">
        <is>
          <t>PX_VOLUME</t>
        </is>
      </c>
      <c r="U2" t="inlineStr">
        <is>
          <t>Date</t>
        </is>
      </c>
      <c r="V2" t="inlineStr">
        <is>
          <t>PX_LAST</t>
        </is>
      </c>
      <c r="W2" t="inlineStr">
        <is>
          <t>PX_VOLUME</t>
        </is>
      </c>
      <c r="Y2" t="inlineStr">
        <is>
          <t>Date</t>
        </is>
      </c>
      <c r="Z2" t="inlineStr">
        <is>
          <t>PX_LAST</t>
        </is>
      </c>
      <c r="AA2" t="inlineStr">
        <is>
          <t>PX_VOLUME</t>
        </is>
      </c>
      <c r="AC2" t="inlineStr">
        <is>
          <t>Date</t>
        </is>
      </c>
      <c r="AD2" t="inlineStr">
        <is>
          <t>PX_LAST</t>
        </is>
      </c>
      <c r="AE2" t="inlineStr">
        <is>
          <t>PX_VOLUME</t>
        </is>
      </c>
      <c r="AG2" t="inlineStr">
        <is>
          <t>Date</t>
        </is>
      </c>
      <c r="AH2" t="inlineStr">
        <is>
          <t>PX_LAST</t>
        </is>
      </c>
      <c r="AI2" t="inlineStr">
        <is>
          <t>PX_VOLUME</t>
        </is>
      </c>
      <c r="AK2" t="inlineStr">
        <is>
          <t>Date</t>
        </is>
      </c>
      <c r="AL2" t="inlineStr">
        <is>
          <t>PX_LAST</t>
        </is>
      </c>
      <c r="AM2" t="inlineStr">
        <is>
          <t>PX_VOLUME</t>
        </is>
      </c>
      <c r="AO2" t="inlineStr">
        <is>
          <t>Date</t>
        </is>
      </c>
      <c r="AP2" t="inlineStr">
        <is>
          <t>PX_LAST</t>
        </is>
      </c>
      <c r="AQ2" t="inlineStr">
        <is>
          <t>PX_VOLUME</t>
        </is>
      </c>
      <c r="AS2" t="inlineStr">
        <is>
          <t>Date</t>
        </is>
      </c>
      <c r="AT2" t="inlineStr">
        <is>
          <t>PX_LAST</t>
        </is>
      </c>
      <c r="AU2" t="inlineStr">
        <is>
          <t>PX_VOLUME</t>
        </is>
      </c>
      <c r="AW2" t="inlineStr">
        <is>
          <t>Date</t>
        </is>
      </c>
      <c r="AX2" t="inlineStr">
        <is>
          <t>PX_LAST</t>
        </is>
      </c>
      <c r="AY2" t="inlineStr">
        <is>
          <t>PX_VOLUME</t>
        </is>
      </c>
      <c r="BA2" t="inlineStr">
        <is>
          <t>Date</t>
        </is>
      </c>
      <c r="BB2" t="inlineStr">
        <is>
          <t>PX_LAST</t>
        </is>
      </c>
      <c r="BC2" t="inlineStr">
        <is>
          <t>PX_VOLUME</t>
        </is>
      </c>
      <c r="BE2" t="inlineStr">
        <is>
          <t>Date</t>
        </is>
      </c>
      <c r="BF2" t="inlineStr">
        <is>
          <t>PX_LAST</t>
        </is>
      </c>
      <c r="BG2" t="inlineStr">
        <is>
          <t>PX_VOLUME</t>
        </is>
      </c>
      <c r="BI2" t="inlineStr">
        <is>
          <t>Date</t>
        </is>
      </c>
      <c r="BJ2" t="inlineStr">
        <is>
          <t>PX_LAST</t>
        </is>
      </c>
      <c r="BK2" t="inlineStr">
        <is>
          <t>PX_VOLUME</t>
        </is>
      </c>
      <c r="BM2" t="inlineStr">
        <is>
          <t>Date</t>
        </is>
      </c>
      <c r="BN2" t="inlineStr">
        <is>
          <t>PX_LAST</t>
        </is>
      </c>
      <c r="BO2" t="inlineStr">
        <is>
          <t>PX_VOLUME</t>
        </is>
      </c>
      <c r="BQ2" t="inlineStr">
        <is>
          <t>Date</t>
        </is>
      </c>
      <c r="BR2" t="inlineStr">
        <is>
          <t>PX_LAST</t>
        </is>
      </c>
      <c r="BS2" t="inlineStr">
        <is>
          <t>PX_VOLUME</t>
        </is>
      </c>
      <c r="BU2" t="inlineStr">
        <is>
          <t>Date</t>
        </is>
      </c>
      <c r="BV2" t="inlineStr">
        <is>
          <t>PX_LAST</t>
        </is>
      </c>
      <c r="BW2" t="inlineStr">
        <is>
          <t>PX_VOLUME</t>
        </is>
      </c>
      <c r="BY2" t="inlineStr">
        <is>
          <t>Date</t>
        </is>
      </c>
      <c r="BZ2" t="inlineStr">
        <is>
          <t>PX_LAST</t>
        </is>
      </c>
      <c r="CA2" t="inlineStr">
        <is>
          <t>PX_VOLUME</t>
        </is>
      </c>
      <c r="CC2" t="inlineStr">
        <is>
          <t>Date</t>
        </is>
      </c>
      <c r="CD2" t="inlineStr">
        <is>
          <t>PX_LAST</t>
        </is>
      </c>
      <c r="CE2" t="inlineStr">
        <is>
          <t>PX_VOLUME</t>
        </is>
      </c>
      <c r="CG2" t="inlineStr">
        <is>
          <t>Date</t>
        </is>
      </c>
      <c r="CH2" t="inlineStr">
        <is>
          <t>PX_LAST</t>
        </is>
      </c>
      <c r="CI2" t="inlineStr">
        <is>
          <t>PX_VOLUME</t>
        </is>
      </c>
      <c r="CK2" t="inlineStr">
        <is>
          <t>Date</t>
        </is>
      </c>
      <c r="CL2" t="inlineStr">
        <is>
          <t>PX_LAST</t>
        </is>
      </c>
      <c r="CM2" t="inlineStr">
        <is>
          <t>PX_VOLUME</t>
        </is>
      </c>
      <c r="CO2" t="inlineStr">
        <is>
          <t>Date</t>
        </is>
      </c>
      <c r="CP2" t="inlineStr">
        <is>
          <t>PX_LAST</t>
        </is>
      </c>
      <c r="CQ2" t="inlineStr">
        <is>
          <t>PX_VOLUME</t>
        </is>
      </c>
      <c r="CS2" t="inlineStr">
        <is>
          <t>Date</t>
        </is>
      </c>
      <c r="CT2" t="inlineStr">
        <is>
          <t>PX_LAST</t>
        </is>
      </c>
      <c r="CU2" t="inlineStr">
        <is>
          <t>PX_VOLUME</t>
        </is>
      </c>
      <c r="CW2" t="inlineStr">
        <is>
          <t>Date</t>
        </is>
      </c>
      <c r="CX2" t="inlineStr">
        <is>
          <t>PX_LAST</t>
        </is>
      </c>
      <c r="CY2" t="inlineStr">
        <is>
          <t>PX_VOLUME</t>
        </is>
      </c>
      <c r="DA2" t="inlineStr">
        <is>
          <t>Date</t>
        </is>
      </c>
      <c r="DB2" t="inlineStr">
        <is>
          <t>PX_LAST</t>
        </is>
      </c>
      <c r="DC2" t="inlineStr">
        <is>
          <t>PX_VOLUME</t>
        </is>
      </c>
      <c r="DE2" t="inlineStr">
        <is>
          <t>Date</t>
        </is>
      </c>
      <c r="DF2" t="inlineStr">
        <is>
          <t>PX_LAST</t>
        </is>
      </c>
      <c r="DG2" t="inlineStr">
        <is>
          <t>PX_VOLUME</t>
        </is>
      </c>
      <c r="DI2" t="inlineStr">
        <is>
          <t>Date</t>
        </is>
      </c>
      <c r="DJ2" t="inlineStr">
        <is>
          <t>PX_LAST</t>
        </is>
      </c>
      <c r="DK2" t="inlineStr">
        <is>
          <t>PX_VOLUME</t>
        </is>
      </c>
      <c r="DM2" t="inlineStr">
        <is>
          <t>Date</t>
        </is>
      </c>
      <c r="DN2" t="inlineStr">
        <is>
          <t>PX_LAST</t>
        </is>
      </c>
      <c r="DO2" t="inlineStr">
        <is>
          <t>PX_VOLUME</t>
        </is>
      </c>
      <c r="DQ2" t="inlineStr">
        <is>
          <t>Date</t>
        </is>
      </c>
      <c r="DR2" t="inlineStr">
        <is>
          <t>PX_LAST</t>
        </is>
      </c>
      <c r="DS2" t="inlineStr">
        <is>
          <t>PX_VOLUME</t>
        </is>
      </c>
      <c r="DU2" t="inlineStr">
        <is>
          <t>Date</t>
        </is>
      </c>
      <c r="DV2" t="inlineStr">
        <is>
          <t>PX_LAST</t>
        </is>
      </c>
      <c r="DW2" t="inlineStr">
        <is>
          <t>PX_VOLUME</t>
        </is>
      </c>
      <c r="DY2" t="inlineStr">
        <is>
          <t>Date</t>
        </is>
      </c>
      <c r="DZ2" t="inlineStr">
        <is>
          <t>PX_LAST</t>
        </is>
      </c>
      <c r="EA2" t="inlineStr">
        <is>
          <t>PX_VOLUME</t>
        </is>
      </c>
      <c r="EC2" t="inlineStr">
        <is>
          <t>Date</t>
        </is>
      </c>
      <c r="ED2" t="inlineStr">
        <is>
          <t>PX_LAST</t>
        </is>
      </c>
      <c r="EE2" t="inlineStr">
        <is>
          <t>PX_VOLUME</t>
        </is>
      </c>
      <c r="EG2" t="inlineStr">
        <is>
          <t>Date</t>
        </is>
      </c>
      <c r="EH2" t="inlineStr">
        <is>
          <t>PX_LAST</t>
        </is>
      </c>
      <c r="EI2" t="inlineStr">
        <is>
          <t>PX_VOLUME</t>
        </is>
      </c>
      <c r="EK2" t="inlineStr">
        <is>
          <t>Date</t>
        </is>
      </c>
      <c r="EL2" t="inlineStr">
        <is>
          <t>PX_LAST</t>
        </is>
      </c>
      <c r="EM2" t="inlineStr">
        <is>
          <t>PX_VOLUME</t>
        </is>
      </c>
      <c r="EO2" t="inlineStr">
        <is>
          <t>Date</t>
        </is>
      </c>
      <c r="EP2" t="inlineStr">
        <is>
          <t>PX_LAST</t>
        </is>
      </c>
      <c r="EQ2" t="inlineStr">
        <is>
          <t>PX_VOLUME</t>
        </is>
      </c>
      <c r="ES2" t="inlineStr">
        <is>
          <t>Date</t>
        </is>
      </c>
      <c r="ET2" t="inlineStr">
        <is>
          <t>PX_LAST</t>
        </is>
      </c>
      <c r="EU2" t="inlineStr">
        <is>
          <t>PX_VOLUME</t>
        </is>
      </c>
      <c r="EW2" t="inlineStr">
        <is>
          <t>Date</t>
        </is>
      </c>
      <c r="EX2" t="inlineStr">
        <is>
          <t>PX_LAST</t>
        </is>
      </c>
      <c r="EY2" t="inlineStr">
        <is>
          <t>PX_VOLUME</t>
        </is>
      </c>
      <c r="FA2" t="inlineStr">
        <is>
          <t>Date</t>
        </is>
      </c>
      <c r="FB2" t="inlineStr">
        <is>
          <t>PX_LAST</t>
        </is>
      </c>
      <c r="FC2" t="inlineStr">
        <is>
          <t>PX_VOLUME</t>
        </is>
      </c>
      <c r="FE2" t="inlineStr">
        <is>
          <t>Date</t>
        </is>
      </c>
      <c r="FF2" t="inlineStr">
        <is>
          <t>PX_LAST</t>
        </is>
      </c>
      <c r="FG2" t="inlineStr">
        <is>
          <t>PX_VOLUME</t>
        </is>
      </c>
      <c r="FI2" t="inlineStr">
        <is>
          <t>Date</t>
        </is>
      </c>
      <c r="FJ2" t="inlineStr">
        <is>
          <t>PX_LAST</t>
        </is>
      </c>
      <c r="FK2" t="inlineStr">
        <is>
          <t>PX_VOLUME</t>
        </is>
      </c>
      <c r="FM2" t="inlineStr">
        <is>
          <t>Date</t>
        </is>
      </c>
      <c r="FN2" t="inlineStr">
        <is>
          <t>PX_LAST</t>
        </is>
      </c>
      <c r="FO2" t="inlineStr">
        <is>
          <t>PX_VOLUME</t>
        </is>
      </c>
      <c r="FQ2" t="inlineStr">
        <is>
          <t>Date</t>
        </is>
      </c>
      <c r="FR2" t="inlineStr">
        <is>
          <t>PX_LAST</t>
        </is>
      </c>
      <c r="FS2" t="inlineStr">
        <is>
          <t>PX_VOLUME</t>
        </is>
      </c>
      <c r="FU2" t="inlineStr">
        <is>
          <t>Date</t>
        </is>
      </c>
      <c r="FV2" t="inlineStr">
        <is>
          <t>PX_LAST</t>
        </is>
      </c>
      <c r="FW2" t="inlineStr">
        <is>
          <t>PX_VOLUME</t>
        </is>
      </c>
      <c r="FY2" t="inlineStr">
        <is>
          <t>Date</t>
        </is>
      </c>
      <c r="FZ2" t="inlineStr">
        <is>
          <t>PX_LAST</t>
        </is>
      </c>
      <c r="GA2" t="inlineStr">
        <is>
          <t>PX_VOLUME</t>
        </is>
      </c>
      <c r="GC2" t="inlineStr">
        <is>
          <t>Date</t>
        </is>
      </c>
      <c r="GD2" t="inlineStr">
        <is>
          <t>PX_LAST</t>
        </is>
      </c>
      <c r="GE2" t="inlineStr">
        <is>
          <t>PX_VOLUME</t>
        </is>
      </c>
      <c r="GG2" t="inlineStr">
        <is>
          <t>Date</t>
        </is>
      </c>
      <c r="GH2" t="inlineStr">
        <is>
          <t>PX_LAST</t>
        </is>
      </c>
      <c r="GI2" t="inlineStr">
        <is>
          <t>PX_VOLUME</t>
        </is>
      </c>
      <c r="GK2" t="inlineStr">
        <is>
          <t>Date</t>
        </is>
      </c>
      <c r="GL2" t="inlineStr">
        <is>
          <t>PX_LAST</t>
        </is>
      </c>
      <c r="GM2" t="inlineStr">
        <is>
          <t>PX_VOLUME</t>
        </is>
      </c>
      <c r="GO2" t="inlineStr">
        <is>
          <t>Date</t>
        </is>
      </c>
      <c r="GP2" t="inlineStr">
        <is>
          <t>PX_LAST</t>
        </is>
      </c>
      <c r="GQ2" t="inlineStr">
        <is>
          <t>PX_VOLUME</t>
        </is>
      </c>
      <c r="GS2" t="inlineStr">
        <is>
          <t>Date</t>
        </is>
      </c>
      <c r="GT2" t="inlineStr">
        <is>
          <t>PX_LAST</t>
        </is>
      </c>
      <c r="GU2" t="inlineStr">
        <is>
          <t>PX_VOLUME</t>
        </is>
      </c>
      <c r="GW2" t="inlineStr">
        <is>
          <t>Date</t>
        </is>
      </c>
      <c r="GX2" t="inlineStr">
        <is>
          <t>PX_LAST</t>
        </is>
      </c>
      <c r="GY2" t="inlineStr">
        <is>
          <t>PX_VOLUME</t>
        </is>
      </c>
      <c r="HA2" t="inlineStr">
        <is>
          <t>Date</t>
        </is>
      </c>
      <c r="HB2" t="inlineStr">
        <is>
          <t>PX_LAST</t>
        </is>
      </c>
      <c r="HC2" t="inlineStr">
        <is>
          <t>PX_VOLUME</t>
        </is>
      </c>
      <c r="HE2" t="inlineStr">
        <is>
          <t>Date</t>
        </is>
      </c>
      <c r="HF2" t="inlineStr">
        <is>
          <t>PX_LAST</t>
        </is>
      </c>
      <c r="HG2" t="inlineStr">
        <is>
          <t>PX_VOLUME</t>
        </is>
      </c>
      <c r="HI2" t="inlineStr">
        <is>
          <t>Date</t>
        </is>
      </c>
      <c r="HJ2" t="inlineStr">
        <is>
          <t>PX_LAST</t>
        </is>
      </c>
      <c r="HK2" t="inlineStr">
        <is>
          <t>PX_VOLUME</t>
        </is>
      </c>
      <c r="HM2" t="inlineStr">
        <is>
          <t>Date</t>
        </is>
      </c>
      <c r="HN2" t="inlineStr">
        <is>
          <t>PX_LAST</t>
        </is>
      </c>
      <c r="HO2" t="inlineStr">
        <is>
          <t>PX_VOLUME</t>
        </is>
      </c>
      <c r="HQ2" t="inlineStr">
        <is>
          <t>Date</t>
        </is>
      </c>
      <c r="HR2" t="inlineStr">
        <is>
          <t>PX_LAST</t>
        </is>
      </c>
      <c r="HS2" t="inlineStr">
        <is>
          <t>PX_VOLUME</t>
        </is>
      </c>
      <c r="HU2" t="inlineStr">
        <is>
          <t>Date</t>
        </is>
      </c>
      <c r="HV2" t="inlineStr">
        <is>
          <t>PX_LAST</t>
        </is>
      </c>
      <c r="HW2" t="inlineStr">
        <is>
          <t>PX_VOLUME</t>
        </is>
      </c>
      <c r="HY2" t="inlineStr">
        <is>
          <t>Date</t>
        </is>
      </c>
      <c r="HZ2" t="inlineStr">
        <is>
          <t>PX_LAST</t>
        </is>
      </c>
      <c r="IA2" t="inlineStr">
        <is>
          <t>PX_VOLUME</t>
        </is>
      </c>
      <c r="IC2" t="inlineStr">
        <is>
          <t>Date</t>
        </is>
      </c>
      <c r="ID2" t="inlineStr">
        <is>
          <t>PX_LAST</t>
        </is>
      </c>
      <c r="IE2" t="inlineStr">
        <is>
          <t>PX_VOLUME</t>
        </is>
      </c>
      <c r="IG2" t="inlineStr">
        <is>
          <t>Date</t>
        </is>
      </c>
      <c r="IH2" t="inlineStr">
        <is>
          <t>PX_LAST</t>
        </is>
      </c>
      <c r="II2" t="inlineStr">
        <is>
          <t>PX_VOLUME</t>
        </is>
      </c>
      <c r="IK2" t="inlineStr">
        <is>
          <t>Date</t>
        </is>
      </c>
      <c r="IL2" t="inlineStr">
        <is>
          <t>PX_LAST</t>
        </is>
      </c>
      <c r="IM2" t="inlineStr">
        <is>
          <t>PX_VOLUME</t>
        </is>
      </c>
      <c r="IO2" t="inlineStr">
        <is>
          <t>Date</t>
        </is>
      </c>
      <c r="IP2" t="inlineStr">
        <is>
          <t>PX_LAST</t>
        </is>
      </c>
      <c r="IQ2" t="inlineStr">
        <is>
          <t>PX_VOLUME</t>
        </is>
      </c>
      <c r="IS2" t="inlineStr">
        <is>
          <t>Date</t>
        </is>
      </c>
      <c r="IT2" t="inlineStr">
        <is>
          <t>PX_LAST</t>
        </is>
      </c>
      <c r="IU2" t="inlineStr">
        <is>
          <t>PX_VOLUME</t>
        </is>
      </c>
      <c r="IW2" t="inlineStr">
        <is>
          <t>Date</t>
        </is>
      </c>
      <c r="IX2" t="inlineStr">
        <is>
          <t>PX_LAST</t>
        </is>
      </c>
      <c r="IY2" t="inlineStr">
        <is>
          <t>PX_VOLUME</t>
        </is>
      </c>
      <c r="JA2" t="inlineStr">
        <is>
          <t>Date</t>
        </is>
      </c>
      <c r="JB2" t="inlineStr">
        <is>
          <t>PX_LAST</t>
        </is>
      </c>
      <c r="JC2" t="inlineStr">
        <is>
          <t>PX_VOLUME</t>
        </is>
      </c>
      <c r="JE2" t="inlineStr">
        <is>
          <t>Date</t>
        </is>
      </c>
      <c r="JF2" t="inlineStr">
        <is>
          <t>PX_LAST</t>
        </is>
      </c>
      <c r="JG2" t="inlineStr">
        <is>
          <t>PX_VOLUME</t>
        </is>
      </c>
      <c r="JI2" t="inlineStr">
        <is>
          <t>Date</t>
        </is>
      </c>
      <c r="JJ2" t="inlineStr">
        <is>
          <t>PX_LAST</t>
        </is>
      </c>
      <c r="JK2" t="inlineStr">
        <is>
          <t>PX_VOLUME</t>
        </is>
      </c>
      <c r="JM2" t="inlineStr">
        <is>
          <t>Date</t>
        </is>
      </c>
      <c r="JN2" t="inlineStr">
        <is>
          <t>PX_LAST</t>
        </is>
      </c>
      <c r="JO2" t="inlineStr">
        <is>
          <t>PX_VOLUME</t>
        </is>
      </c>
      <c r="JQ2" t="inlineStr">
        <is>
          <t>Date</t>
        </is>
      </c>
      <c r="JR2" t="inlineStr">
        <is>
          <t>PX_LAST</t>
        </is>
      </c>
      <c r="JS2" t="inlineStr">
        <is>
          <t>PX_VOLUME</t>
        </is>
      </c>
      <c r="JU2" t="inlineStr">
        <is>
          <t>Date</t>
        </is>
      </c>
      <c r="JV2" t="inlineStr">
        <is>
          <t>PX_LAST</t>
        </is>
      </c>
      <c r="JW2" t="inlineStr">
        <is>
          <t>PX_VOLUME</t>
        </is>
      </c>
      <c r="JY2" t="inlineStr">
        <is>
          <t>Date</t>
        </is>
      </c>
      <c r="JZ2" t="inlineStr">
        <is>
          <t>PX_LAST</t>
        </is>
      </c>
      <c r="KA2" t="inlineStr">
        <is>
          <t>PX_VOLUME</t>
        </is>
      </c>
      <c r="KC2" t="inlineStr">
        <is>
          <t>Date</t>
        </is>
      </c>
      <c r="KD2" t="inlineStr">
        <is>
          <t>PX_LAST</t>
        </is>
      </c>
      <c r="KE2" t="inlineStr">
        <is>
          <t>PX_VOLUME</t>
        </is>
      </c>
      <c r="KG2" t="inlineStr">
        <is>
          <t>Date</t>
        </is>
      </c>
      <c r="KH2" t="inlineStr">
        <is>
          <t>PX_LAST</t>
        </is>
      </c>
      <c r="KI2" t="inlineStr">
        <is>
          <t>PX_VOLUME</t>
        </is>
      </c>
      <c r="KK2" t="inlineStr">
        <is>
          <t>Date</t>
        </is>
      </c>
      <c r="KL2" t="inlineStr">
        <is>
          <t>PX_LAST</t>
        </is>
      </c>
      <c r="KM2" t="inlineStr">
        <is>
          <t>PX_VOLUME</t>
        </is>
      </c>
      <c r="KO2" t="inlineStr">
        <is>
          <t>Date</t>
        </is>
      </c>
      <c r="KP2" t="inlineStr">
        <is>
          <t>PX_LAST</t>
        </is>
      </c>
      <c r="KQ2" t="inlineStr">
        <is>
          <t>PX_VOLUME</t>
        </is>
      </c>
      <c r="KS2" t="inlineStr">
        <is>
          <t>Date</t>
        </is>
      </c>
      <c r="KT2" t="inlineStr">
        <is>
          <t>PX_LAST</t>
        </is>
      </c>
      <c r="KU2" t="inlineStr">
        <is>
          <t>PX_VOLUME</t>
        </is>
      </c>
      <c r="KW2" t="inlineStr">
        <is>
          <t>Date</t>
        </is>
      </c>
      <c r="KX2" t="inlineStr">
        <is>
          <t>PX_LAST</t>
        </is>
      </c>
      <c r="KY2" t="inlineStr">
        <is>
          <t>PX_VOLUME</t>
        </is>
      </c>
      <c r="LA2" t="inlineStr">
        <is>
          <t>Date</t>
        </is>
      </c>
      <c r="LB2" t="inlineStr">
        <is>
          <t>PX_LAST</t>
        </is>
      </c>
      <c r="LC2" t="inlineStr">
        <is>
          <t>PX_VOLUME</t>
        </is>
      </c>
      <c r="LE2" t="inlineStr">
        <is>
          <t>Date</t>
        </is>
      </c>
      <c r="LF2" t="inlineStr">
        <is>
          <t>PX_LAST</t>
        </is>
      </c>
      <c r="LG2" t="inlineStr">
        <is>
          <t>PX_VOLUME</t>
        </is>
      </c>
      <c r="LI2" t="inlineStr">
        <is>
          <t>Date</t>
        </is>
      </c>
      <c r="LJ2" t="inlineStr">
        <is>
          <t>PX_LAST</t>
        </is>
      </c>
      <c r="LK2" t="inlineStr">
        <is>
          <t>PX_VOLUME</t>
        </is>
      </c>
      <c r="LM2" t="inlineStr">
        <is>
          <t>Date</t>
        </is>
      </c>
      <c r="LN2" t="inlineStr">
        <is>
          <t>PX_LAST</t>
        </is>
      </c>
      <c r="LO2" t="inlineStr">
        <is>
          <t>PX_VOLUME</t>
        </is>
      </c>
      <c r="LQ2" t="inlineStr">
        <is>
          <t>Date</t>
        </is>
      </c>
      <c r="LR2" t="inlineStr">
        <is>
          <t>PX_LAST</t>
        </is>
      </c>
      <c r="LS2" t="inlineStr">
        <is>
          <t>PX_VOLUME</t>
        </is>
      </c>
      <c r="LU2" t="inlineStr">
        <is>
          <t>Date</t>
        </is>
      </c>
      <c r="LV2" t="inlineStr">
        <is>
          <t>PX_LAST</t>
        </is>
      </c>
      <c r="LW2" t="inlineStr">
        <is>
          <t>PX_VOLUME</t>
        </is>
      </c>
      <c r="LY2" t="inlineStr">
        <is>
          <t>Date</t>
        </is>
      </c>
      <c r="LZ2" t="inlineStr">
        <is>
          <t>PX_LAST</t>
        </is>
      </c>
      <c r="MA2" t="inlineStr">
        <is>
          <t>PX_VOLUME</t>
        </is>
      </c>
      <c r="MC2" t="inlineStr">
        <is>
          <t>Date</t>
        </is>
      </c>
      <c r="MD2" t="inlineStr">
        <is>
          <t>PX_LAST</t>
        </is>
      </c>
      <c r="ME2" t="inlineStr">
        <is>
          <t>PX_VOLUME</t>
        </is>
      </c>
      <c r="MG2" t="inlineStr">
        <is>
          <t>Date</t>
        </is>
      </c>
      <c r="MH2" t="inlineStr">
        <is>
          <t>PX_LAST</t>
        </is>
      </c>
      <c r="MI2" t="inlineStr">
        <is>
          <t>PX_VOLUME</t>
        </is>
      </c>
      <c r="MK2" t="inlineStr">
        <is>
          <t>Date</t>
        </is>
      </c>
      <c r="ML2" t="inlineStr">
        <is>
          <t>PX_LAST</t>
        </is>
      </c>
      <c r="MM2" t="inlineStr">
        <is>
          <t>PX_VOLUME</t>
        </is>
      </c>
      <c r="MO2" t="inlineStr">
        <is>
          <t>Date</t>
        </is>
      </c>
      <c r="MP2" t="inlineStr">
        <is>
          <t>PX_LAST</t>
        </is>
      </c>
      <c r="MQ2" t="inlineStr">
        <is>
          <t>PX_VOLUME</t>
        </is>
      </c>
      <c r="MS2" t="inlineStr">
        <is>
          <t>Date</t>
        </is>
      </c>
      <c r="MT2" t="inlineStr">
        <is>
          <t>PX_LAST</t>
        </is>
      </c>
      <c r="MU2" t="inlineStr">
        <is>
          <t>PX_VOLUME</t>
        </is>
      </c>
      <c r="MW2" t="inlineStr">
        <is>
          <t>Date</t>
        </is>
      </c>
      <c r="MX2" t="inlineStr">
        <is>
          <t>PX_LAST</t>
        </is>
      </c>
      <c r="MY2" t="inlineStr">
        <is>
          <t>PX_VOLUME</t>
        </is>
      </c>
      <c r="NA2" t="inlineStr">
        <is>
          <t>Date</t>
        </is>
      </c>
      <c r="NB2" t="inlineStr">
        <is>
          <t>PX_LAST</t>
        </is>
      </c>
      <c r="NC2" t="inlineStr">
        <is>
          <t>PX_VOLUME</t>
        </is>
      </c>
      <c r="NE2" t="inlineStr">
        <is>
          <t>Date</t>
        </is>
      </c>
      <c r="NF2" t="inlineStr">
        <is>
          <t>PX_LAST</t>
        </is>
      </c>
      <c r="NG2" t="inlineStr">
        <is>
          <t>PX_VOLUME</t>
        </is>
      </c>
      <c r="NI2" t="inlineStr">
        <is>
          <t>Date</t>
        </is>
      </c>
      <c r="NJ2" t="inlineStr">
        <is>
          <t>PX_LAST</t>
        </is>
      </c>
      <c r="NK2" t="inlineStr">
        <is>
          <t>PX_VOLUME</t>
        </is>
      </c>
      <c r="NM2" t="inlineStr">
        <is>
          <t>Date</t>
        </is>
      </c>
      <c r="NN2" t="inlineStr">
        <is>
          <t>PX_LAST</t>
        </is>
      </c>
      <c r="NO2" t="inlineStr">
        <is>
          <t>PX_VOLUME</t>
        </is>
      </c>
      <c r="NQ2" t="inlineStr">
        <is>
          <t>Date</t>
        </is>
      </c>
      <c r="NR2" t="inlineStr">
        <is>
          <t>PX_LAST</t>
        </is>
      </c>
      <c r="NS2" t="inlineStr">
        <is>
          <t>PX_VOLUME</t>
        </is>
      </c>
      <c r="NU2" t="inlineStr">
        <is>
          <t>Date</t>
        </is>
      </c>
      <c r="NV2" t="inlineStr">
        <is>
          <t>PX_LAST</t>
        </is>
      </c>
      <c r="NW2" t="inlineStr">
        <is>
          <t>PX_VOLUME</t>
        </is>
      </c>
      <c r="NY2" t="inlineStr">
        <is>
          <t>Date</t>
        </is>
      </c>
      <c r="NZ2" t="inlineStr">
        <is>
          <t>PX_LAST</t>
        </is>
      </c>
      <c r="OA2" t="inlineStr">
        <is>
          <t>PX_VOLUME</t>
        </is>
      </c>
      <c r="OC2" t="inlineStr">
        <is>
          <t>Date</t>
        </is>
      </c>
      <c r="OD2" t="inlineStr">
        <is>
          <t>PX_LAST</t>
        </is>
      </c>
      <c r="OE2" t="inlineStr">
        <is>
          <t>PX_VOLUME</t>
        </is>
      </c>
      <c r="OG2" t="inlineStr">
        <is>
          <t>Date</t>
        </is>
      </c>
      <c r="OH2" t="inlineStr">
        <is>
          <t>PX_LAST</t>
        </is>
      </c>
      <c r="OI2" t="inlineStr">
        <is>
          <t>PX_VOLUME</t>
        </is>
      </c>
      <c r="OK2" t="inlineStr">
        <is>
          <t>Date</t>
        </is>
      </c>
      <c r="OL2" t="inlineStr">
        <is>
          <t>PX_LAST</t>
        </is>
      </c>
      <c r="OM2" t="inlineStr">
        <is>
          <t>PX_VOLUME</t>
        </is>
      </c>
      <c r="OO2" t="inlineStr">
        <is>
          <t>Date</t>
        </is>
      </c>
      <c r="OP2" t="inlineStr">
        <is>
          <t>PX_LAST</t>
        </is>
      </c>
      <c r="OQ2" t="inlineStr">
        <is>
          <t>PX_VOLUME</t>
        </is>
      </c>
      <c r="OS2" t="inlineStr">
        <is>
          <t>Date</t>
        </is>
      </c>
      <c r="OT2" t="inlineStr">
        <is>
          <t>PX_LAST</t>
        </is>
      </c>
      <c r="OU2" t="inlineStr">
        <is>
          <t>PX_VOLUME</t>
        </is>
      </c>
      <c r="OW2" t="inlineStr">
        <is>
          <t>Date</t>
        </is>
      </c>
      <c r="OX2" t="inlineStr">
        <is>
          <t>PX_LAST</t>
        </is>
      </c>
      <c r="OY2" t="inlineStr">
        <is>
          <t>PX_VOLUME</t>
        </is>
      </c>
      <c r="PA2" t="inlineStr">
        <is>
          <t>Date</t>
        </is>
      </c>
      <c r="PB2" t="inlineStr">
        <is>
          <t>PX_LAST</t>
        </is>
      </c>
      <c r="PC2" t="inlineStr">
        <is>
          <t>PX_VOLUME</t>
        </is>
      </c>
      <c r="PE2" t="inlineStr">
        <is>
          <t>Date</t>
        </is>
      </c>
      <c r="PF2" t="inlineStr">
        <is>
          <t>PX_LAST</t>
        </is>
      </c>
      <c r="PG2" t="inlineStr">
        <is>
          <t>PX_VOLUME</t>
        </is>
      </c>
      <c r="PI2" t="inlineStr">
        <is>
          <t>Date</t>
        </is>
      </c>
      <c r="PJ2" t="inlineStr">
        <is>
          <t>PX_LAST</t>
        </is>
      </c>
      <c r="PK2" t="inlineStr">
        <is>
          <t>PX_VOLUME</t>
        </is>
      </c>
      <c r="PM2" t="inlineStr">
        <is>
          <t>Date</t>
        </is>
      </c>
      <c r="PN2" t="inlineStr">
        <is>
          <t>PX_LAST</t>
        </is>
      </c>
      <c r="PO2" t="inlineStr">
        <is>
          <t>PX_VOLUME</t>
        </is>
      </c>
      <c r="PQ2" t="inlineStr">
        <is>
          <t>Date</t>
        </is>
      </c>
      <c r="PR2" t="inlineStr">
        <is>
          <t>PX_LAST</t>
        </is>
      </c>
      <c r="PS2" t="inlineStr">
        <is>
          <t>PX_VOLUME</t>
        </is>
      </c>
      <c r="PU2" t="inlineStr">
        <is>
          <t>Date</t>
        </is>
      </c>
      <c r="PV2" t="inlineStr">
        <is>
          <t>PX_LAST</t>
        </is>
      </c>
      <c r="PW2" t="inlineStr">
        <is>
          <t>PX_VOLUME</t>
        </is>
      </c>
      <c r="PY2" t="inlineStr">
        <is>
          <t>Date</t>
        </is>
      </c>
      <c r="PZ2" t="inlineStr">
        <is>
          <t>PX_LAST</t>
        </is>
      </c>
      <c r="QA2" t="inlineStr">
        <is>
          <t>PX_VOLUME</t>
        </is>
      </c>
      <c r="QC2" t="inlineStr">
        <is>
          <t>Date</t>
        </is>
      </c>
      <c r="QD2" t="inlineStr">
        <is>
          <t>PX_LAST</t>
        </is>
      </c>
      <c r="QE2" t="inlineStr">
        <is>
          <t>PX_VOLUME</t>
        </is>
      </c>
      <c r="QG2" t="inlineStr">
        <is>
          <t>Date</t>
        </is>
      </c>
      <c r="QH2" t="inlineStr">
        <is>
          <t>PX_LAST</t>
        </is>
      </c>
      <c r="QI2" t="inlineStr">
        <is>
          <t>PX_VOLUME</t>
        </is>
      </c>
      <c r="QK2" t="inlineStr">
        <is>
          <t>Date</t>
        </is>
      </c>
      <c r="QL2" t="inlineStr">
        <is>
          <t>PX_LAST</t>
        </is>
      </c>
      <c r="QM2" t="inlineStr">
        <is>
          <t>PX_VOLUME</t>
        </is>
      </c>
      <c r="QO2" t="inlineStr">
        <is>
          <t>Date</t>
        </is>
      </c>
      <c r="QP2" t="inlineStr">
        <is>
          <t>PX_LAST</t>
        </is>
      </c>
      <c r="QQ2" t="inlineStr">
        <is>
          <t>PX_VOLUME</t>
        </is>
      </c>
      <c r="QS2" t="inlineStr">
        <is>
          <t>Date</t>
        </is>
      </c>
      <c r="QT2" t="inlineStr">
        <is>
          <t>PX_LAST</t>
        </is>
      </c>
      <c r="QU2" t="inlineStr">
        <is>
          <t>PX_VOLUME</t>
        </is>
      </c>
      <c r="QW2" t="inlineStr">
        <is>
          <t>Date</t>
        </is>
      </c>
      <c r="QX2" t="inlineStr">
        <is>
          <t>PX_LAST</t>
        </is>
      </c>
      <c r="QY2" t="inlineStr">
        <is>
          <t>PX_VOLUME</t>
        </is>
      </c>
      <c r="RA2" t="inlineStr">
        <is>
          <t>Date</t>
        </is>
      </c>
      <c r="RB2" t="inlineStr">
        <is>
          <t>PX_LAST</t>
        </is>
      </c>
      <c r="RC2" t="inlineStr">
        <is>
          <t>PX_VOLUME</t>
        </is>
      </c>
      <c r="RE2" t="inlineStr">
        <is>
          <t>Date</t>
        </is>
      </c>
      <c r="RF2" t="inlineStr">
        <is>
          <t>PX_LAST</t>
        </is>
      </c>
      <c r="RG2" t="inlineStr">
        <is>
          <t>PX_VOLUME</t>
        </is>
      </c>
      <c r="RI2" t="inlineStr">
        <is>
          <t>Date</t>
        </is>
      </c>
      <c r="RJ2" t="inlineStr">
        <is>
          <t>PX_LAST</t>
        </is>
      </c>
      <c r="RK2" t="inlineStr">
        <is>
          <t>PX_VOLUME</t>
        </is>
      </c>
      <c r="RM2" t="inlineStr">
        <is>
          <t>Date</t>
        </is>
      </c>
      <c r="RN2" t="inlineStr">
        <is>
          <t>PX_LAST</t>
        </is>
      </c>
      <c r="RO2" t="inlineStr">
        <is>
          <t>PX_VOLUME</t>
        </is>
      </c>
      <c r="RQ2" t="inlineStr">
        <is>
          <t>Date</t>
        </is>
      </c>
      <c r="RR2" t="inlineStr">
        <is>
          <t>PX_LAST</t>
        </is>
      </c>
      <c r="RS2" t="inlineStr">
        <is>
          <t>PX_VOLUME</t>
        </is>
      </c>
      <c r="RU2" t="inlineStr">
        <is>
          <t>Date</t>
        </is>
      </c>
      <c r="RV2" t="inlineStr">
        <is>
          <t>PX_LAST</t>
        </is>
      </c>
      <c r="RW2" t="inlineStr">
        <is>
          <t>PX_VOLUME</t>
        </is>
      </c>
      <c r="RY2" t="inlineStr">
        <is>
          <t>Date</t>
        </is>
      </c>
      <c r="RZ2" t="inlineStr">
        <is>
          <t>PX_LAST</t>
        </is>
      </c>
      <c r="SA2" t="inlineStr">
        <is>
          <t>PX_VOLUME</t>
        </is>
      </c>
      <c r="SC2" t="inlineStr">
        <is>
          <t>Date</t>
        </is>
      </c>
      <c r="SD2" t="inlineStr">
        <is>
          <t>PX_LAST</t>
        </is>
      </c>
      <c r="SE2" t="inlineStr">
        <is>
          <t>PX_VOLUME</t>
        </is>
      </c>
      <c r="SG2" t="inlineStr">
        <is>
          <t>Date</t>
        </is>
      </c>
      <c r="SH2" t="inlineStr">
        <is>
          <t>PX_LAST</t>
        </is>
      </c>
      <c r="SI2" t="inlineStr">
        <is>
          <t>PX_VOLUME</t>
        </is>
      </c>
      <c r="SK2" t="inlineStr">
        <is>
          <t>Date</t>
        </is>
      </c>
      <c r="SL2" t="inlineStr">
        <is>
          <t>PX_LAST</t>
        </is>
      </c>
      <c r="SM2" t="inlineStr">
        <is>
          <t>PX_VOLUME</t>
        </is>
      </c>
      <c r="SO2" t="inlineStr">
        <is>
          <t>Date</t>
        </is>
      </c>
      <c r="SP2" t="inlineStr">
        <is>
          <t>PX_LAST</t>
        </is>
      </c>
      <c r="SQ2" t="inlineStr">
        <is>
          <t>PX_VOLUME</t>
        </is>
      </c>
      <c r="SS2" t="inlineStr">
        <is>
          <t>Date</t>
        </is>
      </c>
      <c r="ST2" t="inlineStr">
        <is>
          <t>PX_LAST</t>
        </is>
      </c>
      <c r="SU2" t="inlineStr">
        <is>
          <t>PX_VOLUME</t>
        </is>
      </c>
      <c r="SW2" t="inlineStr">
        <is>
          <t>Date</t>
        </is>
      </c>
      <c r="SX2" t="inlineStr">
        <is>
          <t>PX_LAST</t>
        </is>
      </c>
      <c r="SY2" t="inlineStr">
        <is>
          <t>PX_VOLUME</t>
        </is>
      </c>
      <c r="TA2" t="inlineStr">
        <is>
          <t>Date</t>
        </is>
      </c>
      <c r="TB2" t="inlineStr">
        <is>
          <t>PX_LAST</t>
        </is>
      </c>
      <c r="TC2" t="inlineStr">
        <is>
          <t>PX_VOLUME</t>
        </is>
      </c>
      <c r="TE2" t="inlineStr">
        <is>
          <t>Date</t>
        </is>
      </c>
      <c r="TF2" t="inlineStr">
        <is>
          <t>PX_LAST</t>
        </is>
      </c>
      <c r="TG2" t="inlineStr">
        <is>
          <t>PX_VOLUME</t>
        </is>
      </c>
      <c r="TI2" t="inlineStr">
        <is>
          <t>Date</t>
        </is>
      </c>
      <c r="TJ2" t="inlineStr">
        <is>
          <t>PX_LAST</t>
        </is>
      </c>
      <c r="TK2" t="inlineStr">
        <is>
          <t>PX_VOLUME</t>
        </is>
      </c>
      <c r="TM2" t="inlineStr">
        <is>
          <t>Date</t>
        </is>
      </c>
      <c r="TN2" t="inlineStr">
        <is>
          <t>PX_LAST</t>
        </is>
      </c>
      <c r="TO2" t="inlineStr">
        <is>
          <t>PX_VOLUME</t>
        </is>
      </c>
      <c r="TQ2" t="inlineStr">
        <is>
          <t>Date</t>
        </is>
      </c>
      <c r="TR2" t="inlineStr">
        <is>
          <t>PX_LAST</t>
        </is>
      </c>
      <c r="TS2" t="inlineStr">
        <is>
          <t>PX_VOLUME</t>
        </is>
      </c>
      <c r="TU2" t="inlineStr">
        <is>
          <t>Date</t>
        </is>
      </c>
      <c r="TV2" t="inlineStr">
        <is>
          <t>PX_LAST</t>
        </is>
      </c>
      <c r="TW2" t="inlineStr">
        <is>
          <t>PX_VOLUME</t>
        </is>
      </c>
      <c r="TY2" t="inlineStr">
        <is>
          <t>Date</t>
        </is>
      </c>
      <c r="TZ2" t="inlineStr">
        <is>
          <t>PX_LAST</t>
        </is>
      </c>
      <c r="UA2" t="inlineStr">
        <is>
          <t>PX_VOLUME</t>
        </is>
      </c>
      <c r="UC2" t="inlineStr">
        <is>
          <t>Date</t>
        </is>
      </c>
      <c r="UD2" t="inlineStr">
        <is>
          <t>PX_LAST</t>
        </is>
      </c>
      <c r="UE2" t="inlineStr">
        <is>
          <t>PX_VOLUME</t>
        </is>
      </c>
      <c r="UG2" t="inlineStr">
        <is>
          <t>Date</t>
        </is>
      </c>
      <c r="UH2" t="inlineStr">
        <is>
          <t>PX_LAST</t>
        </is>
      </c>
      <c r="UI2" t="inlineStr">
        <is>
          <t>PX_VOLUME</t>
        </is>
      </c>
      <c r="UK2" t="inlineStr">
        <is>
          <t>Date</t>
        </is>
      </c>
      <c r="UL2" t="inlineStr">
        <is>
          <t>PX_LAST</t>
        </is>
      </c>
      <c r="UM2" t="inlineStr">
        <is>
          <t>PX_VOLUME</t>
        </is>
      </c>
      <c r="UO2" t="inlineStr">
        <is>
          <t>Date</t>
        </is>
      </c>
      <c r="UP2" t="inlineStr">
        <is>
          <t>PX_LAST</t>
        </is>
      </c>
      <c r="UQ2" t="inlineStr">
        <is>
          <t>PX_VOLUME</t>
        </is>
      </c>
      <c r="US2" t="inlineStr">
        <is>
          <t>Date</t>
        </is>
      </c>
      <c r="UT2" t="inlineStr">
        <is>
          <t>PX_LAST</t>
        </is>
      </c>
      <c r="UU2" t="inlineStr">
        <is>
          <t>PX_VOLUME</t>
        </is>
      </c>
      <c r="UW2" t="inlineStr">
        <is>
          <t>Date</t>
        </is>
      </c>
      <c r="UX2" t="inlineStr">
        <is>
          <t>PX_LAST</t>
        </is>
      </c>
      <c r="UY2" t="inlineStr">
        <is>
          <t>PX_VOLUME</t>
        </is>
      </c>
      <c r="VA2" t="inlineStr">
        <is>
          <t>Date</t>
        </is>
      </c>
      <c r="VB2" t="inlineStr">
        <is>
          <t>PX_LAST</t>
        </is>
      </c>
      <c r="VC2" t="inlineStr">
        <is>
          <t>PX_VOLUME</t>
        </is>
      </c>
      <c r="VE2" t="inlineStr">
        <is>
          <t>Date</t>
        </is>
      </c>
      <c r="VF2" t="inlineStr">
        <is>
          <t>PX_LAST</t>
        </is>
      </c>
      <c r="VG2" t="inlineStr">
        <is>
          <t>PX_VOLUME</t>
        </is>
      </c>
      <c r="VI2" t="inlineStr">
        <is>
          <t>Date</t>
        </is>
      </c>
      <c r="VJ2" t="inlineStr">
        <is>
          <t>PX_LAST</t>
        </is>
      </c>
      <c r="VK2" t="inlineStr">
        <is>
          <t>PX_VOLUME</t>
        </is>
      </c>
      <c r="VM2" t="inlineStr">
        <is>
          <t>Date</t>
        </is>
      </c>
      <c r="VN2" t="inlineStr">
        <is>
          <t>PX_LAST</t>
        </is>
      </c>
      <c r="VO2" t="inlineStr">
        <is>
          <t>PX_VOLUME</t>
        </is>
      </c>
      <c r="VQ2" t="inlineStr">
        <is>
          <t>Date</t>
        </is>
      </c>
      <c r="VR2" t="inlineStr">
        <is>
          <t>PX_LAST</t>
        </is>
      </c>
      <c r="VS2" t="inlineStr">
        <is>
          <t>PX_VOLUME</t>
        </is>
      </c>
      <c r="VU2" t="inlineStr">
        <is>
          <t>Date</t>
        </is>
      </c>
      <c r="VV2" t="inlineStr">
        <is>
          <t>PX_LAST</t>
        </is>
      </c>
      <c r="VW2" t="inlineStr">
        <is>
          <t>PX_VOLUME</t>
        </is>
      </c>
      <c r="VY2" t="inlineStr">
        <is>
          <t>Date</t>
        </is>
      </c>
      <c r="VZ2" t="inlineStr">
        <is>
          <t>PX_LAST</t>
        </is>
      </c>
      <c r="WA2" t="inlineStr">
        <is>
          <t>PX_VOLUME</t>
        </is>
      </c>
      <c r="WC2" t="inlineStr">
        <is>
          <t>Date</t>
        </is>
      </c>
      <c r="WD2" t="inlineStr">
        <is>
          <t>PX_LAST</t>
        </is>
      </c>
      <c r="WE2" t="inlineStr">
        <is>
          <t>PX_VOLUME</t>
        </is>
      </c>
      <c r="WG2" t="inlineStr">
        <is>
          <t>Date</t>
        </is>
      </c>
      <c r="WH2" t="inlineStr">
        <is>
          <t>PX_LAST</t>
        </is>
      </c>
      <c r="WI2" t="inlineStr">
        <is>
          <t>PX_VOLUME</t>
        </is>
      </c>
      <c r="WK2" t="inlineStr">
        <is>
          <t>Date</t>
        </is>
      </c>
      <c r="WL2" t="inlineStr">
        <is>
          <t>PX_LAST</t>
        </is>
      </c>
      <c r="WM2" t="inlineStr">
        <is>
          <t>PX_VOLUME</t>
        </is>
      </c>
      <c r="WO2" t="inlineStr">
        <is>
          <t>Date</t>
        </is>
      </c>
      <c r="WP2" t="inlineStr">
        <is>
          <t>PX_LAST</t>
        </is>
      </c>
      <c r="WQ2" t="inlineStr">
        <is>
          <t>PX_VOLUME</t>
        </is>
      </c>
      <c r="WS2" t="inlineStr">
        <is>
          <t>Date</t>
        </is>
      </c>
      <c r="WT2" t="inlineStr">
        <is>
          <t>PX_LAST</t>
        </is>
      </c>
      <c r="WU2" t="inlineStr">
        <is>
          <t>PX_VOLUME</t>
        </is>
      </c>
      <c r="WW2" t="inlineStr">
        <is>
          <t>Date</t>
        </is>
      </c>
      <c r="WX2" t="inlineStr">
        <is>
          <t>PX_LAST</t>
        </is>
      </c>
      <c r="WY2" t="inlineStr">
        <is>
          <t>PX_VOLUME</t>
        </is>
      </c>
      <c r="XA2" t="inlineStr">
        <is>
          <t>Date</t>
        </is>
      </c>
      <c r="XB2" t="inlineStr">
        <is>
          <t>PX_LAST</t>
        </is>
      </c>
      <c r="XC2" t="inlineStr">
        <is>
          <t>PX_VOLUME</t>
        </is>
      </c>
      <c r="XE2" t="inlineStr">
        <is>
          <t>Date</t>
        </is>
      </c>
      <c r="XF2" t="inlineStr">
        <is>
          <t>PX_LAST</t>
        </is>
      </c>
      <c r="XG2" t="inlineStr">
        <is>
          <t>PX_VOLUME</t>
        </is>
      </c>
      <c r="XI2" t="inlineStr">
        <is>
          <t>Date</t>
        </is>
      </c>
      <c r="XJ2" t="inlineStr">
        <is>
          <t>PX_LAST</t>
        </is>
      </c>
      <c r="XK2" t="inlineStr">
        <is>
          <t>PX_VOLUME</t>
        </is>
      </c>
      <c r="XM2" t="inlineStr">
        <is>
          <t>Date</t>
        </is>
      </c>
      <c r="XN2" t="inlineStr">
        <is>
          <t>PX_LAST</t>
        </is>
      </c>
      <c r="XO2" t="inlineStr">
        <is>
          <t>PX_VOLUME</t>
        </is>
      </c>
      <c r="XQ2" t="inlineStr">
        <is>
          <t>Date</t>
        </is>
      </c>
      <c r="XR2" t="inlineStr">
        <is>
          <t>PX_LAST</t>
        </is>
      </c>
      <c r="XS2" t="inlineStr">
        <is>
          <t>PX_VOLUME</t>
        </is>
      </c>
      <c r="XU2" t="inlineStr">
        <is>
          <t>Date</t>
        </is>
      </c>
      <c r="XV2" t="inlineStr">
        <is>
          <t>PX_LAST</t>
        </is>
      </c>
      <c r="XW2" t="inlineStr">
        <is>
          <t>PX_VOLUME</t>
        </is>
      </c>
      <c r="XY2" t="inlineStr">
        <is>
          <t>Date</t>
        </is>
      </c>
      <c r="XZ2" t="inlineStr">
        <is>
          <t>PX_LAST</t>
        </is>
      </c>
      <c r="YA2" t="inlineStr">
        <is>
          <t>PX_VOLUME</t>
        </is>
      </c>
      <c r="YC2" t="inlineStr">
        <is>
          <t>Date</t>
        </is>
      </c>
      <c r="YD2" t="inlineStr">
        <is>
          <t>PX_LAST</t>
        </is>
      </c>
      <c r="YE2" t="inlineStr">
        <is>
          <t>PX_VOLUME</t>
        </is>
      </c>
      <c r="YG2" t="inlineStr">
        <is>
          <t>Date</t>
        </is>
      </c>
      <c r="YH2" t="inlineStr">
        <is>
          <t>PX_LAST</t>
        </is>
      </c>
      <c r="YI2" t="inlineStr">
        <is>
          <t>PX_VOLUME</t>
        </is>
      </c>
      <c r="YK2" t="inlineStr">
        <is>
          <t>Date</t>
        </is>
      </c>
      <c r="YL2" t="inlineStr">
        <is>
          <t>PX_LAST</t>
        </is>
      </c>
      <c r="YM2" t="inlineStr">
        <is>
          <t>PX_VOLUME</t>
        </is>
      </c>
      <c r="YO2" t="inlineStr">
        <is>
          <t>Date</t>
        </is>
      </c>
      <c r="YP2" t="inlineStr">
        <is>
          <t>PX_LAST</t>
        </is>
      </c>
      <c r="YQ2" t="inlineStr">
        <is>
          <t>PX_VOLUME</t>
        </is>
      </c>
      <c r="YS2" t="inlineStr">
        <is>
          <t>Date</t>
        </is>
      </c>
      <c r="YT2" t="inlineStr">
        <is>
          <t>PX_LAST</t>
        </is>
      </c>
      <c r="YU2" t="inlineStr">
        <is>
          <t>PX_VOLUME</t>
        </is>
      </c>
      <c r="YW2" t="inlineStr">
        <is>
          <t>Date</t>
        </is>
      </c>
      <c r="YX2" t="inlineStr">
        <is>
          <t>PX_LAST</t>
        </is>
      </c>
      <c r="YY2" t="inlineStr">
        <is>
          <t>PX_VOLUME</t>
        </is>
      </c>
      <c r="ZA2" t="inlineStr">
        <is>
          <t>Date</t>
        </is>
      </c>
      <c r="ZB2" t="inlineStr">
        <is>
          <t>PX_LAST</t>
        </is>
      </c>
      <c r="ZC2" t="inlineStr">
        <is>
          <t>PX_VOLUME</t>
        </is>
      </c>
      <c r="ZE2" t="inlineStr">
        <is>
          <t>Date</t>
        </is>
      </c>
      <c r="ZF2" t="inlineStr">
        <is>
          <t>PX_LAST</t>
        </is>
      </c>
      <c r="ZG2" t="inlineStr">
        <is>
          <t>PX_VOLUME</t>
        </is>
      </c>
      <c r="ZI2" t="inlineStr">
        <is>
          <t>Date</t>
        </is>
      </c>
      <c r="ZJ2" t="inlineStr">
        <is>
          <t>PX_LAST</t>
        </is>
      </c>
      <c r="ZK2" t="inlineStr">
        <is>
          <t>PX_VOLUME</t>
        </is>
      </c>
      <c r="ZM2" t="inlineStr">
        <is>
          <t>Date</t>
        </is>
      </c>
      <c r="ZN2" t="inlineStr">
        <is>
          <t>PX_LAST</t>
        </is>
      </c>
      <c r="ZO2" t="inlineStr">
        <is>
          <t>PX_VOLUME</t>
        </is>
      </c>
      <c r="ZQ2" t="inlineStr">
        <is>
          <t>Date</t>
        </is>
      </c>
      <c r="ZR2" t="inlineStr">
        <is>
          <t>PX_LAST</t>
        </is>
      </c>
      <c r="ZS2" t="inlineStr">
        <is>
          <t>PX_VOLUME</t>
        </is>
      </c>
      <c r="ZU2" t="inlineStr">
        <is>
          <t>Date</t>
        </is>
      </c>
      <c r="ZV2" t="inlineStr">
        <is>
          <t>PX_LAST</t>
        </is>
      </c>
      <c r="ZW2" t="inlineStr">
        <is>
          <t>PX_VOLUME</t>
        </is>
      </c>
      <c r="ZY2" t="inlineStr">
        <is>
          <t>Date</t>
        </is>
      </c>
      <c r="ZZ2" t="inlineStr">
        <is>
          <t>PX_LAST</t>
        </is>
      </c>
      <c r="AAA2" t="inlineStr">
        <is>
          <t>PX_VOLUME</t>
        </is>
      </c>
      <c r="AAC2" t="inlineStr">
        <is>
          <t>Date</t>
        </is>
      </c>
      <c r="AAD2" t="inlineStr">
        <is>
          <t>PX_LAST</t>
        </is>
      </c>
      <c r="AAE2" t="inlineStr">
        <is>
          <t>PX_VOLUME</t>
        </is>
      </c>
      <c r="AAG2" t="inlineStr">
        <is>
          <t>Date</t>
        </is>
      </c>
      <c r="AAH2" t="inlineStr">
        <is>
          <t>PX_LAST</t>
        </is>
      </c>
      <c r="AAI2" t="inlineStr">
        <is>
          <t>PX_VOLUME</t>
        </is>
      </c>
      <c r="AAK2" t="inlineStr">
        <is>
          <t>Date</t>
        </is>
      </c>
      <c r="AAL2" t="inlineStr">
        <is>
          <t>PX_LAST</t>
        </is>
      </c>
      <c r="AAM2" t="inlineStr">
        <is>
          <t>PX_VOLUME</t>
        </is>
      </c>
      <c r="AAO2" t="inlineStr">
        <is>
          <t>Date</t>
        </is>
      </c>
      <c r="AAP2" t="inlineStr">
        <is>
          <t>PX_LAST</t>
        </is>
      </c>
      <c r="AAQ2" t="inlineStr">
        <is>
          <t>PX_VOLUME</t>
        </is>
      </c>
      <c r="AAS2" t="inlineStr">
        <is>
          <t>Date</t>
        </is>
      </c>
      <c r="AAT2" t="inlineStr">
        <is>
          <t>PX_LAST</t>
        </is>
      </c>
      <c r="AAU2" t="inlineStr">
        <is>
          <t>PX_VOLUME</t>
        </is>
      </c>
      <c r="AAW2" t="inlineStr">
        <is>
          <t>Date</t>
        </is>
      </c>
      <c r="AAX2" t="inlineStr">
        <is>
          <t>PX_LAST</t>
        </is>
      </c>
      <c r="AAY2" t="inlineStr">
        <is>
          <t>PX_VOLUME</t>
        </is>
      </c>
      <c r="ABA2" t="inlineStr">
        <is>
          <t>Date</t>
        </is>
      </c>
      <c r="ABB2" t="inlineStr">
        <is>
          <t>PX_LAST</t>
        </is>
      </c>
      <c r="ABC2" t="inlineStr">
        <is>
          <t>PX_VOLUME</t>
        </is>
      </c>
      <c r="ABE2" t="inlineStr">
        <is>
          <t>Date</t>
        </is>
      </c>
      <c r="ABF2" t="inlineStr">
        <is>
          <t>PX_LAST</t>
        </is>
      </c>
      <c r="ABG2" t="inlineStr">
        <is>
          <t>PX_VOLUME</t>
        </is>
      </c>
      <c r="ABI2" t="inlineStr">
        <is>
          <t>Date</t>
        </is>
      </c>
      <c r="ABJ2" t="inlineStr">
        <is>
          <t>PX_LAST</t>
        </is>
      </c>
      <c r="ABK2" t="inlineStr">
        <is>
          <t>PX_VOLUME</t>
        </is>
      </c>
      <c r="ABM2" t="inlineStr">
        <is>
          <t>Date</t>
        </is>
      </c>
      <c r="ABN2" t="inlineStr">
        <is>
          <t>PX_LAST</t>
        </is>
      </c>
      <c r="ABO2" t="inlineStr">
        <is>
          <t>PX_VOLUME</t>
        </is>
      </c>
      <c r="ABQ2" t="inlineStr">
        <is>
          <t>Date</t>
        </is>
      </c>
      <c r="ABR2" t="inlineStr">
        <is>
          <t>PX_LAST</t>
        </is>
      </c>
      <c r="ABS2" t="inlineStr">
        <is>
          <t>PX_VOLUME</t>
        </is>
      </c>
      <c r="ABU2" t="inlineStr">
        <is>
          <t>Date</t>
        </is>
      </c>
      <c r="ABV2" t="inlineStr">
        <is>
          <t>PX_LAST</t>
        </is>
      </c>
      <c r="ABW2" t="inlineStr">
        <is>
          <t>PX_VOLUME</t>
        </is>
      </c>
      <c r="ABY2" t="inlineStr">
        <is>
          <t>Date</t>
        </is>
      </c>
      <c r="ABZ2" t="inlineStr">
        <is>
          <t>PX_LAST</t>
        </is>
      </c>
      <c r="ACA2" t="inlineStr">
        <is>
          <t>PX_VOLUME</t>
        </is>
      </c>
      <c r="ACC2" t="inlineStr">
        <is>
          <t>Date</t>
        </is>
      </c>
      <c r="ACD2" t="inlineStr">
        <is>
          <t>PX_LAST</t>
        </is>
      </c>
      <c r="ACE2" t="inlineStr">
        <is>
          <t>PX_VOLUME</t>
        </is>
      </c>
      <c r="ACG2" t="inlineStr">
        <is>
          <t>Date</t>
        </is>
      </c>
      <c r="ACH2" t="inlineStr">
        <is>
          <t>PX_LAST</t>
        </is>
      </c>
      <c r="ACI2" t="inlineStr">
        <is>
          <t>PX_VOLUME</t>
        </is>
      </c>
      <c r="ACK2" t="inlineStr">
        <is>
          <t>Date</t>
        </is>
      </c>
      <c r="ACL2" t="inlineStr">
        <is>
          <t>PX_LAST</t>
        </is>
      </c>
      <c r="ACM2" t="inlineStr">
        <is>
          <t>PX_VOLUME</t>
        </is>
      </c>
      <c r="ACO2" t="inlineStr">
        <is>
          <t>Date</t>
        </is>
      </c>
      <c r="ACP2" t="inlineStr">
        <is>
          <t>PX_LAST</t>
        </is>
      </c>
      <c r="ACQ2" t="inlineStr">
        <is>
          <t>PX_VOLUME</t>
        </is>
      </c>
      <c r="ACS2" t="inlineStr">
        <is>
          <t>Date</t>
        </is>
      </c>
      <c r="ACT2" t="inlineStr">
        <is>
          <t>PX_LAST</t>
        </is>
      </c>
      <c r="ACU2" t="inlineStr">
        <is>
          <t>PX_VOLUME</t>
        </is>
      </c>
      <c r="ACW2" t="inlineStr">
        <is>
          <t>Date</t>
        </is>
      </c>
      <c r="ACX2" t="inlineStr">
        <is>
          <t>PX_LAST</t>
        </is>
      </c>
      <c r="ACY2" t="inlineStr">
        <is>
          <t>PX_VOLUME</t>
        </is>
      </c>
      <c r="ADA2" t="inlineStr">
        <is>
          <t>Date</t>
        </is>
      </c>
      <c r="ADB2" t="inlineStr">
        <is>
          <t>PX_LAST</t>
        </is>
      </c>
      <c r="ADC2" t="inlineStr">
        <is>
          <t>PX_VOLUME</t>
        </is>
      </c>
      <c r="ADE2" t="inlineStr">
        <is>
          <t>Date</t>
        </is>
      </c>
      <c r="ADF2" t="inlineStr">
        <is>
          <t>PX_LAST</t>
        </is>
      </c>
      <c r="ADG2" t="inlineStr">
        <is>
          <t>PX_VOLUME</t>
        </is>
      </c>
    </row>
    <row r="3">
      <c r="A3">
        <f>BDH("BBG0216B0WD9 Equity","PX_LAST,PX_VOLUME","1/1/2020","6/10/2026")</f>
        <v/>
      </c>
      <c r="E3">
        <f>BDH("BBG01QPLK3J8 Equity","PX_LAST,PX_VOLUME","1/1/2020","6/10/2026")</f>
        <v/>
      </c>
      <c r="I3">
        <f>BDH("BBG0217WCKF3 Equity","PX_LAST,PX_VOLUME","1/1/2020","6/10/2026")</f>
        <v/>
      </c>
      <c r="M3">
        <f>BDH("BBG01QPLK2X4 Equity","PX_LAST,PX_VOLUME","1/1/2020","6/10/2026")</f>
        <v/>
      </c>
      <c r="Q3">
        <f>BDH("BBG0217WCL16 Equity","PX_LAST,PX_VOLUME","1/1/2020","6/10/2026")</f>
        <v/>
      </c>
      <c r="U3">
        <f>BDH("BBG01QR8K350 Equity","PX_LAST,PX_VOLUME","1/1/2020","6/10/2026")</f>
        <v/>
      </c>
      <c r="Y3">
        <f>BDH("BBG01W2NBZD1 Equity","PX_LAST,PX_VOLUME","1/1/2020","6/10/2026")</f>
        <v/>
      </c>
      <c r="AC3">
        <f>BDH("BBG01W2NBDW9 Equity","PX_LAST,PX_VOLUME","1/1/2020","6/10/2026")</f>
        <v/>
      </c>
      <c r="AG3">
        <f>BDH("BBG01W2NC0M7 Equity","PX_LAST,PX_VOLUME","1/1/2020","6/10/2026")</f>
        <v/>
      </c>
      <c r="AK3">
        <f>BDH("BBG01W2NC172 Equity","PX_LAST,PX_VOLUME","1/1/2020","6/10/2026")</f>
        <v/>
      </c>
      <c r="AO3">
        <f>BDH("BBG01W2NC1W4 Equity","PX_LAST,PX_VOLUME","1/1/2020","6/10/2026")</f>
        <v/>
      </c>
      <c r="AS3">
        <f>BDH("BBG01W2NC2H9 Equity","PX_LAST,PX_VOLUME","1/1/2020","6/10/2026")</f>
        <v/>
      </c>
      <c r="AW3">
        <f>BDH("BBG01W2N9XT2 Equity","PX_LAST,PX_VOLUME","1/1/2020","6/10/2026")</f>
        <v/>
      </c>
      <c r="BA3">
        <f>BDH("BBG01W2NBMG7 Equity","PX_LAST,PX_VOLUME","1/1/2020","6/10/2026")</f>
        <v/>
      </c>
      <c r="BE3">
        <f>BDH("BBG01W2N9C90 Equity","PX_LAST,PX_VOLUME","1/1/2020","6/10/2026")</f>
        <v/>
      </c>
      <c r="BI3">
        <f>BDH("BBG01W2N9TG5 Equity","PX_LAST,PX_VOLUME","1/1/2020","6/10/2026")</f>
        <v/>
      </c>
      <c r="BM3">
        <f>BDH("BBG01W2N9B29 Equity","PX_LAST,PX_VOLUME","1/1/2020","6/10/2026")</f>
        <v/>
      </c>
      <c r="BQ3">
        <f>BDH("BBG01W2N9R15 Equity","PX_LAST,PX_VOLUME","1/1/2020","6/10/2026")</f>
        <v/>
      </c>
      <c r="BU3">
        <f>BDH("BBG01W2N9BP4 Equity","PX_LAST,PX_VOLUME","1/1/2020","6/10/2026")</f>
        <v/>
      </c>
      <c r="BY3">
        <f>BDH("BBG01W2N9CX3 Equity","PX_LAST,PX_VOLUME","1/1/2020","6/10/2026")</f>
        <v/>
      </c>
      <c r="CC3">
        <f>BDH("BBG01W2N9YF5 Equity","PX_LAST,PX_VOLUME","1/1/2020","6/10/2026")</f>
        <v/>
      </c>
      <c r="CG3">
        <f>BDH("BBG01W2NBKM4 Equity","PX_LAST,PX_VOLUME","1/1/2020","6/10/2026")</f>
        <v/>
      </c>
      <c r="CK3">
        <f>BDH("BBG01W2N9ZN3 Equity","PX_LAST,PX_VOLUME","1/1/2020","6/10/2026")</f>
        <v/>
      </c>
      <c r="CO3">
        <f>BDH("BBG01W2NBCN1 Equity","PX_LAST,PX_VOLUME","1/1/2020","6/10/2026")</f>
        <v/>
      </c>
      <c r="CS3">
        <f>BDH("BBG01W2NBD86 Equity","PX_LAST,PX_VOLUME","1/1/2020","6/10/2026")</f>
        <v/>
      </c>
      <c r="CW3">
        <f>BDH("BBG01W2NC001 Equity","PX_LAST,PX_VOLUME","1/1/2020","6/10/2026")</f>
        <v/>
      </c>
      <c r="DA3">
        <f>BDH("BBG01W2NBV40 Equity","PX_LAST,PX_VOLUME","1/1/2020","6/10/2026")</f>
        <v/>
      </c>
      <c r="DE3">
        <f>BDH("BBG01W2N9H44 Equity","PX_LAST,PX_VOLUME","1/1/2020","6/10/2026")</f>
        <v/>
      </c>
      <c r="DI3">
        <f>BDH("BBG01W2NBTJ9 Equity","PX_LAST,PX_VOLUME","1/1/2020","6/10/2026")</f>
        <v/>
      </c>
      <c r="DM3">
        <f>BDH("BBG01WM3R5R7 Equity","PX_LAST,PX_VOLUME","1/1/2020","6/10/2026")</f>
        <v/>
      </c>
      <c r="DQ3">
        <f>BDH("BBG01WM3L6R1 Equity","PX_LAST,PX_VOLUME","1/1/2020","6/10/2026")</f>
        <v/>
      </c>
      <c r="DU3">
        <f>BDH("BBG01WM3L7Z0 Equity","PX_LAST,PX_VOLUME","1/1/2020","6/10/2026")</f>
        <v/>
      </c>
      <c r="DY3">
        <f>BDH("BBG01WM3NFV4 Equity","PX_LAST,PX_VOLUME","1/1/2020","6/10/2026")</f>
        <v/>
      </c>
      <c r="EC3">
        <f>BDH("BBG01WM3QYX8 Equity","PX_LAST,PX_VOLUME","1/1/2020","6/10/2026")</f>
        <v/>
      </c>
      <c r="EG3">
        <f>BDH("BBG01WM3NF71 Equity","PX_LAST,PX_VOLUME","1/1/2020","6/10/2026")</f>
        <v/>
      </c>
      <c r="EK3">
        <f>BDH("BBG01WM3QSN2 Equity","PX_LAST,PX_VOLUME","1/1/2020","6/10/2026")</f>
        <v/>
      </c>
      <c r="EO3">
        <f>BDH("BBG01WM3QS16 Equity","PX_LAST,PX_VOLUME","1/1/2020","6/10/2026")</f>
        <v/>
      </c>
      <c r="ES3">
        <f>BDH("BBG01WM3QT87 Equity","PX_LAST,PX_VOLUME","1/1/2020","6/10/2026")</f>
        <v/>
      </c>
      <c r="EW3">
        <f>BDH("BBG01WM3NBD3 Equity","PX_LAST,PX_VOLUME","1/1/2020","6/10/2026")</f>
        <v/>
      </c>
      <c r="FA3">
        <f>BDH("BBG01WM3QZJ1 Equity","PX_LAST,PX_VOLUME","1/1/2020","6/10/2026")</f>
        <v/>
      </c>
      <c r="FE3">
        <f>BDH("BBG01WM3R1P8 Equity","PX_LAST,PX_VOLUME","1/1/2020","6/10/2026")</f>
        <v/>
      </c>
      <c r="FI3">
        <f>BDH("BBG01WM3QW44 Equity","PX_LAST,PX_VOLUME","1/1/2020","6/10/2026")</f>
        <v/>
      </c>
      <c r="FM3">
        <f>BDH("BBG01WM3R294 Equity","PX_LAST,PX_VOLUME","1/1/2020","6/10/2026")</f>
        <v/>
      </c>
      <c r="FQ3">
        <f>BDH("BBG01WM3P3R4 Equity","PX_LAST,PX_VOLUME","1/1/2020","6/10/2026")</f>
        <v/>
      </c>
      <c r="FU3">
        <f>BDH("BBG01WM3R2X7 Equity","PX_LAST,PX_VOLUME","1/1/2020","6/10/2026")</f>
        <v/>
      </c>
      <c r="FY3">
        <f>BDH("BBG01WM3QRF3 Equity","PX_LAST,PX_VOLUME","1/1/2020","6/10/2026")</f>
        <v/>
      </c>
      <c r="GC3">
        <f>BDH("BBG01WM3P4Z3 Equity","PX_LAST,PX_VOLUME","1/1/2020","6/10/2026")</f>
        <v/>
      </c>
      <c r="GG3">
        <f>BDH("BBG01WM3P4C8 Equity","PX_LAST,PX_VOLUME","1/1/2020","6/10/2026")</f>
        <v/>
      </c>
      <c r="GK3">
        <f>BDH("BBG01WM3RH82 Equity","PX_LAST,PX_VOLUME","1/1/2020","6/10/2026")</f>
        <v/>
      </c>
      <c r="GO3">
        <f>BDH("BBG01XB6QJJ0 Equity","PX_LAST,PX_VOLUME","1/1/2020","6/10/2026")</f>
        <v/>
      </c>
      <c r="GS3">
        <f>BDH("BBG01XB6QK43 Equity","PX_LAST,PX_VOLUME","1/1/2020","6/10/2026")</f>
        <v/>
      </c>
      <c r="GW3">
        <f>BDH("BBG01XB6QFK6 Equity","PX_LAST,PX_VOLUME","1/1/2020","6/10/2026")</f>
        <v/>
      </c>
      <c r="HA3">
        <f>BDH("BBG01S6R9118 Equity","PX_LAST,PX_VOLUME","1/1/2020","6/10/2026")</f>
        <v/>
      </c>
      <c r="HE3">
        <f>BDH("BBG01S6R8HT4 Equity","PX_LAST,PX_VOLUME","1/1/2020","6/10/2026")</f>
        <v/>
      </c>
      <c r="HI3">
        <f>BDH("BBG01S6R8H69 Equity","PX_LAST,PX_VOLUME","1/1/2020","6/10/2026")</f>
        <v/>
      </c>
      <c r="HM3">
        <f>BDH("BBG01S6R8823 Equity","PX_LAST,PX_VOLUME","1/1/2020","6/10/2026")</f>
        <v/>
      </c>
      <c r="HQ3">
        <f>BDH("BBG01ZN2KNZ0 Equity","PX_LAST,PX_VOLUME","1/1/2020","6/10/2026")</f>
        <v/>
      </c>
      <c r="HU3">
        <f>BDH("BBG01S6R9KT6 Equity","PX_LAST,PX_VOLUME","1/1/2020","6/10/2026")</f>
        <v/>
      </c>
      <c r="HY3">
        <f>BDH("BBG01ZN2KMR1 Equity","PX_LAST,PX_VOLUME","1/1/2020","6/10/2026")</f>
        <v/>
      </c>
      <c r="IC3">
        <f>BDH("BBG01S6R9JN5 Equity","PX_LAST,PX_VOLUME","1/1/2020","6/10/2026")</f>
        <v/>
      </c>
      <c r="IG3">
        <f>BDH("BBG01ZN27CF1 Equity","PX_LAST,PX_VOLUME","1/1/2020","6/10/2026")</f>
        <v/>
      </c>
      <c r="IK3">
        <f>BDH("BBG01S6R88P8 Equity","PX_LAST,PX_VOLUME","1/1/2020","6/10/2026")</f>
        <v/>
      </c>
      <c r="IO3">
        <f>BDH("BBG01ZN29859 Equity","PX_LAST,PX_VOLUME","1/1/2020","6/10/2026")</f>
        <v/>
      </c>
      <c r="IS3">
        <f>BDH("BBG01S6R87G0 Equity","PX_LAST,PX_VOLUME","1/1/2020","6/10/2026")</f>
        <v/>
      </c>
      <c r="IW3">
        <f>BDH("BBG01ZN2G8F0 Equity","PX_LAST,PX_VOLUME","1/1/2020","6/10/2026")</f>
        <v/>
      </c>
      <c r="JA3">
        <f>BDH("BBG01S6R8994 Equity","PX_LAST,PX_VOLUME","1/1/2020","6/10/2026")</f>
        <v/>
      </c>
      <c r="JE3">
        <f>BDH("BBG01ZN2KDV6 Equity","PX_LAST,PX_VOLUME","1/1/2020","6/10/2026")</f>
        <v/>
      </c>
      <c r="JI3">
        <f>BDH("BBG01S6R9WM7 Equity","PX_LAST,PX_VOLUME","1/1/2020","6/10/2026")</f>
        <v/>
      </c>
      <c r="JM3">
        <f>BDH("BBG01ZN2G7T7 Equity","PX_LAST,PX_VOLUME","1/1/2020","6/10/2026")</f>
        <v/>
      </c>
      <c r="JQ3">
        <f>BDH("BBG01S6R8LY9 Equity","PX_LAST,PX_VOLUME","1/1/2020","6/10/2026")</f>
        <v/>
      </c>
      <c r="JU3">
        <f>BDH("BBG01ZN2KZ65 Equity","PX_LAST,PX_VOLUME","1/1/2020","6/10/2026")</f>
        <v/>
      </c>
      <c r="JY3">
        <f>BDH("BBG01S6R9X72 Equity","PX_LAST,PX_VOLUME","1/1/2020","6/10/2026")</f>
        <v/>
      </c>
      <c r="KC3">
        <f>BDH("BBG01ZN2KYL1 Equity","PX_LAST,PX_VOLUME","1/1/2020","6/10/2026")</f>
        <v/>
      </c>
      <c r="KG3">
        <f>BDH("BBG01S6R86L6 Equity","PX_LAST,PX_VOLUME","1/1/2020","6/10/2026")</f>
        <v/>
      </c>
      <c r="KK3">
        <f>BDH("BBG01ZN2FZK5 Equity","PX_LAST,PX_VOLUME","1/1/2020","6/10/2026")</f>
        <v/>
      </c>
      <c r="KO3">
        <f>BDH("BBG01S6R7YV5 Equity","PX_LAST,PX_VOLUME","1/1/2020","6/10/2026")</f>
        <v/>
      </c>
      <c r="KS3">
        <f>BDH("BBG01ZN2G0S3 Equity","PX_LAST,PX_VOLUME","1/1/2020","6/10/2026")</f>
        <v/>
      </c>
      <c r="KW3">
        <f>BDH("BBG01S6R8CT5 Equity","PX_LAST,PX_VOLUME","1/1/2020","6/10/2026")</f>
        <v/>
      </c>
      <c r="LA3">
        <f>BDH("BBG01ZN2G058 Equity","PX_LAST,PX_VOLUME","1/1/2020","6/10/2026")</f>
        <v/>
      </c>
      <c r="LE3">
        <f>BDH("BBG01S6R7ZG9 Equity","PX_LAST,PX_VOLUME","1/1/2020","6/10/2026")</f>
        <v/>
      </c>
      <c r="LI3">
        <f>BDH("BBG01ZN2KXZ8 Equity","PX_LAST,PX_VOLUME","1/1/2020","6/10/2026")</f>
        <v/>
      </c>
      <c r="LM3">
        <f>BDH("BBG01S6R81C7 Equity","PX_LAST,PX_VOLUME","1/1/2020","6/10/2026")</f>
        <v/>
      </c>
      <c r="LQ3">
        <f>BDH("BBG01ZN2G1D7 Equity","PX_LAST,PX_VOLUME","1/1/2020","6/10/2026")</f>
        <v/>
      </c>
      <c r="LU3">
        <f>BDH("BBG01S6R74J5 Equity","PX_LAST,PX_VOLUME","1/1/2020","6/10/2026")</f>
        <v/>
      </c>
      <c r="LY3">
        <f>BDH("BBG01ZN2G762 Equity","PX_LAST,PX_VOLUME","1/1/2020","6/10/2026")</f>
        <v/>
      </c>
      <c r="MC3">
        <f>BDH("BBG01S6R80R3 Equity","PX_LAST,PX_VOLUME","1/1/2020","6/10/2026")</f>
        <v/>
      </c>
      <c r="MG3">
        <f>BDH("BBG01ZN2G6L7 Equity","PX_LAST,PX_VOLUME","1/1/2020","6/10/2026")</f>
        <v/>
      </c>
      <c r="MK3">
        <f>BDH("BBG01S6R8YY1 Equity","PX_LAST,PX_VOLUME","1/1/2020","6/10/2026")</f>
        <v/>
      </c>
      <c r="MO3">
        <f>BDH("BBG01ZN2G209 Equity","PX_LAST,PX_VOLUME","1/1/2020","6/10/2026")</f>
        <v/>
      </c>
      <c r="MS3">
        <f>BDH("BBG01S6R9671 Equity","PX_LAST,PX_VOLUME","1/1/2020","6/10/2026")</f>
        <v/>
      </c>
      <c r="MW3">
        <f>BDH("BBG01ZN27D14 Equity","PX_LAST,PX_VOLUME","1/1/2020","6/10/2026")</f>
        <v/>
      </c>
      <c r="NA3">
        <f>BDH("BBG01S6R8YB6 Equity","PX_LAST,PX_VOLUME","1/1/2020","6/10/2026")</f>
        <v/>
      </c>
      <c r="NE3">
        <f>BDH("BBG01ZN2KM46 Equity","PX_LAST,PX_VOLUME","1/1/2020","6/10/2026")</f>
        <v/>
      </c>
      <c r="NI3">
        <f>BDH("BBG01S6R96V4 Equity","PX_LAST,PX_VOLUME","1/1/2020","6/10/2026")</f>
        <v/>
      </c>
      <c r="NM3">
        <f>BDH("BBG0214ZXYQ4 Equity","PX_LAST,PX_VOLUME","1/1/2020","6/10/2026")</f>
        <v/>
      </c>
      <c r="NQ3">
        <f>BDH("BBG0214ZXJN0 Equity","PX_LAST,PX_VOLUME","1/1/2020","6/10/2026")</f>
        <v/>
      </c>
      <c r="NU3">
        <f>BDH("BBG0214ZRWT2 Equity","PX_LAST,PX_VOLUME","1/1/2020","6/10/2026")</f>
        <v/>
      </c>
      <c r="NY3">
        <f>BDH("BBG0214ZXGT0 Equity","PX_LAST,PX_VOLUME","1/1/2020","6/10/2026")</f>
        <v/>
      </c>
      <c r="OC3">
        <f>BDH("BBG0214ZTRB0 Equity","PX_LAST,PX_VOLUME","1/1/2020","6/10/2026")</f>
        <v/>
      </c>
      <c r="OG3">
        <f>BDH("BBG0214ZX809 Equity","PX_LAST,PX_VOLUME","1/1/2020","6/10/2026")</f>
        <v/>
      </c>
      <c r="OK3">
        <f>BDH("BBG0214ZXZB7 Equity","PX_LAST,PX_VOLUME","1/1/2020","6/10/2026")</f>
        <v/>
      </c>
      <c r="OO3">
        <f>BDH("BBG0214ZX8M5 Equity","PX_LAST,PX_VOLUME","1/1/2020","6/10/2026")</f>
        <v/>
      </c>
      <c r="OS3">
        <f>BDH("BBG0214ZXY39 Equity","PX_LAST,PX_VOLUME","1/1/2020","6/10/2026")</f>
        <v/>
      </c>
      <c r="OW3">
        <f>BDH("BBG0214ZX970 Equity","PX_LAST,PX_VOLUME","1/1/2020","6/10/2026")</f>
        <v/>
      </c>
      <c r="PA3">
        <f>BDH("BBG0214ZS2M4 Equity","PX_LAST,PX_VOLUME","1/1/2020","6/10/2026")</f>
        <v/>
      </c>
      <c r="PE3">
        <f>BDH("BBG0214ZSQC2 Equity","PX_LAST,PX_VOLUME","1/1/2020","6/10/2026")</f>
        <v/>
      </c>
      <c r="PI3">
        <f>BDH("BBG0214ZXNX0 Equity","PX_LAST,PX_VOLUME","1/1/2020","6/10/2026")</f>
        <v/>
      </c>
      <c r="PM3">
        <f>BDH("BBG0214ZXC55 Equity","PX_LAST,PX_VOLUME","1/1/2020","6/10/2026")</f>
        <v/>
      </c>
      <c r="PQ3">
        <f>BDH("BBG0214ZXHF3 Equity","PX_LAST,PX_VOLUME","1/1/2020","6/10/2026")</f>
        <v/>
      </c>
      <c r="PU3">
        <f>BDH("BBG0214ZWV18 Equity","PX_LAST,PX_VOLUME","1/1/2020","6/10/2026")</f>
        <v/>
      </c>
      <c r="PY3">
        <f>BDH("BBG0214ZX7J1 Equity","PX_LAST,PX_VOLUME","1/1/2020","6/10/2026")</f>
        <v/>
      </c>
      <c r="QC3">
        <f>BDH("BBG0214ZRXF5 Equity","PX_LAST,PX_VOLUME","1/1/2020","6/10/2026")</f>
        <v/>
      </c>
      <c r="QG3">
        <f>BDH("BBG0214ZX694 Equity","PX_LAST,PX_VOLUME","1/1/2020","6/10/2026")</f>
        <v/>
      </c>
      <c r="QK3">
        <f>BDH("BBG0214ZT9B0 Equity","PX_LAST,PX_VOLUME","1/1/2020","6/10/2026")</f>
        <v/>
      </c>
      <c r="QO3">
        <f>BDH("BBG0214ZX6X7 Equity","PX_LAST,PX_VOLUME","1/1/2020","6/10/2026")</f>
        <v/>
      </c>
      <c r="QS3">
        <f>BDH("BBG0214ZY167 Equity","PX_LAST,PX_VOLUME","1/1/2020","6/10/2026")</f>
        <v/>
      </c>
      <c r="QW3">
        <f>BDH("BBG0214ZSQZ7 Equity","PX_LAST,PX_VOLUME","1/1/2020","6/10/2026")</f>
        <v/>
      </c>
      <c r="RA3">
        <f>BDH("BBG0214ZWVN4 Equity","PX_LAST,PX_VOLUME","1/1/2020","6/10/2026")</f>
        <v/>
      </c>
      <c r="RE3">
        <f>BDH("BBG0214ZSPZ9 Equity","PX_LAST,PX_VOLUME","1/1/2020","6/10/2026")</f>
        <v/>
      </c>
      <c r="RI3">
        <f>BDH("BBG0214ZWM09 Equity","PX_LAST,PX_VOLUME","1/1/2020","6/10/2026")</f>
        <v/>
      </c>
      <c r="RM3">
        <f>BDH("BBG0214ZSLB4 Equity","PX_LAST,PX_VOLUME","1/1/2020","6/10/2026")</f>
        <v/>
      </c>
      <c r="RQ3">
        <f>BDH("BBG0214ZY1T2 Equity","PX_LAST,PX_VOLUME","1/1/2020","6/10/2026")</f>
        <v/>
      </c>
      <c r="RU3">
        <f>BDH("BBG0214ZSRL0 Equity","PX_LAST,PX_VOLUME","1/1/2020","6/10/2026")</f>
        <v/>
      </c>
      <c r="RY3">
        <f>BDH("BBG0214ZY2F5 Equity","PX_LAST,PX_VOLUME","1/1/2020","6/10/2026")</f>
        <v/>
      </c>
      <c r="SC3">
        <f>BDH("BBG0214ZSS65 Equity","PX_LAST,PX_VOLUME","1/1/2020","6/10/2026")</f>
        <v/>
      </c>
      <c r="SG3">
        <f>BDH("BBG0214ZRYN4 Equity","PX_LAST,PX_VOLUME","1/1/2020","6/10/2026")</f>
        <v/>
      </c>
      <c r="SK3">
        <f>BDH("BBG0214ZWYD9 Equity","PX_LAST,PX_VOLUME","1/1/2020","6/10/2026")</f>
        <v/>
      </c>
      <c r="SO3">
        <f>BDH("BBG0214ZRY18 Equity","PX_LAST,PX_VOLUME","1/1/2020","6/10/2026")</f>
        <v/>
      </c>
      <c r="SS3">
        <f>BDH("BBG0214ZT0C8 Equity","PX_LAST,PX_VOLUME","1/1/2020","6/10/2026")</f>
        <v/>
      </c>
      <c r="SW3">
        <f>BDH("BBG0214ZRLX1 Equity","PX_LAST,PX_VOLUME","1/1/2020","6/10/2026")</f>
        <v/>
      </c>
      <c r="TA3">
        <f>BDH("BBG0214ZXS69 Equity","PX_LAST,PX_VOLUME","1/1/2020","6/10/2026")</f>
        <v/>
      </c>
      <c r="TE3">
        <f>BDH("BBG0214ZW3K9 Equity","PX_LAST,PX_VOLUME","1/1/2020","6/10/2026")</f>
        <v/>
      </c>
      <c r="TI3">
        <f>BDH("BBG0214ZQXM8 Equity","PX_LAST,PX_VOLUME","1/1/2020","6/10/2026")</f>
        <v/>
      </c>
      <c r="TM3">
        <f>BDH("BBG0214ZSCZ8 Equity","PX_LAST,PX_VOLUME","1/1/2020","6/10/2026")</f>
        <v/>
      </c>
      <c r="TQ3">
        <f>BDH("BBG0214ZWR53 Equity","PX_LAST,PX_VOLUME","1/1/2020","6/10/2026")</f>
        <v/>
      </c>
      <c r="TU3">
        <f>BDH("BBG01ZJR4KY5 Equity","PX_LAST,PX_VOLUME","1/1/2020","6/10/2026")</f>
        <v/>
      </c>
      <c r="TY3">
        <f>BDH("BBG01ZJR7QW1 Equity","PX_LAST,PX_VOLUME","1/1/2020","6/10/2026")</f>
        <v/>
      </c>
      <c r="UC3">
        <f>BDH("BBG01ZJR5522 Equity","PX_LAST,PX_VOLUME","1/1/2020","6/10/2026")</f>
        <v/>
      </c>
      <c r="UG3">
        <f>BDH("BBG01ZJR44Y1 Equity","PX_LAST,PX_VOLUME","1/1/2020","6/10/2026")</f>
        <v/>
      </c>
      <c r="UK3">
        <f>BDH("BBG01ZJR4GG4 Equity","PX_LAST,PX_VOLUME","1/1/2020","6/10/2026")</f>
        <v/>
      </c>
      <c r="UO3">
        <f>BDH("BBG01ZJR7JR3 Equity","PX_LAST,PX_VOLUME","1/1/2020","6/10/2026")</f>
        <v/>
      </c>
      <c r="US3">
        <f>BDH("BBG01ZJR3ZF4 Equity","PX_LAST,PX_VOLUME","1/1/2020","6/10/2026")</f>
        <v/>
      </c>
      <c r="UW3">
        <f>BDH("BBG01ZJR84W9 Equity","PX_LAST,PX_VOLUME","1/1/2020","6/10/2026")</f>
        <v/>
      </c>
      <c r="VA3">
        <f>BDH("BBG01ZJR4LK8 Equity","PX_LAST,PX_VOLUME","1/1/2020","6/10/2026")</f>
        <v/>
      </c>
      <c r="VE3">
        <f>BDH("BBG01ZJR8P52 Equity","PX_LAST,PX_VOLUME","1/1/2020","6/10/2026")</f>
        <v/>
      </c>
      <c r="VI3">
        <f>BDH("BBG01ZJR8S74 Equity","PX_LAST,PX_VOLUME","1/1/2020","6/10/2026")</f>
        <v/>
      </c>
      <c r="VM3">
        <f>BDH("BBG01ZJR4H27 Equity","PX_LAST,PX_VOLUME","1/1/2020","6/10/2026")</f>
        <v/>
      </c>
      <c r="VQ3">
        <f>BDH("BBG01ZJR80B0 Equity","PX_LAST,PX_VOLUME","1/1/2020","6/10/2026")</f>
        <v/>
      </c>
      <c r="VU3">
        <f>BDH("BBG01ZJR7H88 Equity","PX_LAST,PX_VOLUME","1/1/2020","6/10/2026")</f>
        <v/>
      </c>
      <c r="VY3">
        <f>BDH("BBG01ZJR45K3 Equity","PX_LAST,PX_VOLUME","1/1/2020","6/10/2026")</f>
        <v/>
      </c>
      <c r="WC3">
        <f>BDH("BBG01ZJR8CP9 Equity","PX_LAST,PX_VOLUME","1/1/2020","6/10/2026")</f>
        <v/>
      </c>
      <c r="WG3">
        <f>BDH("BBG01ZJR5693 Equity","PX_LAST,PX_VOLUME","1/1/2020","6/10/2026")</f>
        <v/>
      </c>
      <c r="WK3">
        <f>BDH("BBG01ZJR8DX8 Equity","PX_LAST,PX_VOLUME","1/1/2020","6/10/2026")</f>
        <v/>
      </c>
      <c r="WO3">
        <f>BDH("BBG01ZJR4HP2 Equity","PX_LAST,PX_VOLUME","1/1/2020","6/10/2026")</f>
        <v/>
      </c>
      <c r="WS3">
        <f>BDH("BBG01ZJR3HQ2 Equity","PX_LAST,PX_VOLUME","1/1/2020","6/10/2026")</f>
        <v/>
      </c>
      <c r="WW3">
        <f>BDH("BBG01ZJR7G17 Equity","PX_LAST,PX_VOLUME","1/1/2020","6/10/2026")</f>
        <v/>
      </c>
      <c r="XA3">
        <f>BDH("BBG01ZJR3JB4 Equity","PX_LAST,PX_VOLUME","1/1/2020","6/10/2026")</f>
        <v/>
      </c>
      <c r="XE3">
        <f>BDH("BBG01ZJR4JQ7 Equity","PX_LAST,PX_VOLUME","1/1/2020","6/10/2026")</f>
        <v/>
      </c>
      <c r="XI3">
        <f>BDH("BBG01ZJR8D95 Equity","PX_LAST,PX_VOLUME","1/1/2020","6/10/2026")</f>
        <v/>
      </c>
      <c r="XM3">
        <f>BDH("BBG01ZJR56X6 Equity","PX_LAST,PX_VOLUME","1/1/2020","6/10/2026")</f>
        <v/>
      </c>
      <c r="XQ3">
        <f>BDH("BBG01ZJR8FJ9 Equity","PX_LAST,PX_VOLUME","1/1/2020","6/10/2026")</f>
        <v/>
      </c>
      <c r="XU3">
        <f>BDH("BBG01ZJR80Y5 Equity","PX_LAST,PX_VOLUME","1/1/2020","6/10/2026")</f>
        <v/>
      </c>
      <c r="XY3">
        <f>BDH("BBG01ZJR3W34 Equity","PX_LAST,PX_VOLUME","1/1/2020","6/10/2026")</f>
        <v/>
      </c>
      <c r="YC3">
        <f>BDH("BBG01ZJR7CG0 Equity","PX_LAST,PX_VOLUME","1/1/2020","6/10/2026")</f>
        <v/>
      </c>
      <c r="YG3">
        <f>BDH("BBG01ZJR6Q34 Equity","PX_LAST,PX_VOLUME","1/1/2020","6/10/2026")</f>
        <v/>
      </c>
      <c r="YK3">
        <f>BDH("BBG01ZJR4F76 Equity","PX_LAST,PX_VOLUME","1/1/2020","6/10/2026")</f>
        <v/>
      </c>
      <c r="YO3">
        <f>BDH("BBG01ZJR5372 Equity","PX_LAST,PX_VOLUME","1/1/2020","6/10/2026")</f>
        <v/>
      </c>
      <c r="YS3">
        <f>BDH("BBG01ZJR8LP9 Equity","PX_LAST,PX_VOLUME","1/1/2020","6/10/2026")</f>
        <v/>
      </c>
      <c r="YW3">
        <f>BDH("BBG01ZJR29Z1 Equity","PX_LAST,PX_VOLUME","1/1/2020","6/10/2026")</f>
        <v/>
      </c>
      <c r="ZA3">
        <f>BDH("BBG01ZJR3JY9 Equity","PX_LAST,PX_VOLUME","1/1/2020","6/10/2026")</f>
        <v/>
      </c>
      <c r="ZE3">
        <f>BDH("BBG01ZJR2669 Equity","PX_LAST,PX_VOLUME","1/1/2020","6/10/2026")</f>
        <v/>
      </c>
      <c r="ZI3">
        <f>BDH("BBG01ZJR3KK1 Equity","PX_LAST,PX_VOLUME","1/1/2020","6/10/2026")</f>
        <v/>
      </c>
      <c r="ZM3">
        <f>BDH("BBG01ZJR26T4 Equity","PX_LAST,PX_VOLUME","1/1/2020","6/10/2026")</f>
        <v/>
      </c>
      <c r="ZQ3">
        <f>BDH("BBG01ZJR53V5 Equity","PX_LAST,PX_VOLUME","1/1/2020","6/10/2026")</f>
        <v/>
      </c>
      <c r="ZU3">
        <f>BDH("BBG01ZJR25L4 Equity","PX_LAST,PX_VOLUME","1/1/2020","6/10/2026")</f>
        <v/>
      </c>
      <c r="ZY3">
        <f>BDH("BBG01ZJR29C6 Equity","PX_LAST,PX_VOLUME","1/1/2020","6/10/2026")</f>
        <v/>
      </c>
      <c r="AAC3">
        <f>BDH("BBG01M58NSP3 Equity","PX_LAST,PX_VOLUME","1/1/2020","6/10/2026")</f>
        <v/>
      </c>
      <c r="AAG3">
        <f>BDH("BBG01MN5K1J8 Equity","PX_LAST,PX_VOLUME","1/1/2020","6/10/2026")</f>
        <v/>
      </c>
      <c r="AAK3">
        <f>BDH("BBG01MNSTQX8 Equity","PX_LAST,PX_VOLUME","1/1/2020","6/10/2026")</f>
        <v/>
      </c>
      <c r="AAO3">
        <f>BDH("BBG01MNSTSJ0 Equity","PX_LAST,PX_VOLUME","1/1/2020","6/10/2026")</f>
        <v/>
      </c>
      <c r="AAS3">
        <f>BDH("BBG01MNSTTP1 Equity","PX_LAST,PX_VOLUME","1/1/2020","6/10/2026")</f>
        <v/>
      </c>
      <c r="AAW3">
        <f>BDH("BBG01MNSTVV9 Equity","PX_LAST,PX_VOLUME","1/1/2020","6/10/2026")</f>
        <v/>
      </c>
      <c r="ABA3">
        <f>BDH("BBG01NMLC6H2 Equity","PX_LAST,PX_VOLUME","1/1/2020","6/10/2026")</f>
        <v/>
      </c>
      <c r="ABE3">
        <f>BDH("BBG01NMLBWR5 Equity","PX_LAST,PX_VOLUME","1/1/2020","6/10/2026")</f>
        <v/>
      </c>
      <c r="ABI3">
        <f>BDH("BBG01NMLC5X6 Equity","PX_LAST,PX_VOLUME","1/1/2020","6/10/2026")</f>
        <v/>
      </c>
      <c r="ABM3">
        <f>BDH("BBG01NMLB6Q3 Equity","PX_LAST,PX_VOLUME","1/1/2020","6/10/2026")</f>
        <v/>
      </c>
      <c r="ABQ3">
        <f>BDH("BBG01NML91R6 Equity","PX_LAST,PX_VOLUME","1/1/2020","6/10/2026")</f>
        <v/>
      </c>
      <c r="ABU3">
        <f>BDH("BBG01NML9150 Equity","PX_LAST,PX_VOLUME","1/1/2020","6/10/2026")</f>
        <v/>
      </c>
      <c r="ABY3">
        <f>BDH("BBG01NML92B1 Equity","PX_LAST,PX_VOLUME","1/1/2020","6/10/2026")</f>
        <v/>
      </c>
      <c r="ACC3">
        <f>BDH("BBG01NMLBW59 Equity","PX_LAST,PX_VOLUME","1/1/2020","6/10/2026")</f>
        <v/>
      </c>
      <c r="ACG3">
        <f>BDH("BBG01NP3B9G5 Equity","PX_LAST,PX_VOLUME","1/1/2020","6/10/2026")</f>
        <v/>
      </c>
      <c r="ACK3">
        <f>BDH("BBG01NP39VC3 Equity","PX_LAST,PX_VOLUME","1/1/2020","6/10/2026")</f>
        <v/>
      </c>
      <c r="ACO3">
        <f>BDH("BBG01NP39VY9 Equity","PX_LAST,PX_VOLUME","1/1/2020","6/10/2026")</f>
        <v/>
      </c>
      <c r="ACS3">
        <f>BDH("BBG01NP39TS1 Equity","PX_LAST,PX_VOLUME","1/1/2020","6/10/2026")</f>
        <v/>
      </c>
      <c r="ACW3">
        <f>BDH("BBG01NQ1JKL9 Equity","PX_LAST,PX_VOLUME","1/1/2020","6/10/2026")</f>
        <v/>
      </c>
      <c r="ADA3">
        <f>BDH("BBG01NQ1JL55 Equity","PX_LAST,PX_VOLUME","1/1/2020","6/10/2026")</f>
        <v/>
      </c>
      <c r="ADE3">
        <f>BDH("BBG01NQ1JK02 Equity","PX_LAST,PX_VOLUME","1/1/2020","6/10/2026")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2026-07-18T23:26:31Z</dcterms:created>
  <dcterms:modified xsi:type="dcterms:W3CDTF">2026-07-18T23:26:31Z</dcterms:modified>
</cp:coreProperties>
</file>