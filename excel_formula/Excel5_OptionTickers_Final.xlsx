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HOW_TO_USE" sheetId="2" state="visible" r:id="rId2"/>
    <sheet name="TSLA" sheetId="3" state="visible" r:id="rId3"/>
    <sheet name="TS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color rgb="00000000"/>
      <sz val="10"/>
    </font>
    <font>
      <name val="Arial"/>
      <b val="1"/>
      <color rgb="00FFFFFF"/>
      <sz val="13"/>
    </font>
    <font>
      <name val="Arial"/>
      <color rgb="00000000"/>
      <sz val="9"/>
    </font>
    <font>
      <name val="Arial"/>
      <b val="1"/>
      <color rgb="00FFFFFF"/>
      <sz val="11"/>
    </font>
    <font>
      <name val="Arial"/>
      <b val="1"/>
      <color rgb="00FFFFFF"/>
      <sz val="8"/>
    </font>
    <font>
      <name val="Arial"/>
      <i val="1"/>
      <color rgb="00404040"/>
      <sz val="8"/>
    </font>
    <font>
      <name val="Courier New"/>
      <b val="1"/>
      <color rgb="001F497D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indent="1"/>
    </xf>
    <xf numFmtId="0" fontId="4" fillId="4" borderId="1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 wrapText="1" indent="1"/>
    </xf>
    <xf numFmtId="0" fontId="3" fillId="6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indent="1"/>
    </xf>
    <xf numFmtId="0" fontId="10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8" customWidth="1" min="3" max="3"/>
    <col width="44" customWidth="1" min="4" max="4"/>
    <col width="12" customWidth="1" min="5" max="5"/>
  </cols>
  <sheetData>
    <row r="1" ht="28" customHeight="1">
      <c r="A1" s="1" t="inlineStr">
        <is>
          <t xml:space="preserve">  Excel 5 — Historical Call Option Chain Directory</t>
        </is>
      </c>
    </row>
    <row r="2" ht="28" customHeight="1">
      <c r="A2" s="2" t="inlineStr">
        <is>
          <t xml:space="preserve">  Each sheet: quarterly BDS pulls of P option BBG IDs from Jan 2020 → Jun 2026  |  Formula: =BDS(security, "OPT_CHAIN", "SINGLE_DATE_OVERRIDE", date, "CHAIN_PUT_CALL_TYPE_OVRD", "P")</t>
        </is>
      </c>
    </row>
    <row r="3" ht="8" customHeight="1"/>
    <row r="4" ht="18" customHeight="1">
      <c r="A4" s="3" t="inlineStr">
        <is>
          <t>#</t>
        </is>
      </c>
      <c r="B4" s="3" t="inlineStr">
        <is>
          <t>Sheet</t>
        </is>
      </c>
      <c r="C4" s="3" t="inlineStr">
        <is>
          <t>Bloomberg Security</t>
        </is>
      </c>
      <c r="D4" s="3" t="inlineStr">
        <is>
          <t>Description</t>
        </is>
      </c>
      <c r="E4" s="3" t="inlineStr">
        <is>
          <t>Flag</t>
        </is>
      </c>
    </row>
    <row r="5" ht="18" customHeight="1">
      <c r="A5" s="4" t="n">
        <v>1</v>
      </c>
      <c r="B5" s="5" t="inlineStr">
        <is>
          <t>TSLA</t>
        </is>
      </c>
      <c r="C5" s="5" t="inlineStr">
        <is>
          <t>TSLA US Equity</t>
        </is>
      </c>
      <c r="D5" s="5" t="inlineStr">
        <is>
          <t>Tesla (underlying of TSLT / TSLL hedge fallback)</t>
        </is>
      </c>
      <c r="E5" s="4" t="inlineStr"/>
    </row>
    <row r="6" ht="18" customHeight="1">
      <c r="A6" s="4" t="n">
        <v>2</v>
      </c>
      <c r="B6" s="5" t="inlineStr">
        <is>
          <t>TSLL</t>
        </is>
      </c>
      <c r="C6" s="5" t="inlineStr">
        <is>
          <t>TSLL US Equity</t>
        </is>
      </c>
      <c r="D6" s="5" t="inlineStr">
        <is>
          <t>Direxion 2x TSLA Bull ETF (primary hedge instrument)</t>
        </is>
      </c>
      <c r="E6" s="4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 ht="28" customHeight="1">
      <c r="A1" s="6" t="inlineStr">
        <is>
          <t xml:space="preserve">  HOW TO USE EXCEL 5</t>
        </is>
      </c>
    </row>
    <row r="2" ht="8" customHeight="1"/>
    <row r="3" ht="32" customHeight="1">
      <c r="A3" s="7" t="inlineStr">
        <is>
          <t>STEP 1</t>
        </is>
      </c>
      <c r="B3" s="8" t="inlineStr">
        <is>
          <t>Open this file on the Bloomberg Terminal. Ensure Bloomberg Excel Add-in is active (DAPI &lt;Go&gt; on terminal to verify).</t>
        </is>
      </c>
    </row>
    <row r="4" ht="32" customHeight="1">
      <c r="A4" s="7" t="inlineStr">
        <is>
          <t>STEP 2</t>
        </is>
      </c>
      <c r="B4" s="8" t="inlineStr">
        <is>
          <t>Navigate to any underlying sheet (e.g. MSTR, TSLA). Each sheet contains quarterly BDS formulas from Q1 2020 → Q2 2026.</t>
        </is>
      </c>
    </row>
    <row r="5" ht="60" customHeight="1">
      <c r="A5" s="7" t="inlineStr">
        <is>
          <t>STEP 3</t>
        </is>
      </c>
      <c r="B5" s="8" t="inlineStr">
        <is>
          <t>Each column = one quarter. The formula pulls every P option BBG ID that existed on that date via:
=BDS(security,"OPT_CHAIN","SINGLE_DATE_OVERRIDE","YYYYMMDD","CHAIN_PUT_CALL_TYPE_OVRD","P")</t>
        </is>
      </c>
    </row>
    <row r="6" ht="32" customHeight="1">
      <c r="A6" s="7" t="inlineStr">
        <is>
          <t>STEP 4</t>
        </is>
      </c>
      <c r="B6" s="8" t="inlineStr">
        <is>
          <t>Bloomberg returns BBG Global IDs (e.g. BBG00P7YZLZ9 Equity). These are fully valid Bloomberg tickers.</t>
        </is>
      </c>
    </row>
    <row r="7" ht="60" customHeight="1">
      <c r="A7" s="7" t="inlineStr">
        <is>
          <t>STEP 5</t>
        </is>
      </c>
      <c r="B7" s="8" t="inlineStr">
        <is>
          <t>To decode any ID: =BDP("BBG00XXXXX Equity","TICKER") → human ticker
           =BDP("BBG00XXXXX Equity","OPT_EXPIRE_DT") → expiry date
           =BDP("BBG00XXXXX Equity","OPT_STRIKE_PX") → strike price</t>
        </is>
      </c>
    </row>
    <row r="8" ht="32" customHeight="1">
      <c r="A8" s="7" t="inlineStr">
        <is>
          <t>STEP 6</t>
        </is>
      </c>
      <c r="B8" s="8" t="inlineStr">
        <is>
          <t>Use the BBG IDs directly in Excel 6 BDH formulas to pull historical Bid/Ask/IV/Greeks for each contract.</t>
        </is>
      </c>
    </row>
    <row r="9" ht="32" customHeight="1">
      <c r="A9" s="9" t="inlineStr">
        <is>
          <t>⚠ FLAGS</t>
        </is>
      </c>
      <c r="B9" s="8" t="inlineStr">
        <is>
          <t>XETH, NG1, MSOS sheets are flagged — verify results manually. XETH/NG1 are non-equity; MSOS has thin option liquidity.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22" customHeight="1">
      <c r="A1" s="10" t="inlineStr">
        <is>
          <t xml:space="preserve">  TSLA — Historical P Option Chain  |  TSLA US Equity  |  OPT_CHAIN + SINGLE_DATE_OVERRIDE + CHAIN_PUT_CALL_TYPE_OVRD=P</t>
        </is>
      </c>
    </row>
    <row r="2" ht="30" customHeight="1">
      <c r="A2" s="11" t="inlineStr">
        <is>
          <t>Contract #</t>
        </is>
      </c>
      <c r="B2" s="12" t="inlineStr">
        <is>
          <t>Q1 2020
(2020-01-01)</t>
        </is>
      </c>
      <c r="C2" s="12" t="inlineStr">
        <is>
          <t>Q2 2020
(2020-04-01)</t>
        </is>
      </c>
      <c r="D2" s="12" t="inlineStr">
        <is>
          <t>Q3 2020
(2020-07-01)</t>
        </is>
      </c>
      <c r="E2" s="12" t="inlineStr">
        <is>
          <t>Q4 2020
(2020-10-01)</t>
        </is>
      </c>
      <c r="F2" s="12" t="inlineStr">
        <is>
          <t>Q1 2021
(2021-01-01)</t>
        </is>
      </c>
      <c r="G2" s="12" t="inlineStr">
        <is>
          <t>Q2 2021
(2021-04-01)</t>
        </is>
      </c>
      <c r="H2" s="12" t="inlineStr">
        <is>
          <t>Q3 2021
(2021-07-01)</t>
        </is>
      </c>
      <c r="I2" s="12" t="inlineStr">
        <is>
          <t>Q4 2021
(2021-10-01)</t>
        </is>
      </c>
      <c r="J2" s="12" t="inlineStr">
        <is>
          <t>Q1 2022
(2022-01-01)</t>
        </is>
      </c>
      <c r="K2" s="12" t="inlineStr">
        <is>
          <t>Q2 2022
(2022-04-01)</t>
        </is>
      </c>
      <c r="L2" s="12" t="inlineStr">
        <is>
          <t>Q3 2022
(2022-07-01)</t>
        </is>
      </c>
      <c r="M2" s="12" t="inlineStr">
        <is>
          <t>Q4 2022
(2022-10-01)</t>
        </is>
      </c>
      <c r="N2" s="12" t="inlineStr">
        <is>
          <t>Q1 2023
(2023-01-01)</t>
        </is>
      </c>
      <c r="O2" s="12" t="inlineStr">
        <is>
          <t>Q2 2023
(2023-04-01)</t>
        </is>
      </c>
      <c r="P2" s="12" t="inlineStr">
        <is>
          <t>Q3 2023
(2023-07-01)</t>
        </is>
      </c>
      <c r="Q2" s="12" t="inlineStr">
        <is>
          <t>Q4 2023
(2023-10-01)</t>
        </is>
      </c>
      <c r="R2" s="12" t="inlineStr">
        <is>
          <t>Q1 2024
(2024-01-01)</t>
        </is>
      </c>
      <c r="S2" s="12" t="inlineStr">
        <is>
          <t>Q2 2024
(2024-04-01)</t>
        </is>
      </c>
      <c r="T2" s="12" t="inlineStr">
        <is>
          <t>Q3 2024
(2024-07-01)</t>
        </is>
      </c>
      <c r="U2" s="12" t="inlineStr">
        <is>
          <t>Q4 2024
(2024-10-01)</t>
        </is>
      </c>
      <c r="V2" s="12" t="inlineStr">
        <is>
          <t>Q1 2025
(2025-01-01)</t>
        </is>
      </c>
      <c r="W2" s="12" t="inlineStr">
        <is>
          <t>Q2 2025
(2025-04-01)</t>
        </is>
      </c>
      <c r="X2" s="12" t="inlineStr">
        <is>
          <t>Q3 2025
(2025-07-01)</t>
        </is>
      </c>
      <c r="Y2" s="12" t="inlineStr">
        <is>
          <t>Q4 2025
(2025-10-01)</t>
        </is>
      </c>
      <c r="Z2" s="12" t="inlineStr">
        <is>
          <t>Q1 2026
(2026-01-01)</t>
        </is>
      </c>
      <c r="AA2" s="12" t="inlineStr">
        <is>
          <t>Q2 2026
(2026-04-01)</t>
        </is>
      </c>
    </row>
    <row r="3" ht="18" customHeight="1">
      <c r="A3" s="13" t="inlineStr">
        <is>
          <t>↓ BBG IDs spill below</t>
        </is>
      </c>
      <c r="B3" s="14">
        <f>BDS("TSLA US Equity","OPT_CHAIN","SINGLE_DATE_OVERRIDE","20200101","CHAIN_PUT_CALL_TYPE_OVRD","P")</f>
        <v/>
      </c>
      <c r="C3" s="14">
        <f>BDS("TSLA US Equity","OPT_CHAIN","SINGLE_DATE_OVERRIDE","20200401","CHAIN_PUT_CALL_TYPE_OVRD","P")</f>
        <v/>
      </c>
      <c r="D3" s="14">
        <f>BDS("TSLA US Equity","OPT_CHAIN","SINGLE_DATE_OVERRIDE","20200701","CHAIN_PUT_CALL_TYPE_OVRD","P")</f>
        <v/>
      </c>
      <c r="E3" s="14">
        <f>BDS("TSLA US Equity","OPT_CHAIN","SINGLE_DATE_OVERRIDE","20201001","CHAIN_PUT_CALL_TYPE_OVRD","P")</f>
        <v/>
      </c>
      <c r="F3" s="14">
        <f>BDS("TSLA US Equity","OPT_CHAIN","SINGLE_DATE_OVERRIDE","20210101","CHAIN_PUT_CALL_TYPE_OVRD","P")</f>
        <v/>
      </c>
      <c r="G3" s="14">
        <f>BDS("TSLA US Equity","OPT_CHAIN","SINGLE_DATE_OVERRIDE","20210401","CHAIN_PUT_CALL_TYPE_OVRD","P")</f>
        <v/>
      </c>
      <c r="H3" s="14">
        <f>BDS("TSLA US Equity","OPT_CHAIN","SINGLE_DATE_OVERRIDE","20210701","CHAIN_PUT_CALL_TYPE_OVRD","P")</f>
        <v/>
      </c>
      <c r="I3" s="14">
        <f>BDS("TSLA US Equity","OPT_CHAIN","SINGLE_DATE_OVERRIDE","20211001","CHAIN_PUT_CALL_TYPE_OVRD","P")</f>
        <v/>
      </c>
      <c r="J3" s="14">
        <f>BDS("TSLA US Equity","OPT_CHAIN","SINGLE_DATE_OVERRIDE","20220101","CHAIN_PUT_CALL_TYPE_OVRD","P")</f>
        <v/>
      </c>
      <c r="K3" s="14">
        <f>BDS("TSLA US Equity","OPT_CHAIN","SINGLE_DATE_OVERRIDE","20220401","CHAIN_PUT_CALL_TYPE_OVRD","P")</f>
        <v/>
      </c>
      <c r="L3" s="14">
        <f>BDS("TSLA US Equity","OPT_CHAIN","SINGLE_DATE_OVERRIDE","20220701","CHAIN_PUT_CALL_TYPE_OVRD","P")</f>
        <v/>
      </c>
      <c r="M3" s="14">
        <f>BDS("TSLA US Equity","OPT_CHAIN","SINGLE_DATE_OVERRIDE","20221001","CHAIN_PUT_CALL_TYPE_OVRD","P")</f>
        <v/>
      </c>
      <c r="N3" s="14">
        <f>BDS("TSLA US Equity","OPT_CHAIN","SINGLE_DATE_OVERRIDE","20230101","CHAIN_PUT_CALL_TYPE_OVRD","P")</f>
        <v/>
      </c>
      <c r="O3" s="14">
        <f>BDS("TSLA US Equity","OPT_CHAIN","SINGLE_DATE_OVERRIDE","20230401","CHAIN_PUT_CALL_TYPE_OVRD","P")</f>
        <v/>
      </c>
      <c r="P3" s="14">
        <f>BDS("TSLA US Equity","OPT_CHAIN","SINGLE_DATE_OVERRIDE","20230701","CHAIN_PUT_CALL_TYPE_OVRD","P")</f>
        <v/>
      </c>
      <c r="Q3" s="14">
        <f>BDS("TSLA US Equity","OPT_CHAIN","SINGLE_DATE_OVERRIDE","20231001","CHAIN_PUT_CALL_TYPE_OVRD","P")</f>
        <v/>
      </c>
      <c r="R3" s="14">
        <f>BDS("TSLA US Equity","OPT_CHAIN","SINGLE_DATE_OVERRIDE","20240101","CHAIN_PUT_CALL_TYPE_OVRD","P")</f>
        <v/>
      </c>
      <c r="S3" s="14">
        <f>BDS("TSLA US Equity","OPT_CHAIN","SINGLE_DATE_OVERRIDE","20240401","CHAIN_PUT_CALL_TYPE_OVRD","P")</f>
        <v/>
      </c>
      <c r="T3" s="14">
        <f>BDS("TSLA US Equity","OPT_CHAIN","SINGLE_DATE_OVERRIDE","20240701","CHAIN_PUT_CALL_TYPE_OVRD","P")</f>
        <v/>
      </c>
      <c r="U3" s="14">
        <f>BDS("TSLA US Equity","OPT_CHAIN","SINGLE_DATE_OVERRIDE","20241001","CHAIN_PUT_CALL_TYPE_OVRD","P")</f>
        <v/>
      </c>
      <c r="V3" s="14">
        <f>BDS("TSLA US Equity","OPT_CHAIN","SINGLE_DATE_OVERRIDE","20250101","CHAIN_PUT_CALL_TYPE_OVRD","P")</f>
        <v/>
      </c>
      <c r="W3" s="14">
        <f>BDS("TSLA US Equity","OPT_CHAIN","SINGLE_DATE_OVERRIDE","20250401","CHAIN_PUT_CALL_TYPE_OVRD","P")</f>
        <v/>
      </c>
      <c r="X3" s="14">
        <f>BDS("TSLA US Equity","OPT_CHAIN","SINGLE_DATE_OVERRIDE","20250701","CHAIN_PUT_CALL_TYPE_OVRD","P")</f>
        <v/>
      </c>
      <c r="Y3" s="14">
        <f>BDS("TSLA US Equity","OPT_CHAIN","SINGLE_DATE_OVERRIDE","20251001","CHAIN_PUT_CALL_TYPE_OVRD","P")</f>
        <v/>
      </c>
      <c r="Z3" s="14">
        <f>BDS("TSLA US Equity","OPT_CHAIN","SINGLE_DATE_OVERRIDE","20260101","CHAIN_PUT_CALL_TYPE_OVRD","P")</f>
        <v/>
      </c>
      <c r="AA3" s="14">
        <f>BDS("TSLA US Equity","OPT_CHAIN","SINGLE_DATE_OVERRIDE","20260401","CHAIN_PUT_CALL_TYPE_OVRD","P")</f>
        <v/>
      </c>
    </row>
    <row r="4"/>
  </sheetData>
  <mergeCells count="1"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22" customHeight="1">
      <c r="A1" s="10" t="inlineStr">
        <is>
          <t xml:space="preserve">  TSLL — Historical P Option Chain  |  TSLL US Equity  |  OPT_CHAIN + SINGLE_DATE_OVERRIDE + CHAIN_PUT_CALL_TYPE_OVRD=P</t>
        </is>
      </c>
    </row>
    <row r="2" ht="30" customHeight="1">
      <c r="A2" s="11" t="inlineStr">
        <is>
          <t>Contract #</t>
        </is>
      </c>
      <c r="B2" s="12" t="inlineStr">
        <is>
          <t>Q1 2020
(2020-01-01)</t>
        </is>
      </c>
      <c r="C2" s="12" t="inlineStr">
        <is>
          <t>Q2 2020
(2020-04-01)</t>
        </is>
      </c>
      <c r="D2" s="12" t="inlineStr">
        <is>
          <t>Q3 2020
(2020-07-01)</t>
        </is>
      </c>
      <c r="E2" s="12" t="inlineStr">
        <is>
          <t>Q4 2020
(2020-10-01)</t>
        </is>
      </c>
      <c r="F2" s="12" t="inlineStr">
        <is>
          <t>Q1 2021
(2021-01-01)</t>
        </is>
      </c>
      <c r="G2" s="12" t="inlineStr">
        <is>
          <t>Q2 2021
(2021-04-01)</t>
        </is>
      </c>
      <c r="H2" s="12" t="inlineStr">
        <is>
          <t>Q3 2021
(2021-07-01)</t>
        </is>
      </c>
      <c r="I2" s="12" t="inlineStr">
        <is>
          <t>Q4 2021
(2021-10-01)</t>
        </is>
      </c>
      <c r="J2" s="12" t="inlineStr">
        <is>
          <t>Q1 2022
(2022-01-01)</t>
        </is>
      </c>
      <c r="K2" s="12" t="inlineStr">
        <is>
          <t>Q2 2022
(2022-04-01)</t>
        </is>
      </c>
      <c r="L2" s="12" t="inlineStr">
        <is>
          <t>Q3 2022
(2022-07-01)</t>
        </is>
      </c>
      <c r="M2" s="12" t="inlineStr">
        <is>
          <t>Q4 2022
(2022-10-01)</t>
        </is>
      </c>
      <c r="N2" s="12" t="inlineStr">
        <is>
          <t>Q1 2023
(2023-01-01)</t>
        </is>
      </c>
      <c r="O2" s="12" t="inlineStr">
        <is>
          <t>Q2 2023
(2023-04-01)</t>
        </is>
      </c>
      <c r="P2" s="12" t="inlineStr">
        <is>
          <t>Q3 2023
(2023-07-01)</t>
        </is>
      </c>
      <c r="Q2" s="12" t="inlineStr">
        <is>
          <t>Q4 2023
(2023-10-01)</t>
        </is>
      </c>
      <c r="R2" s="12" t="inlineStr">
        <is>
          <t>Q1 2024
(2024-01-01)</t>
        </is>
      </c>
      <c r="S2" s="12" t="inlineStr">
        <is>
          <t>Q2 2024
(2024-04-01)</t>
        </is>
      </c>
      <c r="T2" s="12" t="inlineStr">
        <is>
          <t>Q3 2024
(2024-07-01)</t>
        </is>
      </c>
      <c r="U2" s="12" t="inlineStr">
        <is>
          <t>Q4 2024
(2024-10-01)</t>
        </is>
      </c>
      <c r="V2" s="12" t="inlineStr">
        <is>
          <t>Q1 2025
(2025-01-01)</t>
        </is>
      </c>
      <c r="W2" s="12" t="inlineStr">
        <is>
          <t>Q2 2025
(2025-04-01)</t>
        </is>
      </c>
      <c r="X2" s="12" t="inlineStr">
        <is>
          <t>Q3 2025
(2025-07-01)</t>
        </is>
      </c>
      <c r="Y2" s="12" t="inlineStr">
        <is>
          <t>Q4 2025
(2025-10-01)</t>
        </is>
      </c>
      <c r="Z2" s="12" t="inlineStr">
        <is>
          <t>Q1 2026
(2026-01-01)</t>
        </is>
      </c>
      <c r="AA2" s="12" t="inlineStr">
        <is>
          <t>Q2 2026
(2026-04-01)</t>
        </is>
      </c>
    </row>
    <row r="3" ht="18" customHeight="1">
      <c r="A3" s="13" t="inlineStr">
        <is>
          <t>↓ BBG IDs spill below</t>
        </is>
      </c>
      <c r="B3" s="14">
        <f>BDS("TSLL US Equity","OPT_CHAIN","SINGLE_DATE_OVERRIDE","20200101","CHAIN_PUT_CALL_TYPE_OVRD","P")</f>
        <v/>
      </c>
      <c r="C3" s="14">
        <f>BDS("TSLL US Equity","OPT_CHAIN","SINGLE_DATE_OVERRIDE","20200401","CHAIN_PUT_CALL_TYPE_OVRD","P")</f>
        <v/>
      </c>
      <c r="D3" s="14">
        <f>BDS("TSLL US Equity","OPT_CHAIN","SINGLE_DATE_OVERRIDE","20200701","CHAIN_PUT_CALL_TYPE_OVRD","P")</f>
        <v/>
      </c>
      <c r="E3" s="14">
        <f>BDS("TSLL US Equity","OPT_CHAIN","SINGLE_DATE_OVERRIDE","20201001","CHAIN_PUT_CALL_TYPE_OVRD","P")</f>
        <v/>
      </c>
      <c r="F3" s="14">
        <f>BDS("TSLL US Equity","OPT_CHAIN","SINGLE_DATE_OVERRIDE","20210101","CHAIN_PUT_CALL_TYPE_OVRD","P")</f>
        <v/>
      </c>
      <c r="G3" s="14">
        <f>BDS("TSLL US Equity","OPT_CHAIN","SINGLE_DATE_OVERRIDE","20210401","CHAIN_PUT_CALL_TYPE_OVRD","P")</f>
        <v/>
      </c>
      <c r="H3" s="14">
        <f>BDS("TSLL US Equity","OPT_CHAIN","SINGLE_DATE_OVERRIDE","20210701","CHAIN_PUT_CALL_TYPE_OVRD","P")</f>
        <v/>
      </c>
      <c r="I3" s="14">
        <f>BDS("TSLL US Equity","OPT_CHAIN","SINGLE_DATE_OVERRIDE","20211001","CHAIN_PUT_CALL_TYPE_OVRD","P")</f>
        <v/>
      </c>
      <c r="J3" s="14">
        <f>BDS("TSLL US Equity","OPT_CHAIN","SINGLE_DATE_OVERRIDE","20220101","CHAIN_PUT_CALL_TYPE_OVRD","P")</f>
        <v/>
      </c>
      <c r="K3" s="14">
        <f>BDS("TSLL US Equity","OPT_CHAIN","SINGLE_DATE_OVERRIDE","20220401","CHAIN_PUT_CALL_TYPE_OVRD","P")</f>
        <v/>
      </c>
      <c r="L3" s="14">
        <f>BDS("TSLL US Equity","OPT_CHAIN","SINGLE_DATE_OVERRIDE","20220701","CHAIN_PUT_CALL_TYPE_OVRD","P")</f>
        <v/>
      </c>
      <c r="M3" s="14">
        <f>BDS("TSLL US Equity","OPT_CHAIN","SINGLE_DATE_OVERRIDE","20221001","CHAIN_PUT_CALL_TYPE_OVRD","P")</f>
        <v/>
      </c>
      <c r="N3" s="14">
        <f>BDS("TSLL US Equity","OPT_CHAIN","SINGLE_DATE_OVERRIDE","20230101","CHAIN_PUT_CALL_TYPE_OVRD","P")</f>
        <v/>
      </c>
      <c r="O3" s="14">
        <f>BDS("TSLL US Equity","OPT_CHAIN","SINGLE_DATE_OVERRIDE","20230401","CHAIN_PUT_CALL_TYPE_OVRD","P")</f>
        <v/>
      </c>
      <c r="P3" s="14">
        <f>BDS("TSLL US Equity","OPT_CHAIN","SINGLE_DATE_OVERRIDE","20230701","CHAIN_PUT_CALL_TYPE_OVRD","P")</f>
        <v/>
      </c>
      <c r="Q3" s="14">
        <f>BDS("TSLL US Equity","OPT_CHAIN","SINGLE_DATE_OVERRIDE","20231001","CHAIN_PUT_CALL_TYPE_OVRD","P")</f>
        <v/>
      </c>
      <c r="R3" s="14">
        <f>BDS("TSLL US Equity","OPT_CHAIN","SINGLE_DATE_OVERRIDE","20240101","CHAIN_PUT_CALL_TYPE_OVRD","P")</f>
        <v/>
      </c>
      <c r="S3" s="14">
        <f>BDS("TSLL US Equity","OPT_CHAIN","SINGLE_DATE_OVERRIDE","20240401","CHAIN_PUT_CALL_TYPE_OVRD","P")</f>
        <v/>
      </c>
      <c r="T3" s="14">
        <f>BDS("TSLL US Equity","OPT_CHAIN","SINGLE_DATE_OVERRIDE","20240701","CHAIN_PUT_CALL_TYPE_OVRD","P")</f>
        <v/>
      </c>
      <c r="U3" s="14">
        <f>BDS("TSLL US Equity","OPT_CHAIN","SINGLE_DATE_OVERRIDE","20241001","CHAIN_PUT_CALL_TYPE_OVRD","P")</f>
        <v/>
      </c>
      <c r="V3" s="14">
        <f>BDS("TSLL US Equity","OPT_CHAIN","SINGLE_DATE_OVERRIDE","20250101","CHAIN_PUT_CALL_TYPE_OVRD","P")</f>
        <v/>
      </c>
      <c r="W3" s="14">
        <f>BDS("TSLL US Equity","OPT_CHAIN","SINGLE_DATE_OVERRIDE","20250401","CHAIN_PUT_CALL_TYPE_OVRD","P")</f>
        <v/>
      </c>
      <c r="X3" s="14">
        <f>BDS("TSLL US Equity","OPT_CHAIN","SINGLE_DATE_OVERRIDE","20250701","CHAIN_PUT_CALL_TYPE_OVRD","P")</f>
        <v/>
      </c>
      <c r="Y3" s="14">
        <f>BDS("TSLL US Equity","OPT_CHAIN","SINGLE_DATE_OVERRIDE","20251001","CHAIN_PUT_CALL_TYPE_OVRD","P")</f>
        <v/>
      </c>
      <c r="Z3" s="14">
        <f>BDS("TSLL US Equity","OPT_CHAIN","SINGLE_DATE_OVERRIDE","20260101","CHAIN_PUT_CALL_TYPE_OVRD","P")</f>
        <v/>
      </c>
      <c r="AA3" s="14">
        <f>BDS("TSLL US Equity","OPT_CHAIN","SINGLE_DATE_OVERRIDE","20260401","CHAIN_PUT_CALL_TYPE_OVRD","P")</f>
        <v/>
      </c>
    </row>
    <row r="4"/>
  </sheetData>
  <mergeCells count="1">
    <mergeCell ref="A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2026-07-18T23:12:00Z</dcterms:created>
  <dcterms:modified xsi:type="dcterms:W3CDTF">2026-07-18T23:12:00Z</dcterms:modified>
</cp:coreProperties>
</file>