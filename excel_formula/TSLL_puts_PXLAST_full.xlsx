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curities" sheetId="1" state="visible" r:id="rId1"/>
    <sheet name="Instructions" sheetId="2" state="visible" r:id="rId2"/>
    <sheet name="Batch_01" sheetId="3" state="visible" r:id="rId3"/>
    <sheet name="Batch_02" sheetId="4" state="visible" r:id="rId4"/>
    <sheet name="Batch_03" sheetId="5" state="visible" r:id="rId5"/>
    <sheet name="Batch_04" sheetId="6" state="visible" r:id="rId6"/>
    <sheet name="Batch_05" sheetId="7" state="visible" r:id="rId7"/>
    <sheet name="Batch_06" sheetId="8" state="visible" r:id="rId8"/>
    <sheet name="Batch_07" sheetId="9" state="visible" r:id="rId9"/>
    <sheet name="Batch_08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14"/>
  <sheetViews>
    <sheetView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12" customWidth="1" min="3" max="3"/>
    <col width="10" customWidth="1" min="4" max="4"/>
    <col width="14" customWidth="1" min="5" max="5"/>
  </cols>
  <sheetData>
    <row r="1">
      <c r="A1" s="1" t="inlineStr">
        <is>
          <t>RAW_ID</t>
        </is>
      </c>
      <c r="B1" s="1" t="inlineStr">
        <is>
          <t>DESCRIPTION</t>
        </is>
      </c>
      <c r="C1" s="1" t="inlineStr">
        <is>
          <t>EXPIRY</t>
        </is>
      </c>
      <c r="D1" s="1" t="inlineStr">
        <is>
          <t>STRIKE</t>
        </is>
      </c>
      <c r="E1" s="1" t="inlineStr">
        <is>
          <t>FIGI</t>
        </is>
      </c>
    </row>
    <row r="2">
      <c r="A2" t="inlineStr">
        <is>
          <t>BBG0199KSM51 Equity</t>
        </is>
      </c>
      <c r="B2" t="inlineStr">
        <is>
          <t>TSLL US 10/21/22 P15</t>
        </is>
      </c>
      <c r="C2" t="inlineStr">
        <is>
          <t>2022-10-21</t>
        </is>
      </c>
      <c r="D2" t="n">
        <v>15</v>
      </c>
      <c r="E2" t="inlineStr">
        <is>
          <t>BBG0199KSM51</t>
        </is>
      </c>
    </row>
    <row r="3">
      <c r="A3" t="inlineStr">
        <is>
          <t>BBG0198P70B5 Equity</t>
        </is>
      </c>
      <c r="B3" t="inlineStr">
        <is>
          <t>TSLL US 10/21/22 P17</t>
        </is>
      </c>
      <c r="C3" t="inlineStr">
        <is>
          <t>2022-10-21</t>
        </is>
      </c>
      <c r="D3" t="n">
        <v>17</v>
      </c>
      <c r="E3" t="inlineStr">
        <is>
          <t>BBG0198P70B5</t>
        </is>
      </c>
    </row>
    <row r="4">
      <c r="A4" t="inlineStr">
        <is>
          <t>BBG0198P70L4 Equity</t>
        </is>
      </c>
      <c r="B4" t="inlineStr">
        <is>
          <t>TSLL US 10/21/22 P18</t>
        </is>
      </c>
      <c r="C4" t="inlineStr">
        <is>
          <t>2022-10-21</t>
        </is>
      </c>
      <c r="D4" t="n">
        <v>18</v>
      </c>
      <c r="E4" t="inlineStr">
        <is>
          <t>BBG0198P70L4</t>
        </is>
      </c>
    </row>
    <row r="5">
      <c r="A5" t="inlineStr">
        <is>
          <t>BBG0198P70V3 Equity</t>
        </is>
      </c>
      <c r="B5" t="inlineStr">
        <is>
          <t>TSLL US 10/21/22 P19</t>
        </is>
      </c>
      <c r="C5" t="inlineStr">
        <is>
          <t>2022-10-21</t>
        </is>
      </c>
      <c r="D5" t="n">
        <v>19</v>
      </c>
      <c r="E5" t="inlineStr">
        <is>
          <t>BBG0198P70V3</t>
        </is>
      </c>
    </row>
    <row r="6">
      <c r="A6" t="inlineStr">
        <is>
          <t>BBG0198P7132 Equity</t>
        </is>
      </c>
      <c r="B6" t="inlineStr">
        <is>
          <t>TSLL US 10/21/22 P20</t>
        </is>
      </c>
      <c r="C6" t="inlineStr">
        <is>
          <t>2022-10-21</t>
        </is>
      </c>
      <c r="D6" t="n">
        <v>20</v>
      </c>
      <c r="E6" t="inlineStr">
        <is>
          <t>BBG0198P7132</t>
        </is>
      </c>
    </row>
    <row r="7">
      <c r="A7" t="inlineStr">
        <is>
          <t>BBG0198P71C2 Equity</t>
        </is>
      </c>
      <c r="B7" t="inlineStr">
        <is>
          <t>TSLL US 10/21/22 P21</t>
        </is>
      </c>
      <c r="C7" t="inlineStr">
        <is>
          <t>2022-10-21</t>
        </is>
      </c>
      <c r="D7" t="n">
        <v>21</v>
      </c>
      <c r="E7" t="inlineStr">
        <is>
          <t>BBG0198P71C2</t>
        </is>
      </c>
    </row>
    <row r="8">
      <c r="A8" t="inlineStr">
        <is>
          <t>BBG0198P71M1 Equity</t>
        </is>
      </c>
      <c r="B8" t="inlineStr">
        <is>
          <t>TSLL US 10/21/22 P22</t>
        </is>
      </c>
      <c r="C8" t="inlineStr">
        <is>
          <t>2022-10-21</t>
        </is>
      </c>
      <c r="D8" t="n">
        <v>22</v>
      </c>
      <c r="E8" t="inlineStr">
        <is>
          <t>BBG0198P71M1</t>
        </is>
      </c>
    </row>
    <row r="9">
      <c r="A9" t="inlineStr">
        <is>
          <t>BBG0198P71W0 Equity</t>
        </is>
      </c>
      <c r="B9" t="inlineStr">
        <is>
          <t>TSLL US 10/21/22 P23</t>
        </is>
      </c>
      <c r="C9" t="inlineStr">
        <is>
          <t>2022-10-21</t>
        </is>
      </c>
      <c r="D9" t="n">
        <v>23</v>
      </c>
      <c r="E9" t="inlineStr">
        <is>
          <t>BBG0198P71W0</t>
        </is>
      </c>
    </row>
    <row r="10">
      <c r="A10" t="inlineStr">
        <is>
          <t>BBG0198P7249 Equity</t>
        </is>
      </c>
      <c r="B10" t="inlineStr">
        <is>
          <t>TSLL US 10/21/22 P24</t>
        </is>
      </c>
      <c r="C10" t="inlineStr">
        <is>
          <t>2022-10-21</t>
        </is>
      </c>
      <c r="D10" t="n">
        <v>24</v>
      </c>
      <c r="E10" t="inlineStr">
        <is>
          <t>BBG0198P7249</t>
        </is>
      </c>
    </row>
    <row r="11">
      <c r="A11" t="inlineStr">
        <is>
          <t>BBG0198P72F7 Equity</t>
        </is>
      </c>
      <c r="B11" t="inlineStr">
        <is>
          <t>TSLL US 10/21/22 P25</t>
        </is>
      </c>
      <c r="C11" t="inlineStr">
        <is>
          <t>2022-10-21</t>
        </is>
      </c>
      <c r="D11" t="n">
        <v>25</v>
      </c>
      <c r="E11" t="inlineStr">
        <is>
          <t>BBG0198P72F7</t>
        </is>
      </c>
    </row>
    <row r="12">
      <c r="A12" t="inlineStr">
        <is>
          <t>BBG0198P72P6 Equity</t>
        </is>
      </c>
      <c r="B12" t="inlineStr">
        <is>
          <t>TSLL US 10/21/22 P26</t>
        </is>
      </c>
      <c r="C12" t="inlineStr">
        <is>
          <t>2022-10-21</t>
        </is>
      </c>
      <c r="D12" t="n">
        <v>26</v>
      </c>
      <c r="E12" t="inlineStr">
        <is>
          <t>BBG0198P72P6</t>
        </is>
      </c>
    </row>
    <row r="13">
      <c r="A13" t="inlineStr">
        <is>
          <t>BBG0198P72Y6 Equity</t>
        </is>
      </c>
      <c r="B13" t="inlineStr">
        <is>
          <t>TSLL US 10/21/22 P27</t>
        </is>
      </c>
      <c r="C13" t="inlineStr">
        <is>
          <t>2022-10-21</t>
        </is>
      </c>
      <c r="D13" t="n">
        <v>27</v>
      </c>
      <c r="E13" t="inlineStr">
        <is>
          <t>BBG0198P72Y6</t>
        </is>
      </c>
    </row>
    <row r="14">
      <c r="A14" t="inlineStr">
        <is>
          <t>BBG0198P7365 Equity</t>
        </is>
      </c>
      <c r="B14" t="inlineStr">
        <is>
          <t>TSLL US 10/21/22 P28</t>
        </is>
      </c>
      <c r="C14" t="inlineStr">
        <is>
          <t>2022-10-21</t>
        </is>
      </c>
      <c r="D14" t="n">
        <v>28</v>
      </c>
      <c r="E14" t="inlineStr">
        <is>
          <t>BBG0198P7365</t>
        </is>
      </c>
    </row>
    <row r="15">
      <c r="A15" t="inlineStr">
        <is>
          <t>BBG0198P73G4 Equity</t>
        </is>
      </c>
      <c r="B15" t="inlineStr">
        <is>
          <t>TSLL US 10/21/22 P29</t>
        </is>
      </c>
      <c r="C15" t="inlineStr">
        <is>
          <t>2022-10-21</t>
        </is>
      </c>
      <c r="D15" t="n">
        <v>29</v>
      </c>
      <c r="E15" t="inlineStr">
        <is>
          <t>BBG0198P73G4</t>
        </is>
      </c>
    </row>
    <row r="16">
      <c r="A16" t="inlineStr">
        <is>
          <t>BBG0198P73Q3 Equity</t>
        </is>
      </c>
      <c r="B16" t="inlineStr">
        <is>
          <t>TSLL US 10/21/22 P30</t>
        </is>
      </c>
      <c r="C16" t="inlineStr">
        <is>
          <t>2022-10-21</t>
        </is>
      </c>
      <c r="D16" t="n">
        <v>30</v>
      </c>
      <c r="E16" t="inlineStr">
        <is>
          <t>BBG0198P73Q3</t>
        </is>
      </c>
    </row>
    <row r="17">
      <c r="A17" t="inlineStr">
        <is>
          <t>BBG0198P73Z3 Equity</t>
        </is>
      </c>
      <c r="B17" t="inlineStr">
        <is>
          <t>TSLL US 10/21/22 P31</t>
        </is>
      </c>
      <c r="C17" t="inlineStr">
        <is>
          <t>2022-10-21</t>
        </is>
      </c>
      <c r="D17" t="n">
        <v>31</v>
      </c>
      <c r="E17" t="inlineStr">
        <is>
          <t>BBG0198P73Z3</t>
        </is>
      </c>
    </row>
    <row r="18">
      <c r="A18" t="inlineStr">
        <is>
          <t>BBG0198P7472 Equity</t>
        </is>
      </c>
      <c r="B18" t="inlineStr">
        <is>
          <t>TSLL US 10/21/22 P32</t>
        </is>
      </c>
      <c r="C18" t="inlineStr">
        <is>
          <t>2022-10-21</t>
        </is>
      </c>
      <c r="D18" t="n">
        <v>32</v>
      </c>
      <c r="E18" t="inlineStr">
        <is>
          <t>BBG0198P7472</t>
        </is>
      </c>
    </row>
    <row r="19">
      <c r="A19" t="inlineStr">
        <is>
          <t>BBG0198P74H1 Equity</t>
        </is>
      </c>
      <c r="B19" t="inlineStr">
        <is>
          <t>TSLL US 10/21/22 P33</t>
        </is>
      </c>
      <c r="C19" t="inlineStr">
        <is>
          <t>2022-10-21</t>
        </is>
      </c>
      <c r="D19" t="n">
        <v>33</v>
      </c>
      <c r="E19" t="inlineStr">
        <is>
          <t>BBG0198P74H1</t>
        </is>
      </c>
    </row>
    <row r="20">
      <c r="A20" t="inlineStr">
        <is>
          <t>BBG0198P74R0 Equity</t>
        </is>
      </c>
      <c r="B20" t="inlineStr">
        <is>
          <t>TSLL US 10/21/22 P34</t>
        </is>
      </c>
      <c r="C20" t="inlineStr">
        <is>
          <t>2022-10-21</t>
        </is>
      </c>
      <c r="D20" t="n">
        <v>34</v>
      </c>
      <c r="E20" t="inlineStr">
        <is>
          <t>BBG0198P74R0</t>
        </is>
      </c>
    </row>
    <row r="21">
      <c r="A21" t="inlineStr">
        <is>
          <t>BBG0198P7506 Equity</t>
        </is>
      </c>
      <c r="B21" t="inlineStr">
        <is>
          <t>TSLL US 10/21/22 P35</t>
        </is>
      </c>
      <c r="C21" t="inlineStr">
        <is>
          <t>2022-10-21</t>
        </is>
      </c>
      <c r="D21" t="n">
        <v>35</v>
      </c>
      <c r="E21" t="inlineStr">
        <is>
          <t>BBG0198P7506</t>
        </is>
      </c>
    </row>
    <row r="22">
      <c r="A22" t="inlineStr">
        <is>
          <t>BBG0198P7588 Equity</t>
        </is>
      </c>
      <c r="B22" t="inlineStr">
        <is>
          <t>TSLL US 10/21/22 P36</t>
        </is>
      </c>
      <c r="C22" t="inlineStr">
        <is>
          <t>2022-10-21</t>
        </is>
      </c>
      <c r="D22" t="n">
        <v>36</v>
      </c>
      <c r="E22" t="inlineStr">
        <is>
          <t>BBG0198P7588</t>
        </is>
      </c>
    </row>
    <row r="23">
      <c r="A23" t="inlineStr">
        <is>
          <t>BBG0198P75J6 Equity</t>
        </is>
      </c>
      <c r="B23" t="inlineStr">
        <is>
          <t>TSLL US 10/21/22 P37</t>
        </is>
      </c>
      <c r="C23" t="inlineStr">
        <is>
          <t>2022-10-21</t>
        </is>
      </c>
      <c r="D23" t="n">
        <v>37</v>
      </c>
      <c r="E23" t="inlineStr">
        <is>
          <t>BBG0198P75J6</t>
        </is>
      </c>
    </row>
    <row r="24">
      <c r="A24" t="inlineStr">
        <is>
          <t>BBG019RDSKB4 Equity</t>
        </is>
      </c>
      <c r="B24" t="inlineStr">
        <is>
          <t>TSLL US 10/21/22 P40</t>
        </is>
      </c>
      <c r="C24" t="inlineStr">
        <is>
          <t>2022-10-21</t>
        </is>
      </c>
      <c r="D24" t="n">
        <v>40</v>
      </c>
      <c r="E24" t="inlineStr">
        <is>
          <t>BBG019RDSKB4</t>
        </is>
      </c>
    </row>
    <row r="25">
      <c r="A25" t="inlineStr">
        <is>
          <t>BBG019P3V741 Equity</t>
        </is>
      </c>
      <c r="B25" t="inlineStr">
        <is>
          <t>TSLL US 11/18/22 P15</t>
        </is>
      </c>
      <c r="C25" t="inlineStr">
        <is>
          <t>2022-11-18</t>
        </is>
      </c>
      <c r="D25" t="n">
        <v>15</v>
      </c>
      <c r="E25" t="inlineStr">
        <is>
          <t>BBG019P3V741</t>
        </is>
      </c>
    </row>
    <row r="26">
      <c r="A26" t="inlineStr">
        <is>
          <t>BBG019P3V7P8 Equity</t>
        </is>
      </c>
      <c r="B26" t="inlineStr">
        <is>
          <t>TSLL US 11/18/22 P16</t>
        </is>
      </c>
      <c r="C26" t="inlineStr">
        <is>
          <t>2022-11-18</t>
        </is>
      </c>
      <c r="D26" t="n">
        <v>16</v>
      </c>
      <c r="E26" t="inlineStr">
        <is>
          <t>BBG019P3V7P8</t>
        </is>
      </c>
    </row>
    <row r="27">
      <c r="A27" t="inlineStr">
        <is>
          <t>BBG019P3V867 Equity</t>
        </is>
      </c>
      <c r="B27" t="inlineStr">
        <is>
          <t>TSLL US 11/18/22 P17</t>
        </is>
      </c>
      <c r="C27" t="inlineStr">
        <is>
          <t>2022-11-18</t>
        </is>
      </c>
      <c r="D27" t="n">
        <v>17</v>
      </c>
      <c r="E27" t="inlineStr">
        <is>
          <t>BBG019P3V867</t>
        </is>
      </c>
    </row>
    <row r="28">
      <c r="A28" t="inlineStr">
        <is>
          <t>BBG019P3V8Q5 Equity</t>
        </is>
      </c>
      <c r="B28" t="inlineStr">
        <is>
          <t>TSLL US 11/18/22 P18</t>
        </is>
      </c>
      <c r="C28" t="inlineStr">
        <is>
          <t>2022-11-18</t>
        </is>
      </c>
      <c r="D28" t="n">
        <v>18</v>
      </c>
      <c r="E28" t="inlineStr">
        <is>
          <t>BBG019P3V8Q5</t>
        </is>
      </c>
    </row>
    <row r="29">
      <c r="A29" t="inlineStr">
        <is>
          <t>BBG019P3V974 Equity</t>
        </is>
      </c>
      <c r="B29" t="inlineStr">
        <is>
          <t>TSLL US 11/18/22 P19</t>
        </is>
      </c>
      <c r="C29" t="inlineStr">
        <is>
          <t>2022-11-18</t>
        </is>
      </c>
      <c r="D29" t="n">
        <v>19</v>
      </c>
      <c r="E29" t="inlineStr">
        <is>
          <t>BBG019P3V974</t>
        </is>
      </c>
    </row>
    <row r="30">
      <c r="A30" t="inlineStr">
        <is>
          <t>BBG019P3V9R2 Equity</t>
        </is>
      </c>
      <c r="B30" t="inlineStr">
        <is>
          <t>TSLL US 11/18/22 P20</t>
        </is>
      </c>
      <c r="C30" t="inlineStr">
        <is>
          <t>2022-11-18</t>
        </is>
      </c>
      <c r="D30" t="n">
        <v>20</v>
      </c>
      <c r="E30" t="inlineStr">
        <is>
          <t>BBG019P3V9R2</t>
        </is>
      </c>
    </row>
    <row r="31">
      <c r="A31" t="inlineStr">
        <is>
          <t>BBG019P3VB88 Equity</t>
        </is>
      </c>
      <c r="B31" t="inlineStr">
        <is>
          <t>TSLL US 11/18/22 P21</t>
        </is>
      </c>
      <c r="C31" t="inlineStr">
        <is>
          <t>2022-11-18</t>
        </is>
      </c>
      <c r="D31" t="n">
        <v>21</v>
      </c>
      <c r="E31" t="inlineStr">
        <is>
          <t>BBG019P3VB88</t>
        </is>
      </c>
    </row>
    <row r="32">
      <c r="A32" t="inlineStr">
        <is>
          <t>BBG019P3VBS6 Equity</t>
        </is>
      </c>
      <c r="B32" t="inlineStr">
        <is>
          <t>TSLL US 11/18/22 P22</t>
        </is>
      </c>
      <c r="C32" t="inlineStr">
        <is>
          <t>2022-11-18</t>
        </is>
      </c>
      <c r="D32" t="n">
        <v>22</v>
      </c>
      <c r="E32" t="inlineStr">
        <is>
          <t>BBG019P3VBS6</t>
        </is>
      </c>
    </row>
    <row r="33">
      <c r="A33" t="inlineStr">
        <is>
          <t>BBG019P3VCB2 Equity</t>
        </is>
      </c>
      <c r="B33" t="inlineStr">
        <is>
          <t>TSLL US 11/18/22 P23</t>
        </is>
      </c>
      <c r="C33" t="inlineStr">
        <is>
          <t>2022-11-18</t>
        </is>
      </c>
      <c r="D33" t="n">
        <v>23</v>
      </c>
      <c r="E33" t="inlineStr">
        <is>
          <t>BBG019P3VCB2</t>
        </is>
      </c>
    </row>
    <row r="34">
      <c r="A34" t="inlineStr">
        <is>
          <t>BBG019P3VCV0 Equity</t>
        </is>
      </c>
      <c r="B34" t="inlineStr">
        <is>
          <t>TSLL US 11/18/22 P24</t>
        </is>
      </c>
      <c r="C34" t="inlineStr">
        <is>
          <t>2022-11-18</t>
        </is>
      </c>
      <c r="D34" t="n">
        <v>24</v>
      </c>
      <c r="E34" t="inlineStr">
        <is>
          <t>BBG019P3VCV0</t>
        </is>
      </c>
    </row>
    <row r="35">
      <c r="A35" t="inlineStr">
        <is>
          <t>BBG019P3VDC9 Equity</t>
        </is>
      </c>
      <c r="B35" t="inlineStr">
        <is>
          <t>TSLL US 11/18/22 P25</t>
        </is>
      </c>
      <c r="C35" t="inlineStr">
        <is>
          <t>2022-11-18</t>
        </is>
      </c>
      <c r="D35" t="n">
        <v>25</v>
      </c>
      <c r="E35" t="inlineStr">
        <is>
          <t>BBG019P3VDC9</t>
        </is>
      </c>
    </row>
    <row r="36">
      <c r="A36" t="inlineStr">
        <is>
          <t>BBG019P3VDW7 Equity</t>
        </is>
      </c>
      <c r="B36" t="inlineStr">
        <is>
          <t>TSLL US 11/18/22 P26</t>
        </is>
      </c>
      <c r="C36" t="inlineStr">
        <is>
          <t>2022-11-18</t>
        </is>
      </c>
      <c r="D36" t="n">
        <v>26</v>
      </c>
      <c r="E36" t="inlineStr">
        <is>
          <t>BBG019P3VDW7</t>
        </is>
      </c>
    </row>
    <row r="37">
      <c r="A37" t="inlineStr">
        <is>
          <t>BBG019P3VFD3 Equity</t>
        </is>
      </c>
      <c r="B37" t="inlineStr">
        <is>
          <t>TSLL US 11/18/22 P27</t>
        </is>
      </c>
      <c r="C37" t="inlineStr">
        <is>
          <t>2022-11-18</t>
        </is>
      </c>
      <c r="D37" t="n">
        <v>27</v>
      </c>
      <c r="E37" t="inlineStr">
        <is>
          <t>BBG019P3VFD3</t>
        </is>
      </c>
    </row>
    <row r="38">
      <c r="A38" t="inlineStr">
        <is>
          <t>BBG019P3VFX1 Equity</t>
        </is>
      </c>
      <c r="B38" t="inlineStr">
        <is>
          <t>TSLL US 11/18/22 P28</t>
        </is>
      </c>
      <c r="C38" t="inlineStr">
        <is>
          <t>2022-11-18</t>
        </is>
      </c>
      <c r="D38" t="n">
        <v>28</v>
      </c>
      <c r="E38" t="inlineStr">
        <is>
          <t>BBG019P3VFX1</t>
        </is>
      </c>
    </row>
    <row r="39">
      <c r="A39" t="inlineStr">
        <is>
          <t>BBG019P3VGG8 Equity</t>
        </is>
      </c>
      <c r="B39" t="inlineStr">
        <is>
          <t>TSLL US 11/18/22 P29</t>
        </is>
      </c>
      <c r="C39" t="inlineStr">
        <is>
          <t>2022-11-18</t>
        </is>
      </c>
      <c r="D39" t="n">
        <v>29</v>
      </c>
      <c r="E39" t="inlineStr">
        <is>
          <t>BBG019P3VGG8</t>
        </is>
      </c>
    </row>
    <row r="40">
      <c r="A40" t="inlineStr">
        <is>
          <t>BBG019P3VGZ7 Equity</t>
        </is>
      </c>
      <c r="B40" t="inlineStr">
        <is>
          <t>TSLL US 11/18/22 P30</t>
        </is>
      </c>
      <c r="C40" t="inlineStr">
        <is>
          <t>2022-11-18</t>
        </is>
      </c>
      <c r="D40" t="n">
        <v>30</v>
      </c>
      <c r="E40" t="inlineStr">
        <is>
          <t>BBG019P3VGZ7</t>
        </is>
      </c>
    </row>
    <row r="41">
      <c r="A41" t="inlineStr">
        <is>
          <t>BBG019P3VHH5 Equity</t>
        </is>
      </c>
      <c r="B41" t="inlineStr">
        <is>
          <t>TSLL US 11/18/22 P31</t>
        </is>
      </c>
      <c r="C41" t="inlineStr">
        <is>
          <t>2022-11-18</t>
        </is>
      </c>
      <c r="D41" t="n">
        <v>31</v>
      </c>
      <c r="E41" t="inlineStr">
        <is>
          <t>BBG019P3VHH5</t>
        </is>
      </c>
    </row>
    <row r="42">
      <c r="A42" t="inlineStr">
        <is>
          <t>BBG019P3VJ09 Equity</t>
        </is>
      </c>
      <c r="B42" t="inlineStr">
        <is>
          <t>TSLL US 11/18/22 P32</t>
        </is>
      </c>
      <c r="C42" t="inlineStr">
        <is>
          <t>2022-11-18</t>
        </is>
      </c>
      <c r="D42" t="n">
        <v>32</v>
      </c>
      <c r="E42" t="inlineStr">
        <is>
          <t>BBG019P3VJ09</t>
        </is>
      </c>
    </row>
    <row r="43">
      <c r="A43" t="inlineStr">
        <is>
          <t>BBG019P3VJJ9 Equity</t>
        </is>
      </c>
      <c r="B43" t="inlineStr">
        <is>
          <t>TSLL US 11/18/22 P33</t>
        </is>
      </c>
      <c r="C43" t="inlineStr">
        <is>
          <t>2022-11-18</t>
        </is>
      </c>
      <c r="D43" t="n">
        <v>33</v>
      </c>
      <c r="E43" t="inlineStr">
        <is>
          <t>BBG019P3VJJ9</t>
        </is>
      </c>
    </row>
    <row r="44">
      <c r="A44" t="inlineStr">
        <is>
          <t>BBG019P3VK15 Equity</t>
        </is>
      </c>
      <c r="B44" t="inlineStr">
        <is>
          <t>TSLL US 11/18/22 P34</t>
        </is>
      </c>
      <c r="C44" t="inlineStr">
        <is>
          <t>2022-11-18</t>
        </is>
      </c>
      <c r="D44" t="n">
        <v>34</v>
      </c>
      <c r="E44" t="inlineStr">
        <is>
          <t>BBG019P3VK15</t>
        </is>
      </c>
    </row>
    <row r="45">
      <c r="A45" t="inlineStr">
        <is>
          <t>BBG019P3VKL3 Equity</t>
        </is>
      </c>
      <c r="B45" t="inlineStr">
        <is>
          <t>TSLL US 11/18/22 P35</t>
        </is>
      </c>
      <c r="C45" t="inlineStr">
        <is>
          <t>2022-11-18</t>
        </is>
      </c>
      <c r="D45" t="n">
        <v>35</v>
      </c>
      <c r="E45" t="inlineStr">
        <is>
          <t>BBG019P3VKL3</t>
        </is>
      </c>
    </row>
    <row r="46">
      <c r="A46" t="inlineStr">
        <is>
          <t>BBG019RDSKV2 Equity</t>
        </is>
      </c>
      <c r="B46" t="inlineStr">
        <is>
          <t>TSLL US 11/18/22 P40</t>
        </is>
      </c>
      <c r="C46" t="inlineStr">
        <is>
          <t>2022-11-18</t>
        </is>
      </c>
      <c r="D46" t="n">
        <v>40</v>
      </c>
      <c r="E46" t="inlineStr">
        <is>
          <t>BBG019RDSKV2</t>
        </is>
      </c>
    </row>
    <row r="47">
      <c r="A47" t="inlineStr">
        <is>
          <t>BBG01949S2N5 Equity</t>
        </is>
      </c>
      <c r="B47" t="inlineStr">
        <is>
          <t>TSLL US 12/16/22 P15</t>
        </is>
      </c>
      <c r="C47" t="inlineStr">
        <is>
          <t>2022-12-16</t>
        </is>
      </c>
      <c r="D47" t="n">
        <v>15</v>
      </c>
      <c r="E47" t="inlineStr">
        <is>
          <t>BBG01949S2N5</t>
        </is>
      </c>
    </row>
    <row r="48">
      <c r="A48" t="inlineStr">
        <is>
          <t>BBG01949S2X4 Equity</t>
        </is>
      </c>
      <c r="B48" t="inlineStr">
        <is>
          <t>TSLL US 12/16/22 P16</t>
        </is>
      </c>
      <c r="C48" t="inlineStr">
        <is>
          <t>2022-12-16</t>
        </is>
      </c>
      <c r="D48" t="n">
        <v>16</v>
      </c>
      <c r="E48" t="inlineStr">
        <is>
          <t>BBG01949S2X4</t>
        </is>
      </c>
    </row>
    <row r="49">
      <c r="A49" t="inlineStr">
        <is>
          <t>BBG01949S353 Equity</t>
        </is>
      </c>
      <c r="B49" t="inlineStr">
        <is>
          <t>TSLL US 12/16/22 P17</t>
        </is>
      </c>
      <c r="C49" t="inlineStr">
        <is>
          <t>2022-12-16</t>
        </is>
      </c>
      <c r="D49" t="n">
        <v>17</v>
      </c>
      <c r="E49" t="inlineStr">
        <is>
          <t>BBG01949S353</t>
        </is>
      </c>
    </row>
    <row r="50">
      <c r="A50" t="inlineStr">
        <is>
          <t>BBG01949S3F2 Equity</t>
        </is>
      </c>
      <c r="B50" t="inlineStr">
        <is>
          <t>TSLL US 12/16/22 P18</t>
        </is>
      </c>
      <c r="C50" t="inlineStr">
        <is>
          <t>2022-12-16</t>
        </is>
      </c>
      <c r="D50" t="n">
        <v>18</v>
      </c>
      <c r="E50" t="inlineStr">
        <is>
          <t>BBG01949S3F2</t>
        </is>
      </c>
    </row>
    <row r="51">
      <c r="A51" t="inlineStr">
        <is>
          <t>BBG01949S3P1 Equity</t>
        </is>
      </c>
      <c r="B51" t="inlineStr">
        <is>
          <t>TSLL US 12/16/22 P19</t>
        </is>
      </c>
      <c r="C51" t="inlineStr">
        <is>
          <t>2022-12-16</t>
        </is>
      </c>
      <c r="D51" t="n">
        <v>19</v>
      </c>
      <c r="E51" t="inlineStr">
        <is>
          <t>BBG01949S3P1</t>
        </is>
      </c>
    </row>
    <row r="52">
      <c r="A52" t="inlineStr">
        <is>
          <t>BBG01949S3Y1 Equity</t>
        </is>
      </c>
      <c r="B52" t="inlineStr">
        <is>
          <t>TSLL US 12/16/22 P20</t>
        </is>
      </c>
      <c r="C52" t="inlineStr">
        <is>
          <t>2022-12-16</t>
        </is>
      </c>
      <c r="D52" t="n">
        <v>20</v>
      </c>
      <c r="E52" t="inlineStr">
        <is>
          <t>BBG01949S3Y1</t>
        </is>
      </c>
    </row>
    <row r="53">
      <c r="A53" t="inlineStr">
        <is>
          <t>BBG01949S460 Equity</t>
        </is>
      </c>
      <c r="B53" t="inlineStr">
        <is>
          <t>TSLL US 12/16/22 P21</t>
        </is>
      </c>
      <c r="C53" t="inlineStr">
        <is>
          <t>2022-12-16</t>
        </is>
      </c>
      <c r="D53" t="n">
        <v>21</v>
      </c>
      <c r="E53" t="inlineStr">
        <is>
          <t>BBG01949S460</t>
        </is>
      </c>
    </row>
    <row r="54">
      <c r="A54" t="inlineStr">
        <is>
          <t>BBG01949S4G9 Equity</t>
        </is>
      </c>
      <c r="B54" t="inlineStr">
        <is>
          <t>TSLL US 12/16/22 P22</t>
        </is>
      </c>
      <c r="C54" t="inlineStr">
        <is>
          <t>2022-12-16</t>
        </is>
      </c>
      <c r="D54" t="n">
        <v>22</v>
      </c>
      <c r="E54" t="inlineStr">
        <is>
          <t>BBG01949S4G9</t>
        </is>
      </c>
    </row>
    <row r="55">
      <c r="A55" t="inlineStr">
        <is>
          <t>BBG01949S4Q8 Equity</t>
        </is>
      </c>
      <c r="B55" t="inlineStr">
        <is>
          <t>TSLL US 12/16/22 P23</t>
        </is>
      </c>
      <c r="C55" t="inlineStr">
        <is>
          <t>2022-12-16</t>
        </is>
      </c>
      <c r="D55" t="n">
        <v>23</v>
      </c>
      <c r="E55" t="inlineStr">
        <is>
          <t>BBG01949S4Q8</t>
        </is>
      </c>
    </row>
    <row r="56">
      <c r="A56" t="inlineStr">
        <is>
          <t>BBG01949S503 Equity</t>
        </is>
      </c>
      <c r="B56" t="inlineStr">
        <is>
          <t>TSLL US 12/16/22 P24</t>
        </is>
      </c>
      <c r="C56" t="inlineStr">
        <is>
          <t>2022-12-16</t>
        </is>
      </c>
      <c r="D56" t="n">
        <v>24</v>
      </c>
      <c r="E56" t="inlineStr">
        <is>
          <t>BBG01949S503</t>
        </is>
      </c>
    </row>
    <row r="57">
      <c r="A57" t="inlineStr">
        <is>
          <t>BBG01949S585 Equity</t>
        </is>
      </c>
      <c r="B57" t="inlineStr">
        <is>
          <t>TSLL US 12/16/22 P25</t>
        </is>
      </c>
      <c r="C57" t="inlineStr">
        <is>
          <t>2022-12-16</t>
        </is>
      </c>
      <c r="D57" t="n">
        <v>25</v>
      </c>
      <c r="E57" t="inlineStr">
        <is>
          <t>BBG01949S585</t>
        </is>
      </c>
    </row>
    <row r="58">
      <c r="A58" t="inlineStr">
        <is>
          <t>BBG01949S5J3 Equity</t>
        </is>
      </c>
      <c r="B58" t="inlineStr">
        <is>
          <t>TSLL US 12/16/22 P26</t>
        </is>
      </c>
      <c r="C58" t="inlineStr">
        <is>
          <t>2022-12-16</t>
        </is>
      </c>
      <c r="D58" t="n">
        <v>26</v>
      </c>
      <c r="E58" t="inlineStr">
        <is>
          <t>BBG01949S5J3</t>
        </is>
      </c>
    </row>
    <row r="59">
      <c r="A59" t="inlineStr">
        <is>
          <t>BBG01949S5S3 Equity</t>
        </is>
      </c>
      <c r="B59" t="inlineStr">
        <is>
          <t>TSLL US 12/16/22 P27</t>
        </is>
      </c>
      <c r="C59" t="inlineStr">
        <is>
          <t>2022-12-16</t>
        </is>
      </c>
      <c r="D59" t="n">
        <v>27</v>
      </c>
      <c r="E59" t="inlineStr">
        <is>
          <t>BBG01949S5S3</t>
        </is>
      </c>
    </row>
    <row r="60">
      <c r="A60" t="inlineStr">
        <is>
          <t>BBG01949S610 Equity</t>
        </is>
      </c>
      <c r="B60" t="inlineStr">
        <is>
          <t>TSLL US 12/16/22 P28</t>
        </is>
      </c>
      <c r="C60" t="inlineStr">
        <is>
          <t>2022-12-16</t>
        </is>
      </c>
      <c r="D60" t="n">
        <v>28</v>
      </c>
      <c r="E60" t="inlineStr">
        <is>
          <t>BBG01949S610</t>
        </is>
      </c>
    </row>
    <row r="61">
      <c r="A61" t="inlineStr">
        <is>
          <t>BBG01949S692 Equity</t>
        </is>
      </c>
      <c r="B61" t="inlineStr">
        <is>
          <t>TSLL US 12/16/22 P29</t>
        </is>
      </c>
      <c r="C61" t="inlineStr">
        <is>
          <t>2022-12-16</t>
        </is>
      </c>
      <c r="D61" t="n">
        <v>29</v>
      </c>
      <c r="E61" t="inlineStr">
        <is>
          <t>BBG01949S692</t>
        </is>
      </c>
    </row>
    <row r="62">
      <c r="A62" t="inlineStr">
        <is>
          <t>BBG01949S6K9 Equity</t>
        </is>
      </c>
      <c r="B62" t="inlineStr">
        <is>
          <t>TSLL US 12/16/22 P30</t>
        </is>
      </c>
      <c r="C62" t="inlineStr">
        <is>
          <t>2022-12-16</t>
        </is>
      </c>
      <c r="D62" t="n">
        <v>30</v>
      </c>
      <c r="E62" t="inlineStr">
        <is>
          <t>BBG01949S6K9</t>
        </is>
      </c>
    </row>
    <row r="63">
      <c r="A63" t="inlineStr">
        <is>
          <t>BBG0199KSMF0 Equity</t>
        </is>
      </c>
      <c r="B63" t="inlineStr">
        <is>
          <t>TSLL US 12/16/22 P35</t>
        </is>
      </c>
      <c r="C63" t="inlineStr">
        <is>
          <t>2022-12-16</t>
        </is>
      </c>
      <c r="D63" t="n">
        <v>35</v>
      </c>
      <c r="E63" t="inlineStr">
        <is>
          <t>BBG0199KSMF0</t>
        </is>
      </c>
    </row>
    <row r="64">
      <c r="A64" t="inlineStr">
        <is>
          <t>BBG019RDSLC1 Equity</t>
        </is>
      </c>
      <c r="B64" t="inlineStr">
        <is>
          <t>TSLL US 12/16/22 P40</t>
        </is>
      </c>
      <c r="C64" t="inlineStr">
        <is>
          <t>2022-12-16</t>
        </is>
      </c>
      <c r="D64" t="n">
        <v>40</v>
      </c>
      <c r="E64" t="inlineStr">
        <is>
          <t>BBG019RDSLC1</t>
        </is>
      </c>
    </row>
    <row r="65">
      <c r="A65" t="inlineStr">
        <is>
          <t>BBG01C5CPPW2 Equity</t>
        </is>
      </c>
      <c r="B65" t="inlineStr">
        <is>
          <t>TSLL US 01/20/23 P1</t>
        </is>
      </c>
      <c r="C65" t="inlineStr">
        <is>
          <t>2023-01-20</t>
        </is>
      </c>
      <c r="D65" t="n">
        <v>1</v>
      </c>
      <c r="E65" t="inlineStr">
        <is>
          <t>BBG01C5CPPW2</t>
        </is>
      </c>
    </row>
    <row r="66">
      <c r="A66" t="inlineStr">
        <is>
          <t>BBG01C5CPQN0 Equity</t>
        </is>
      </c>
      <c r="B66" t="inlineStr">
        <is>
          <t>TSLL US 01/20/23 P2</t>
        </is>
      </c>
      <c r="C66" t="inlineStr">
        <is>
          <t>2023-01-20</t>
        </is>
      </c>
      <c r="D66" t="n">
        <v>2</v>
      </c>
      <c r="E66" t="inlineStr">
        <is>
          <t>BBG01C5CPQN0</t>
        </is>
      </c>
    </row>
    <row r="67">
      <c r="A67" t="inlineStr">
        <is>
          <t>BBG01BL96K28 Equity</t>
        </is>
      </c>
      <c r="B67" t="inlineStr">
        <is>
          <t>TSLL US 01/20/23 P3</t>
        </is>
      </c>
      <c r="C67" t="inlineStr">
        <is>
          <t>2023-01-20</t>
        </is>
      </c>
      <c r="D67" t="n">
        <v>3</v>
      </c>
      <c r="E67" t="inlineStr">
        <is>
          <t>BBG01BL96K28</t>
        </is>
      </c>
    </row>
    <row r="68">
      <c r="A68" t="inlineStr">
        <is>
          <t>BBG01BL96KS0 Equity</t>
        </is>
      </c>
      <c r="B68" t="inlineStr">
        <is>
          <t>TSLL US 01/20/23 P4</t>
        </is>
      </c>
      <c r="C68" t="inlineStr">
        <is>
          <t>2023-01-20</t>
        </is>
      </c>
      <c r="D68" t="n">
        <v>4</v>
      </c>
      <c r="E68" t="inlineStr">
        <is>
          <t>BBG01BL96KS0</t>
        </is>
      </c>
    </row>
    <row r="69">
      <c r="A69" t="inlineStr">
        <is>
          <t>BBG01BL96LH0 Equity</t>
        </is>
      </c>
      <c r="B69" t="inlineStr">
        <is>
          <t>TSLL US 01/20/23 P5</t>
        </is>
      </c>
      <c r="C69" t="inlineStr">
        <is>
          <t>2023-01-20</t>
        </is>
      </c>
      <c r="D69" t="n">
        <v>5</v>
      </c>
      <c r="E69" t="inlineStr">
        <is>
          <t>BBG01BL96LH0</t>
        </is>
      </c>
    </row>
    <row r="70">
      <c r="A70" t="inlineStr">
        <is>
          <t>BBG01BL96M79 Equity</t>
        </is>
      </c>
      <c r="B70" t="inlineStr">
        <is>
          <t>TSLL US 01/20/23 P6</t>
        </is>
      </c>
      <c r="C70" t="inlineStr">
        <is>
          <t>2023-01-20</t>
        </is>
      </c>
      <c r="D70" t="n">
        <v>6</v>
      </c>
      <c r="E70" t="inlineStr">
        <is>
          <t>BBG01BL96M79</t>
        </is>
      </c>
    </row>
    <row r="71">
      <c r="A71" t="inlineStr">
        <is>
          <t>BBG01BL96MY9 Equity</t>
        </is>
      </c>
      <c r="B71" t="inlineStr">
        <is>
          <t>TSLL US 01/20/23 P7</t>
        </is>
      </c>
      <c r="C71" t="inlineStr">
        <is>
          <t>2023-01-20</t>
        </is>
      </c>
      <c r="D71" t="n">
        <v>7</v>
      </c>
      <c r="E71" t="inlineStr">
        <is>
          <t>BBG01BL96MY9</t>
        </is>
      </c>
    </row>
    <row r="72">
      <c r="A72" t="inlineStr">
        <is>
          <t>BBG01BL96NN9 Equity</t>
        </is>
      </c>
      <c r="B72" t="inlineStr">
        <is>
          <t>TSLL US 01/20/23 P8</t>
        </is>
      </c>
      <c r="C72" t="inlineStr">
        <is>
          <t>2023-01-20</t>
        </is>
      </c>
      <c r="D72" t="n">
        <v>8</v>
      </c>
      <c r="E72" t="inlineStr">
        <is>
          <t>BBG01BL96NN9</t>
        </is>
      </c>
    </row>
    <row r="73">
      <c r="A73" t="inlineStr">
        <is>
          <t>BBG01BL96PC6 Equity</t>
        </is>
      </c>
      <c r="B73" t="inlineStr">
        <is>
          <t>TSLL US 01/20/23 P9</t>
        </is>
      </c>
      <c r="C73" t="inlineStr">
        <is>
          <t>2023-01-20</t>
        </is>
      </c>
      <c r="D73" t="n">
        <v>9</v>
      </c>
      <c r="E73" t="inlineStr">
        <is>
          <t>BBG01BL96PC6</t>
        </is>
      </c>
    </row>
    <row r="74">
      <c r="A74" t="inlineStr">
        <is>
          <t>BBG01BL96Q25 Equity</t>
        </is>
      </c>
      <c r="B74" t="inlineStr">
        <is>
          <t>TSLL US 01/20/23 P10</t>
        </is>
      </c>
      <c r="C74" t="inlineStr">
        <is>
          <t>2023-01-20</t>
        </is>
      </c>
      <c r="D74" t="n">
        <v>10</v>
      </c>
      <c r="E74" t="inlineStr">
        <is>
          <t>BBG01BL96Q25</t>
        </is>
      </c>
    </row>
    <row r="75">
      <c r="A75" t="inlineStr">
        <is>
          <t>BBG01BL96QV3 Equity</t>
        </is>
      </c>
      <c r="B75" t="inlineStr">
        <is>
          <t>TSLL US 01/20/23 P11</t>
        </is>
      </c>
      <c r="C75" t="inlineStr">
        <is>
          <t>2023-01-20</t>
        </is>
      </c>
      <c r="D75" t="n">
        <v>11</v>
      </c>
      <c r="E75" t="inlineStr">
        <is>
          <t>BBG01BL96QV3</t>
        </is>
      </c>
    </row>
    <row r="76">
      <c r="A76" t="inlineStr">
        <is>
          <t>BBG01BL96RK3 Equity</t>
        </is>
      </c>
      <c r="B76" t="inlineStr">
        <is>
          <t>TSLL US 01/20/23 P12</t>
        </is>
      </c>
      <c r="C76" t="inlineStr">
        <is>
          <t>2023-01-20</t>
        </is>
      </c>
      <c r="D76" t="n">
        <v>12</v>
      </c>
      <c r="E76" t="inlineStr">
        <is>
          <t>BBG01BL96RK3</t>
        </is>
      </c>
    </row>
    <row r="77">
      <c r="A77" t="inlineStr">
        <is>
          <t>BBG01BL96S85 Equity</t>
        </is>
      </c>
      <c r="B77" t="inlineStr">
        <is>
          <t>TSLL US 01/20/23 P13</t>
        </is>
      </c>
      <c r="C77" t="inlineStr">
        <is>
          <t>2023-01-20</t>
        </is>
      </c>
      <c r="D77" t="n">
        <v>13</v>
      </c>
      <c r="E77" t="inlineStr">
        <is>
          <t>BBG01BL96S85</t>
        </is>
      </c>
    </row>
    <row r="78">
      <c r="A78" t="inlineStr">
        <is>
          <t>BBG01BL96SZ5 Equity</t>
        </is>
      </c>
      <c r="B78" t="inlineStr">
        <is>
          <t>TSLL US 01/20/23 P14</t>
        </is>
      </c>
      <c r="C78" t="inlineStr">
        <is>
          <t>2023-01-20</t>
        </is>
      </c>
      <c r="D78" t="n">
        <v>14</v>
      </c>
      <c r="E78" t="inlineStr">
        <is>
          <t>BBG01BL96SZ5</t>
        </is>
      </c>
    </row>
    <row r="79">
      <c r="A79" t="inlineStr">
        <is>
          <t>BBG01BL96TQ3 Equity</t>
        </is>
      </c>
      <c r="B79" t="inlineStr">
        <is>
          <t>TSLL US 01/20/23 P15</t>
        </is>
      </c>
      <c r="C79" t="inlineStr">
        <is>
          <t>2023-01-20</t>
        </is>
      </c>
      <c r="D79" t="n">
        <v>15</v>
      </c>
      <c r="E79" t="inlineStr">
        <is>
          <t>BBG01BL96TQ3</t>
        </is>
      </c>
    </row>
    <row r="80">
      <c r="A80" t="inlineStr">
        <is>
          <t>BBG01BL96VF0 Equity</t>
        </is>
      </c>
      <c r="B80" t="inlineStr">
        <is>
          <t>TSLL US 01/20/23 P16</t>
        </is>
      </c>
      <c r="C80" t="inlineStr">
        <is>
          <t>2023-01-20</t>
        </is>
      </c>
      <c r="D80" t="n">
        <v>16</v>
      </c>
      <c r="E80" t="inlineStr">
        <is>
          <t>BBG01BL96VF0</t>
        </is>
      </c>
    </row>
    <row r="81">
      <c r="A81" t="inlineStr">
        <is>
          <t>BBG01BL96W40 Equity</t>
        </is>
      </c>
      <c r="B81" t="inlineStr">
        <is>
          <t>TSLL US 01/20/23 P17</t>
        </is>
      </c>
      <c r="C81" t="inlineStr">
        <is>
          <t>2023-01-20</t>
        </is>
      </c>
      <c r="D81" t="n">
        <v>17</v>
      </c>
      <c r="E81" t="inlineStr">
        <is>
          <t>BBG01BL96W40</t>
        </is>
      </c>
    </row>
    <row r="82">
      <c r="A82" t="inlineStr">
        <is>
          <t>BBG01BL96WV0 Equity</t>
        </is>
      </c>
      <c r="B82" t="inlineStr">
        <is>
          <t>TSLL US 01/20/23 P18</t>
        </is>
      </c>
      <c r="C82" t="inlineStr">
        <is>
          <t>2023-01-20</t>
        </is>
      </c>
      <c r="D82" t="n">
        <v>18</v>
      </c>
      <c r="E82" t="inlineStr">
        <is>
          <t>BBG01BL96WV0</t>
        </is>
      </c>
    </row>
    <row r="83">
      <c r="A83" t="inlineStr">
        <is>
          <t>BBG01BL96XK0 Equity</t>
        </is>
      </c>
      <c r="B83" t="inlineStr">
        <is>
          <t>TSLL US 01/20/23 P19</t>
        </is>
      </c>
      <c r="C83" t="inlineStr">
        <is>
          <t>2023-01-20</t>
        </is>
      </c>
      <c r="D83" t="n">
        <v>19</v>
      </c>
      <c r="E83" t="inlineStr">
        <is>
          <t>BBG01BL96XK0</t>
        </is>
      </c>
    </row>
    <row r="84">
      <c r="A84" t="inlineStr">
        <is>
          <t>BBG01BL96Y91 Equity</t>
        </is>
      </c>
      <c r="B84" t="inlineStr">
        <is>
          <t>TSLL US 01/20/23 P20</t>
        </is>
      </c>
      <c r="C84" t="inlineStr">
        <is>
          <t>2023-01-20</t>
        </is>
      </c>
      <c r="D84" t="n">
        <v>20</v>
      </c>
      <c r="E84" t="inlineStr">
        <is>
          <t>BBG01BL96Y91</t>
        </is>
      </c>
    </row>
    <row r="85">
      <c r="A85" t="inlineStr">
        <is>
          <t>BBG01BL96Z07 Equity</t>
        </is>
      </c>
      <c r="B85" t="inlineStr">
        <is>
          <t>TSLL US 01/20/23 P21</t>
        </is>
      </c>
      <c r="C85" t="inlineStr">
        <is>
          <t>2023-01-20</t>
        </is>
      </c>
      <c r="D85" t="n">
        <v>21</v>
      </c>
      <c r="E85" t="inlineStr">
        <is>
          <t>BBG01BL96Z07</t>
        </is>
      </c>
    </row>
    <row r="86">
      <c r="A86" t="inlineStr">
        <is>
          <t>BBG01BL96ZQ9 Equity</t>
        </is>
      </c>
      <c r="B86" t="inlineStr">
        <is>
          <t>TSLL US 01/20/23 P22</t>
        </is>
      </c>
      <c r="C86" t="inlineStr">
        <is>
          <t>2023-01-20</t>
        </is>
      </c>
      <c r="D86" t="n">
        <v>22</v>
      </c>
      <c r="E86" t="inlineStr">
        <is>
          <t>BBG01BL96ZQ9</t>
        </is>
      </c>
    </row>
    <row r="87">
      <c r="A87" t="inlineStr">
        <is>
          <t>BBG01BL970F7 Equity</t>
        </is>
      </c>
      <c r="B87" t="inlineStr">
        <is>
          <t>TSLL US 01/20/23 P23</t>
        </is>
      </c>
      <c r="C87" t="inlineStr">
        <is>
          <t>2023-01-20</t>
        </is>
      </c>
      <c r="D87" t="n">
        <v>23</v>
      </c>
      <c r="E87" t="inlineStr">
        <is>
          <t>BBG01BL970F7</t>
        </is>
      </c>
    </row>
    <row r="88">
      <c r="A88" t="inlineStr">
        <is>
          <t>BBG01C0YQ0S8 Equity</t>
        </is>
      </c>
      <c r="B88" t="inlineStr">
        <is>
          <t>TSLL US 02/17/23 P1</t>
        </is>
      </c>
      <c r="C88" t="inlineStr">
        <is>
          <t>2023-02-17</t>
        </is>
      </c>
      <c r="D88" t="n">
        <v>1</v>
      </c>
      <c r="E88" t="inlineStr">
        <is>
          <t>BBG01C0YQ0S8</t>
        </is>
      </c>
    </row>
    <row r="89">
      <c r="A89" t="inlineStr">
        <is>
          <t>BBG01C0YQ1K4 Equity</t>
        </is>
      </c>
      <c r="B89" t="inlineStr">
        <is>
          <t>TSLL US 02/17/23 P2</t>
        </is>
      </c>
      <c r="C89" t="inlineStr">
        <is>
          <t>2023-02-17</t>
        </is>
      </c>
      <c r="D89" t="n">
        <v>2</v>
      </c>
      <c r="E89" t="inlineStr">
        <is>
          <t>BBG01C0YQ1K4</t>
        </is>
      </c>
    </row>
    <row r="90">
      <c r="A90" t="inlineStr">
        <is>
          <t>BBG01C0YQ2C1 Equity</t>
        </is>
      </c>
      <c r="B90" t="inlineStr">
        <is>
          <t>TSLL US 02/17/23 P3</t>
        </is>
      </c>
      <c r="C90" t="inlineStr">
        <is>
          <t>2023-02-17</t>
        </is>
      </c>
      <c r="D90" t="n">
        <v>3</v>
      </c>
      <c r="E90" t="inlineStr">
        <is>
          <t>BBG01C0YQ2C1</t>
        </is>
      </c>
    </row>
    <row r="91">
      <c r="A91" t="inlineStr">
        <is>
          <t>BBG01C0YQ348 Equity</t>
        </is>
      </c>
      <c r="B91" t="inlineStr">
        <is>
          <t>TSLL US 02/17/23 P4</t>
        </is>
      </c>
      <c r="C91" t="inlineStr">
        <is>
          <t>2023-02-17</t>
        </is>
      </c>
      <c r="D91" t="n">
        <v>4</v>
      </c>
      <c r="E91" t="inlineStr">
        <is>
          <t>BBG01C0YQ348</t>
        </is>
      </c>
    </row>
    <row r="92">
      <c r="A92" t="inlineStr">
        <is>
          <t>BBG01C0YQ3X6 Equity</t>
        </is>
      </c>
      <c r="B92" t="inlineStr">
        <is>
          <t>TSLL US 02/17/23 P5</t>
        </is>
      </c>
      <c r="C92" t="inlineStr">
        <is>
          <t>2023-02-17</t>
        </is>
      </c>
      <c r="D92" t="n">
        <v>5</v>
      </c>
      <c r="E92" t="inlineStr">
        <is>
          <t>BBG01C0YQ3X6</t>
        </is>
      </c>
    </row>
    <row r="93">
      <c r="A93" t="inlineStr">
        <is>
          <t>BBG01C0YQ4P3 Equity</t>
        </is>
      </c>
      <c r="B93" t="inlineStr">
        <is>
          <t>TSLL US 02/17/23 P6</t>
        </is>
      </c>
      <c r="C93" t="inlineStr">
        <is>
          <t>2023-02-17</t>
        </is>
      </c>
      <c r="D93" t="n">
        <v>6</v>
      </c>
      <c r="E93" t="inlineStr">
        <is>
          <t>BBG01C0YQ4P3</t>
        </is>
      </c>
    </row>
    <row r="94">
      <c r="A94" t="inlineStr">
        <is>
          <t>BBG01C0YQ5H9 Equity</t>
        </is>
      </c>
      <c r="B94" t="inlineStr">
        <is>
          <t>TSLL US 02/17/23 P7</t>
        </is>
      </c>
      <c r="C94" t="inlineStr">
        <is>
          <t>2023-02-17</t>
        </is>
      </c>
      <c r="D94" t="n">
        <v>7</v>
      </c>
      <c r="E94" t="inlineStr">
        <is>
          <t>BBG01C0YQ5H9</t>
        </is>
      </c>
    </row>
    <row r="95">
      <c r="A95" t="inlineStr">
        <is>
          <t>BBG01C0YQ687 Equity</t>
        </is>
      </c>
      <c r="B95" t="inlineStr">
        <is>
          <t>TSLL US 02/17/23 P8</t>
        </is>
      </c>
      <c r="C95" t="inlineStr">
        <is>
          <t>2023-02-17</t>
        </is>
      </c>
      <c r="D95" t="n">
        <v>8</v>
      </c>
      <c r="E95" t="inlineStr">
        <is>
          <t>BBG01C0YQ687</t>
        </is>
      </c>
    </row>
    <row r="96">
      <c r="A96" t="inlineStr">
        <is>
          <t>BBG01C0YQ712 Equity</t>
        </is>
      </c>
      <c r="B96" t="inlineStr">
        <is>
          <t>TSLL US 02/17/23 P9</t>
        </is>
      </c>
      <c r="C96" t="inlineStr">
        <is>
          <t>2023-02-17</t>
        </is>
      </c>
      <c r="D96" t="n">
        <v>9</v>
      </c>
      <c r="E96" t="inlineStr">
        <is>
          <t>BBG01C0YQ712</t>
        </is>
      </c>
    </row>
    <row r="97">
      <c r="A97" t="inlineStr">
        <is>
          <t>BBG01C0YQ7T2 Equity</t>
        </is>
      </c>
      <c r="B97" t="inlineStr">
        <is>
          <t>TSLL US 02/17/23 P10</t>
        </is>
      </c>
      <c r="C97" t="inlineStr">
        <is>
          <t>2023-02-17</t>
        </is>
      </c>
      <c r="D97" t="n">
        <v>10</v>
      </c>
      <c r="E97" t="inlineStr">
        <is>
          <t>BBG01C0YQ7T2</t>
        </is>
      </c>
    </row>
    <row r="98">
      <c r="A98" t="inlineStr">
        <is>
          <t>BBG01C0YQ8N6 Equity</t>
        </is>
      </c>
      <c r="B98" t="inlineStr">
        <is>
          <t>TSLL US 02/17/23 P11</t>
        </is>
      </c>
      <c r="C98" t="inlineStr">
        <is>
          <t>2023-02-17</t>
        </is>
      </c>
      <c r="D98" t="n">
        <v>11</v>
      </c>
      <c r="E98" t="inlineStr">
        <is>
          <t>BBG01C0YQ8N6</t>
        </is>
      </c>
    </row>
    <row r="99">
      <c r="A99" t="inlineStr">
        <is>
          <t>BBG01C0YQ9F3 Equity</t>
        </is>
      </c>
      <c r="B99" t="inlineStr">
        <is>
          <t>TSLL US 02/17/23 P12</t>
        </is>
      </c>
      <c r="C99" t="inlineStr">
        <is>
          <t>2023-02-17</t>
        </is>
      </c>
      <c r="D99" t="n">
        <v>12</v>
      </c>
      <c r="E99" t="inlineStr">
        <is>
          <t>BBG01C0YQ9F3</t>
        </is>
      </c>
    </row>
    <row r="100">
      <c r="A100" t="inlineStr">
        <is>
          <t>BBG01C0YQB68 Equity</t>
        </is>
      </c>
      <c r="B100" t="inlineStr">
        <is>
          <t>TSLL US 02/17/23 P13</t>
        </is>
      </c>
      <c r="C100" t="inlineStr">
        <is>
          <t>2023-02-17</t>
        </is>
      </c>
      <c r="D100" t="n">
        <v>13</v>
      </c>
      <c r="E100" t="inlineStr">
        <is>
          <t>BBG01C0YQB68</t>
        </is>
      </c>
    </row>
    <row r="101">
      <c r="A101" t="inlineStr">
        <is>
          <t>BBG01C0YQBZ6 Equity</t>
        </is>
      </c>
      <c r="B101" t="inlineStr">
        <is>
          <t>TSLL US 02/17/23 P14</t>
        </is>
      </c>
      <c r="C101" t="inlineStr">
        <is>
          <t>2023-02-17</t>
        </is>
      </c>
      <c r="D101" t="n">
        <v>14</v>
      </c>
      <c r="E101" t="inlineStr">
        <is>
          <t>BBG01C0YQBZ6</t>
        </is>
      </c>
    </row>
    <row r="102">
      <c r="A102" t="inlineStr">
        <is>
          <t>BBG01C0YQCT1 Equity</t>
        </is>
      </c>
      <c r="B102" t="inlineStr">
        <is>
          <t>TSLL US 02/17/23 P15</t>
        </is>
      </c>
      <c r="C102" t="inlineStr">
        <is>
          <t>2023-02-17</t>
        </is>
      </c>
      <c r="D102" t="n">
        <v>15</v>
      </c>
      <c r="E102" t="inlineStr">
        <is>
          <t>BBG01C0YQCT1</t>
        </is>
      </c>
    </row>
    <row r="103">
      <c r="A103" t="inlineStr">
        <is>
          <t>BBG01C0YQDL7 Equity</t>
        </is>
      </c>
      <c r="B103" t="inlineStr">
        <is>
          <t>TSLL US 02/17/23 P16</t>
        </is>
      </c>
      <c r="C103" t="inlineStr">
        <is>
          <t>2023-02-17</t>
        </is>
      </c>
      <c r="D103" t="n">
        <v>16</v>
      </c>
      <c r="E103" t="inlineStr">
        <is>
          <t>BBG01C0YQDL7</t>
        </is>
      </c>
    </row>
    <row r="104">
      <c r="A104" t="inlineStr">
        <is>
          <t>BBG01C0YQFC2 Equity</t>
        </is>
      </c>
      <c r="B104" t="inlineStr">
        <is>
          <t>TSLL US 02/17/23 P17</t>
        </is>
      </c>
      <c r="C104" t="inlineStr">
        <is>
          <t>2023-02-17</t>
        </is>
      </c>
      <c r="D104" t="n">
        <v>17</v>
      </c>
      <c r="E104" t="inlineStr">
        <is>
          <t>BBG01C0YQFC2</t>
        </is>
      </c>
    </row>
    <row r="105">
      <c r="A105" t="inlineStr">
        <is>
          <t>BBG01C0YQG49 Equity</t>
        </is>
      </c>
      <c r="B105" t="inlineStr">
        <is>
          <t>TSLL US 02/17/23 P18</t>
        </is>
      </c>
      <c r="C105" t="inlineStr">
        <is>
          <t>2023-02-17</t>
        </is>
      </c>
      <c r="D105" t="n">
        <v>18</v>
      </c>
      <c r="E105" t="inlineStr">
        <is>
          <t>BBG01C0YQG49</t>
        </is>
      </c>
    </row>
    <row r="106">
      <c r="A106" t="inlineStr">
        <is>
          <t>BBG01C0YQGY6 Equity</t>
        </is>
      </c>
      <c r="B106" t="inlineStr">
        <is>
          <t>TSLL US 02/17/23 P19</t>
        </is>
      </c>
      <c r="C106" t="inlineStr">
        <is>
          <t>2023-02-17</t>
        </is>
      </c>
      <c r="D106" t="n">
        <v>19</v>
      </c>
      <c r="E106" t="inlineStr">
        <is>
          <t>BBG01C0YQGY6</t>
        </is>
      </c>
    </row>
    <row r="107">
      <c r="A107" t="inlineStr">
        <is>
          <t>BBG01C0YQHQ3 Equity</t>
        </is>
      </c>
      <c r="B107" t="inlineStr">
        <is>
          <t>TSLL US 02/17/23 P20</t>
        </is>
      </c>
      <c r="C107" t="inlineStr">
        <is>
          <t>2023-02-17</t>
        </is>
      </c>
      <c r="D107" t="n">
        <v>20</v>
      </c>
      <c r="E107" t="inlineStr">
        <is>
          <t>BBG01C0YQHQ3</t>
        </is>
      </c>
    </row>
    <row r="108">
      <c r="A108" t="inlineStr">
        <is>
          <t>BBG01BNH4RH9 Equity</t>
        </is>
      </c>
      <c r="B108" t="inlineStr">
        <is>
          <t>TSLL US 03/17/23 P1</t>
        </is>
      </c>
      <c r="C108" t="inlineStr">
        <is>
          <t>2023-03-17</t>
        </is>
      </c>
      <c r="D108" t="n">
        <v>1</v>
      </c>
      <c r="E108" t="inlineStr">
        <is>
          <t>BBG01BNH4RH9</t>
        </is>
      </c>
    </row>
    <row r="109">
      <c r="A109" t="inlineStr">
        <is>
          <t>BBG01BNH4S69 Equity</t>
        </is>
      </c>
      <c r="B109" t="inlineStr">
        <is>
          <t>TSLL US 03/17/23 P2</t>
        </is>
      </c>
      <c r="C109" t="inlineStr">
        <is>
          <t>2023-03-17</t>
        </is>
      </c>
      <c r="D109" t="n">
        <v>2</v>
      </c>
      <c r="E109" t="inlineStr">
        <is>
          <t>BBG01BNH4S69</t>
        </is>
      </c>
    </row>
    <row r="110">
      <c r="A110" t="inlineStr">
        <is>
          <t>BBG01BHCHZJ3 Equity</t>
        </is>
      </c>
      <c r="B110" t="inlineStr">
        <is>
          <t>TSLL US 03/17/23 P3</t>
        </is>
      </c>
      <c r="C110" t="inlineStr">
        <is>
          <t>2023-03-17</t>
        </is>
      </c>
      <c r="D110" t="n">
        <v>3</v>
      </c>
      <c r="E110" t="inlineStr">
        <is>
          <t>BBG01BHCHZJ3</t>
        </is>
      </c>
    </row>
    <row r="111">
      <c r="A111" t="inlineStr">
        <is>
          <t>BBG01BHCJ071 Equity</t>
        </is>
      </c>
      <c r="B111" t="inlineStr">
        <is>
          <t>TSLL US 03/17/23 P4</t>
        </is>
      </c>
      <c r="C111" t="inlineStr">
        <is>
          <t>2023-03-17</t>
        </is>
      </c>
      <c r="D111" t="n">
        <v>4</v>
      </c>
      <c r="E111" t="inlineStr">
        <is>
          <t>BBG01BHCJ071</t>
        </is>
      </c>
    </row>
    <row r="112">
      <c r="A112" t="inlineStr">
        <is>
          <t>BBG019YT4BJ9 Equity</t>
        </is>
      </c>
      <c r="B112" t="inlineStr">
        <is>
          <t>TSLL US 03/17/23 P5</t>
        </is>
      </c>
      <c r="C112" t="inlineStr">
        <is>
          <t>2023-03-17</t>
        </is>
      </c>
      <c r="D112" t="n">
        <v>5</v>
      </c>
      <c r="E112" t="inlineStr">
        <is>
          <t>BBG019YT4BJ9</t>
        </is>
      </c>
    </row>
    <row r="113">
      <c r="A113" t="inlineStr">
        <is>
          <t>BBG01BHCJ0Y1 Equity</t>
        </is>
      </c>
      <c r="B113" t="inlineStr">
        <is>
          <t>TSLL US 03/17/23 P6</t>
        </is>
      </c>
      <c r="C113" t="inlineStr">
        <is>
          <t>2023-03-17</t>
        </is>
      </c>
      <c r="D113" t="n">
        <v>6</v>
      </c>
      <c r="E113" t="inlineStr">
        <is>
          <t>BBG01BHCJ0Y1</t>
        </is>
      </c>
    </row>
    <row r="114">
      <c r="A114" t="inlineStr">
        <is>
          <t>BBG01BHCJ1N1 Equity</t>
        </is>
      </c>
      <c r="B114" t="inlineStr">
        <is>
          <t>TSLL US 03/17/23 P7</t>
        </is>
      </c>
      <c r="C114" t="inlineStr">
        <is>
          <t>2023-03-17</t>
        </is>
      </c>
      <c r="D114" t="n">
        <v>7</v>
      </c>
      <c r="E114" t="inlineStr">
        <is>
          <t>BBG01BHCJ1N1</t>
        </is>
      </c>
    </row>
    <row r="115">
      <c r="A115" t="inlineStr">
        <is>
          <t>BBG019XLZTL1 Equity</t>
        </is>
      </c>
      <c r="B115" t="inlineStr">
        <is>
          <t>TSLL US 03/17/23 P8</t>
        </is>
      </c>
      <c r="C115" t="inlineStr">
        <is>
          <t>2023-03-17</t>
        </is>
      </c>
      <c r="D115" t="n">
        <v>8</v>
      </c>
      <c r="E115" t="inlineStr">
        <is>
          <t>BBG019XLZTL1</t>
        </is>
      </c>
    </row>
    <row r="116">
      <c r="A116" t="inlineStr">
        <is>
          <t>BBG019XLZV90 Equity</t>
        </is>
      </c>
      <c r="B116" t="inlineStr">
        <is>
          <t>TSLL US 03/17/23 P9</t>
        </is>
      </c>
      <c r="C116" t="inlineStr">
        <is>
          <t>2023-03-17</t>
        </is>
      </c>
      <c r="D116" t="n">
        <v>9</v>
      </c>
      <c r="E116" t="inlineStr">
        <is>
          <t>BBG019XLZV90</t>
        </is>
      </c>
    </row>
    <row r="117">
      <c r="A117" t="inlineStr">
        <is>
          <t>BBG019XLZW07 Equity</t>
        </is>
      </c>
      <c r="B117" t="inlineStr">
        <is>
          <t>TSLL US 03/17/23 P10</t>
        </is>
      </c>
      <c r="C117" t="inlineStr">
        <is>
          <t>2023-03-17</t>
        </is>
      </c>
      <c r="D117" t="n">
        <v>10</v>
      </c>
      <c r="E117" t="inlineStr">
        <is>
          <t>BBG019XLZW07</t>
        </is>
      </c>
    </row>
    <row r="118">
      <c r="A118" t="inlineStr">
        <is>
          <t>BBG019XLZWQ9 Equity</t>
        </is>
      </c>
      <c r="B118" t="inlineStr">
        <is>
          <t>TSLL US 03/17/23 P11</t>
        </is>
      </c>
      <c r="C118" t="inlineStr">
        <is>
          <t>2023-03-17</t>
        </is>
      </c>
      <c r="D118" t="n">
        <v>11</v>
      </c>
      <c r="E118" t="inlineStr">
        <is>
          <t>BBG019XLZWQ9</t>
        </is>
      </c>
    </row>
    <row r="119">
      <c r="A119" t="inlineStr">
        <is>
          <t>BBG019XLZXF9 Equity</t>
        </is>
      </c>
      <c r="B119" t="inlineStr">
        <is>
          <t>TSLL US 03/17/23 P12</t>
        </is>
      </c>
      <c r="C119" t="inlineStr">
        <is>
          <t>2023-03-17</t>
        </is>
      </c>
      <c r="D119" t="n">
        <v>12</v>
      </c>
      <c r="E119" t="inlineStr">
        <is>
          <t>BBG019XLZXF9</t>
        </is>
      </c>
    </row>
    <row r="120">
      <c r="A120" t="inlineStr">
        <is>
          <t>BBG019XLZY58 Equity</t>
        </is>
      </c>
      <c r="B120" t="inlineStr">
        <is>
          <t>TSLL US 03/17/23 P13</t>
        </is>
      </c>
      <c r="C120" t="inlineStr">
        <is>
          <t>2023-03-17</t>
        </is>
      </c>
      <c r="D120" t="n">
        <v>13</v>
      </c>
      <c r="E120" t="inlineStr">
        <is>
          <t>BBG019XLZY58</t>
        </is>
      </c>
    </row>
    <row r="121">
      <c r="A121" t="inlineStr">
        <is>
          <t>BBG019XLZYW8 Equity</t>
        </is>
      </c>
      <c r="B121" t="inlineStr">
        <is>
          <t>TSLL US 03/17/23 P14</t>
        </is>
      </c>
      <c r="C121" t="inlineStr">
        <is>
          <t>2023-03-17</t>
        </is>
      </c>
      <c r="D121" t="n">
        <v>14</v>
      </c>
      <c r="E121" t="inlineStr">
        <is>
          <t>BBG019XLZYW8</t>
        </is>
      </c>
    </row>
    <row r="122">
      <c r="A122" t="inlineStr">
        <is>
          <t>BBG01949S6T0 Equity</t>
        </is>
      </c>
      <c r="B122" t="inlineStr">
        <is>
          <t>TSLL US 03/17/23 P15</t>
        </is>
      </c>
      <c r="C122" t="inlineStr">
        <is>
          <t>2023-03-17</t>
        </is>
      </c>
      <c r="D122" t="n">
        <v>15</v>
      </c>
      <c r="E122" t="inlineStr">
        <is>
          <t>BBG01949S6T0</t>
        </is>
      </c>
    </row>
    <row r="123">
      <c r="A123" t="inlineStr">
        <is>
          <t>BBG01949S727 Equity</t>
        </is>
      </c>
      <c r="B123" t="inlineStr">
        <is>
          <t>TSLL US 03/17/23 P16</t>
        </is>
      </c>
      <c r="C123" t="inlineStr">
        <is>
          <t>2023-03-17</t>
        </is>
      </c>
      <c r="D123" t="n">
        <v>16</v>
      </c>
      <c r="E123" t="inlineStr">
        <is>
          <t>BBG01949S727</t>
        </is>
      </c>
    </row>
    <row r="124">
      <c r="A124" t="inlineStr">
        <is>
          <t>BBG01949S7B7 Equity</t>
        </is>
      </c>
      <c r="B124" t="inlineStr">
        <is>
          <t>TSLL US 03/17/23 P17</t>
        </is>
      </c>
      <c r="C124" t="inlineStr">
        <is>
          <t>2023-03-17</t>
        </is>
      </c>
      <c r="D124" t="n">
        <v>17</v>
      </c>
      <c r="E124" t="inlineStr">
        <is>
          <t>BBG01949S7B7</t>
        </is>
      </c>
    </row>
    <row r="125">
      <c r="A125" t="inlineStr">
        <is>
          <t>BBG01949S7L6 Equity</t>
        </is>
      </c>
      <c r="B125" t="inlineStr">
        <is>
          <t>TSLL US 03/17/23 P18</t>
        </is>
      </c>
      <c r="C125" t="inlineStr">
        <is>
          <t>2023-03-17</t>
        </is>
      </c>
      <c r="D125" t="n">
        <v>18</v>
      </c>
      <c r="E125" t="inlineStr">
        <is>
          <t>BBG01949S7L6</t>
        </is>
      </c>
    </row>
    <row r="126">
      <c r="A126" t="inlineStr">
        <is>
          <t>BBG01949S7V5 Equity</t>
        </is>
      </c>
      <c r="B126" t="inlineStr">
        <is>
          <t>TSLL US 03/17/23 P19</t>
        </is>
      </c>
      <c r="C126" t="inlineStr">
        <is>
          <t>2023-03-17</t>
        </is>
      </c>
      <c r="D126" t="n">
        <v>19</v>
      </c>
      <c r="E126" t="inlineStr">
        <is>
          <t>BBG01949S7V5</t>
        </is>
      </c>
    </row>
    <row r="127">
      <c r="A127" t="inlineStr">
        <is>
          <t>BBG01949S843 Equity</t>
        </is>
      </c>
      <c r="B127" t="inlineStr">
        <is>
          <t>TSLL US 03/17/23 P20</t>
        </is>
      </c>
      <c r="C127" t="inlineStr">
        <is>
          <t>2023-03-17</t>
        </is>
      </c>
      <c r="D127" t="n">
        <v>20</v>
      </c>
      <c r="E127" t="inlineStr">
        <is>
          <t>BBG01949S843</t>
        </is>
      </c>
    </row>
    <row r="128">
      <c r="A128" t="inlineStr">
        <is>
          <t>BBG01949S8D3 Equity</t>
        </is>
      </c>
      <c r="B128" t="inlineStr">
        <is>
          <t>TSLL US 03/17/23 P21</t>
        </is>
      </c>
      <c r="C128" t="inlineStr">
        <is>
          <t>2023-03-17</t>
        </is>
      </c>
      <c r="D128" t="n">
        <v>21</v>
      </c>
      <c r="E128" t="inlineStr">
        <is>
          <t>BBG01949S8D3</t>
        </is>
      </c>
    </row>
    <row r="129">
      <c r="A129" t="inlineStr">
        <is>
          <t>BBG01949S8N2 Equity</t>
        </is>
      </c>
      <c r="B129" t="inlineStr">
        <is>
          <t>TSLL US 03/17/23 P22</t>
        </is>
      </c>
      <c r="C129" t="inlineStr">
        <is>
          <t>2023-03-17</t>
        </is>
      </c>
      <c r="D129" t="n">
        <v>22</v>
      </c>
      <c r="E129" t="inlineStr">
        <is>
          <t>BBG01949S8N2</t>
        </is>
      </c>
    </row>
    <row r="130">
      <c r="A130" t="inlineStr">
        <is>
          <t>BBG01949S8X1 Equity</t>
        </is>
      </c>
      <c r="B130" t="inlineStr">
        <is>
          <t>TSLL US 03/17/23 P23</t>
        </is>
      </c>
      <c r="C130" t="inlineStr">
        <is>
          <t>2023-03-17</t>
        </is>
      </c>
      <c r="D130" t="n">
        <v>23</v>
      </c>
      <c r="E130" t="inlineStr">
        <is>
          <t>BBG01949S8X1</t>
        </is>
      </c>
    </row>
    <row r="131">
      <c r="A131" t="inlineStr">
        <is>
          <t>BBG01949S950 Equity</t>
        </is>
      </c>
      <c r="B131" t="inlineStr">
        <is>
          <t>TSLL US 03/17/23 P24</t>
        </is>
      </c>
      <c r="C131" t="inlineStr">
        <is>
          <t>2023-03-17</t>
        </is>
      </c>
      <c r="D131" t="n">
        <v>24</v>
      </c>
      <c r="E131" t="inlineStr">
        <is>
          <t>BBG01949S950</t>
        </is>
      </c>
    </row>
    <row r="132">
      <c r="A132" t="inlineStr">
        <is>
          <t>BBG01949S9F9 Equity</t>
        </is>
      </c>
      <c r="B132" t="inlineStr">
        <is>
          <t>TSLL US 03/17/23 P25</t>
        </is>
      </c>
      <c r="C132" t="inlineStr">
        <is>
          <t>2023-03-17</t>
        </is>
      </c>
      <c r="D132" t="n">
        <v>25</v>
      </c>
      <c r="E132" t="inlineStr">
        <is>
          <t>BBG01949S9F9</t>
        </is>
      </c>
    </row>
    <row r="133">
      <c r="A133" t="inlineStr">
        <is>
          <t>BBG01949S9P8 Equity</t>
        </is>
      </c>
      <c r="B133" t="inlineStr">
        <is>
          <t>TSLL US 03/17/23 P26</t>
        </is>
      </c>
      <c r="C133" t="inlineStr">
        <is>
          <t>2023-03-17</t>
        </is>
      </c>
      <c r="D133" t="n">
        <v>26</v>
      </c>
      <c r="E133" t="inlineStr">
        <is>
          <t>BBG01949S9P8</t>
        </is>
      </c>
    </row>
    <row r="134">
      <c r="A134" t="inlineStr">
        <is>
          <t>BBG01949S9Y8 Equity</t>
        </is>
      </c>
      <c r="B134" t="inlineStr">
        <is>
          <t>TSLL US 03/17/23 P27</t>
        </is>
      </c>
      <c r="C134" t="inlineStr">
        <is>
          <t>2023-03-17</t>
        </is>
      </c>
      <c r="D134" t="n">
        <v>27</v>
      </c>
      <c r="E134" t="inlineStr">
        <is>
          <t>BBG01949S9Y8</t>
        </is>
      </c>
    </row>
    <row r="135">
      <c r="A135" t="inlineStr">
        <is>
          <t>BBG01949SB64 Equity</t>
        </is>
      </c>
      <c r="B135" t="inlineStr">
        <is>
          <t>TSLL US 03/17/23 P28</t>
        </is>
      </c>
      <c r="C135" t="inlineStr">
        <is>
          <t>2023-03-17</t>
        </is>
      </c>
      <c r="D135" t="n">
        <v>28</v>
      </c>
      <c r="E135" t="inlineStr">
        <is>
          <t>BBG01949SB64</t>
        </is>
      </c>
    </row>
    <row r="136">
      <c r="A136" t="inlineStr">
        <is>
          <t>BBG01949SBG3 Equity</t>
        </is>
      </c>
      <c r="B136" t="inlineStr">
        <is>
          <t>TSLL US 03/17/23 P29</t>
        </is>
      </c>
      <c r="C136" t="inlineStr">
        <is>
          <t>2023-03-17</t>
        </is>
      </c>
      <c r="D136" t="n">
        <v>29</v>
      </c>
      <c r="E136" t="inlineStr">
        <is>
          <t>BBG01949SBG3</t>
        </is>
      </c>
    </row>
    <row r="137">
      <c r="A137" t="inlineStr">
        <is>
          <t>BBG01949SBQ2 Equity</t>
        </is>
      </c>
      <c r="B137" t="inlineStr">
        <is>
          <t>TSLL US 03/17/23 P30</t>
        </is>
      </c>
      <c r="C137" t="inlineStr">
        <is>
          <t>2023-03-17</t>
        </is>
      </c>
      <c r="D137" t="n">
        <v>30</v>
      </c>
      <c r="E137" t="inlineStr">
        <is>
          <t>BBG01949SBQ2</t>
        </is>
      </c>
    </row>
    <row r="138">
      <c r="A138" t="inlineStr">
        <is>
          <t>BBG0199KSMP9 Equity</t>
        </is>
      </c>
      <c r="B138" t="inlineStr">
        <is>
          <t>TSLL US 03/17/23 P35</t>
        </is>
      </c>
      <c r="C138" t="inlineStr">
        <is>
          <t>2023-03-17</t>
        </is>
      </c>
      <c r="D138" t="n">
        <v>35</v>
      </c>
      <c r="E138" t="inlineStr">
        <is>
          <t>BBG0199KSMP9</t>
        </is>
      </c>
    </row>
    <row r="139">
      <c r="A139" t="inlineStr">
        <is>
          <t>BBG019RDSLW9 Equity</t>
        </is>
      </c>
      <c r="B139" t="inlineStr">
        <is>
          <t>TSLL US 03/17/23 P40</t>
        </is>
      </c>
      <c r="C139" t="inlineStr">
        <is>
          <t>2023-03-17</t>
        </is>
      </c>
      <c r="D139" t="n">
        <v>40</v>
      </c>
      <c r="E139" t="inlineStr">
        <is>
          <t>BBG019RDSLW9</t>
        </is>
      </c>
    </row>
    <row r="140">
      <c r="A140" t="inlineStr">
        <is>
          <t>BBG01FV6CDC2 Equity</t>
        </is>
      </c>
      <c r="B140" t="inlineStr">
        <is>
          <t>TSLL US 04/21/23 P1</t>
        </is>
      </c>
      <c r="C140" t="inlineStr">
        <is>
          <t>2023-04-21</t>
        </is>
      </c>
      <c r="D140" t="n">
        <v>1</v>
      </c>
      <c r="E140" t="inlineStr">
        <is>
          <t>BBG01FV6CDC2</t>
        </is>
      </c>
    </row>
    <row r="141">
      <c r="A141" t="inlineStr">
        <is>
          <t>BBG01FBTLRS6 Equity</t>
        </is>
      </c>
      <c r="B141" t="inlineStr">
        <is>
          <t>TSLL US 04/21/23 P2.5</t>
        </is>
      </c>
      <c r="C141" t="inlineStr">
        <is>
          <t>2023-04-21</t>
        </is>
      </c>
      <c r="D141" t="n">
        <v>2.5</v>
      </c>
      <c r="E141" t="inlineStr">
        <is>
          <t>BBG01FBTLRS6</t>
        </is>
      </c>
    </row>
    <row r="142">
      <c r="A142" t="inlineStr">
        <is>
          <t>BBG01FBTLSR5 Equity</t>
        </is>
      </c>
      <c r="B142" t="inlineStr">
        <is>
          <t>TSLL US 04/21/23 P4</t>
        </is>
      </c>
      <c r="C142" t="inlineStr">
        <is>
          <t>2023-04-21</t>
        </is>
      </c>
      <c r="D142" t="n">
        <v>4</v>
      </c>
      <c r="E142" t="inlineStr">
        <is>
          <t>BBG01FBTLSR5</t>
        </is>
      </c>
    </row>
    <row r="143">
      <c r="A143" t="inlineStr">
        <is>
          <t>BBG01FBTLTQ4 Equity</t>
        </is>
      </c>
      <c r="B143" t="inlineStr">
        <is>
          <t>TSLL US 04/21/23 P5</t>
        </is>
      </c>
      <c r="C143" t="inlineStr">
        <is>
          <t>2023-04-21</t>
        </is>
      </c>
      <c r="D143" t="n">
        <v>5</v>
      </c>
      <c r="E143" t="inlineStr">
        <is>
          <t>BBG01FBTLTQ4</t>
        </is>
      </c>
    </row>
    <row r="144">
      <c r="A144" t="inlineStr">
        <is>
          <t>BBG01FBTLVQ9 Equity</t>
        </is>
      </c>
      <c r="B144" t="inlineStr">
        <is>
          <t>TSLL US 04/21/23 P6</t>
        </is>
      </c>
      <c r="C144" t="inlineStr">
        <is>
          <t>2023-04-21</t>
        </is>
      </c>
      <c r="D144" t="n">
        <v>6</v>
      </c>
      <c r="E144" t="inlineStr">
        <is>
          <t>BBG01FBTLVQ9</t>
        </is>
      </c>
    </row>
    <row r="145">
      <c r="A145" t="inlineStr">
        <is>
          <t>BBG01FBTLWP8 Equity</t>
        </is>
      </c>
      <c r="B145" t="inlineStr">
        <is>
          <t>TSLL US 04/21/23 P7.5</t>
        </is>
      </c>
      <c r="C145" t="inlineStr">
        <is>
          <t>2023-04-21</t>
        </is>
      </c>
      <c r="D145" t="n">
        <v>7.5</v>
      </c>
      <c r="E145" t="inlineStr">
        <is>
          <t>BBG01FBTLWP8</t>
        </is>
      </c>
    </row>
    <row r="146">
      <c r="A146" t="inlineStr">
        <is>
          <t>BBG01G2LYG92 Equity</t>
        </is>
      </c>
      <c r="B146" t="inlineStr">
        <is>
          <t>TSLL US 04/21/23 P8</t>
        </is>
      </c>
      <c r="C146" t="inlineStr">
        <is>
          <t>2023-04-21</t>
        </is>
      </c>
      <c r="D146" t="n">
        <v>8</v>
      </c>
      <c r="E146" t="inlineStr">
        <is>
          <t>BBG01G2LYG92</t>
        </is>
      </c>
    </row>
    <row r="147">
      <c r="A147" t="inlineStr">
        <is>
          <t>BBG01G2LYH81 Equity</t>
        </is>
      </c>
      <c r="B147" t="inlineStr">
        <is>
          <t>TSLL US 04/21/23 P8.5</t>
        </is>
      </c>
      <c r="C147" t="inlineStr">
        <is>
          <t>2023-04-21</t>
        </is>
      </c>
      <c r="D147" t="n">
        <v>8.5</v>
      </c>
      <c r="E147" t="inlineStr">
        <is>
          <t>BBG01G2LYH81</t>
        </is>
      </c>
    </row>
    <row r="148">
      <c r="A148" t="inlineStr">
        <is>
          <t>BBG01FBTLXN8 Equity</t>
        </is>
      </c>
      <c r="B148" t="inlineStr">
        <is>
          <t>TSLL US 04/21/23 P9</t>
        </is>
      </c>
      <c r="C148" t="inlineStr">
        <is>
          <t>2023-04-21</t>
        </is>
      </c>
      <c r="D148" t="n">
        <v>9</v>
      </c>
      <c r="E148" t="inlineStr">
        <is>
          <t>BBG01FBTLXN8</t>
        </is>
      </c>
    </row>
    <row r="149">
      <c r="A149" t="inlineStr">
        <is>
          <t>BBG01G2LYJ78 Equity</t>
        </is>
      </c>
      <c r="B149" t="inlineStr">
        <is>
          <t>TSLL US 04/21/23 P9.5</t>
        </is>
      </c>
      <c r="C149" t="inlineStr">
        <is>
          <t>2023-04-21</t>
        </is>
      </c>
      <c r="D149" t="n">
        <v>9.5</v>
      </c>
      <c r="E149" t="inlineStr">
        <is>
          <t>BBG01G2LYJ78</t>
        </is>
      </c>
    </row>
    <row r="150">
      <c r="A150" t="inlineStr">
        <is>
          <t>BBG01FBTLYN6 Equity</t>
        </is>
      </c>
      <c r="B150" t="inlineStr">
        <is>
          <t>TSLL US 04/21/23 P10</t>
        </is>
      </c>
      <c r="C150" t="inlineStr">
        <is>
          <t>2023-04-21</t>
        </is>
      </c>
      <c r="D150" t="n">
        <v>10</v>
      </c>
      <c r="E150" t="inlineStr">
        <is>
          <t>BBG01FBTLYN6</t>
        </is>
      </c>
    </row>
    <row r="151">
      <c r="A151" t="inlineStr">
        <is>
          <t>BBG01G2LYK75 Equity</t>
        </is>
      </c>
      <c r="B151" t="inlineStr">
        <is>
          <t>TSLL US 04/21/23 P10.5</t>
        </is>
      </c>
      <c r="C151" t="inlineStr">
        <is>
          <t>2023-04-21</t>
        </is>
      </c>
      <c r="D151" t="n">
        <v>10.5</v>
      </c>
      <c r="E151" t="inlineStr">
        <is>
          <t>BBG01G2LYK75</t>
        </is>
      </c>
    </row>
    <row r="152">
      <c r="A152" t="inlineStr">
        <is>
          <t>BBG01FBTLZM4 Equity</t>
        </is>
      </c>
      <c r="B152" t="inlineStr">
        <is>
          <t>TSLL US 04/21/23 P11</t>
        </is>
      </c>
      <c r="C152" t="inlineStr">
        <is>
          <t>2023-04-21</t>
        </is>
      </c>
      <c r="D152" t="n">
        <v>11</v>
      </c>
      <c r="E152" t="inlineStr">
        <is>
          <t>BBG01FBTLZM4</t>
        </is>
      </c>
    </row>
    <row r="153">
      <c r="A153" t="inlineStr">
        <is>
          <t>BBG01G2LYL64 Equity</t>
        </is>
      </c>
      <c r="B153" t="inlineStr">
        <is>
          <t>TSLL US 04/21/23 P11.5</t>
        </is>
      </c>
      <c r="C153" t="inlineStr">
        <is>
          <t>2023-04-21</t>
        </is>
      </c>
      <c r="D153" t="n">
        <v>11.5</v>
      </c>
      <c r="E153" t="inlineStr">
        <is>
          <t>BBG01G2LYL64</t>
        </is>
      </c>
    </row>
    <row r="154">
      <c r="A154" t="inlineStr">
        <is>
          <t>BBG01FBTM0L1 Equity</t>
        </is>
      </c>
      <c r="B154" t="inlineStr">
        <is>
          <t>TSLL US 04/21/23 P12</t>
        </is>
      </c>
      <c r="C154" t="inlineStr">
        <is>
          <t>2023-04-21</t>
        </is>
      </c>
      <c r="D154" t="n">
        <v>12</v>
      </c>
      <c r="E154" t="inlineStr">
        <is>
          <t>BBG01FBTM0L1</t>
        </is>
      </c>
    </row>
    <row r="155">
      <c r="A155" t="inlineStr">
        <is>
          <t>BBG01G2LYM53 Equity</t>
        </is>
      </c>
      <c r="B155" t="inlineStr">
        <is>
          <t>TSLL US 04/21/23 P12.5</t>
        </is>
      </c>
      <c r="C155" t="inlineStr">
        <is>
          <t>2023-04-21</t>
        </is>
      </c>
      <c r="D155" t="n">
        <v>12.5</v>
      </c>
      <c r="E155" t="inlineStr">
        <is>
          <t>BBG01G2LYM53</t>
        </is>
      </c>
    </row>
    <row r="156">
      <c r="A156" t="inlineStr">
        <is>
          <t>BBG01FBTM1L9 Equity</t>
        </is>
      </c>
      <c r="B156" t="inlineStr">
        <is>
          <t>TSLL US 04/21/23 P13</t>
        </is>
      </c>
      <c r="C156" t="inlineStr">
        <is>
          <t>2023-04-21</t>
        </is>
      </c>
      <c r="D156" t="n">
        <v>13</v>
      </c>
      <c r="E156" t="inlineStr">
        <is>
          <t>BBG01FBTM1L9</t>
        </is>
      </c>
    </row>
    <row r="157">
      <c r="A157" t="inlineStr">
        <is>
          <t>BBG01G2LYN51 Equity</t>
        </is>
      </c>
      <c r="B157" t="inlineStr">
        <is>
          <t>TSLL US 04/21/23 P13.5</t>
        </is>
      </c>
      <c r="C157" t="inlineStr">
        <is>
          <t>2023-04-21</t>
        </is>
      </c>
      <c r="D157" t="n">
        <v>13.5</v>
      </c>
      <c r="E157" t="inlineStr">
        <is>
          <t>BBG01G2LYN51</t>
        </is>
      </c>
    </row>
    <row r="158">
      <c r="A158" t="inlineStr">
        <is>
          <t>BBG01FBTM2K8 Equity</t>
        </is>
      </c>
      <c r="B158" t="inlineStr">
        <is>
          <t>TSLL US 04/21/23 P14</t>
        </is>
      </c>
      <c r="C158" t="inlineStr">
        <is>
          <t>2023-04-21</t>
        </is>
      </c>
      <c r="D158" t="n">
        <v>14</v>
      </c>
      <c r="E158" t="inlineStr">
        <is>
          <t>BBG01FBTM2K8</t>
        </is>
      </c>
    </row>
    <row r="159">
      <c r="A159" t="inlineStr">
        <is>
          <t>BBG01G2LYP47 Equity</t>
        </is>
      </c>
      <c r="B159" t="inlineStr">
        <is>
          <t>TSLL US 04/21/23 P14.5</t>
        </is>
      </c>
      <c r="C159" t="inlineStr">
        <is>
          <t>2023-04-21</t>
        </is>
      </c>
      <c r="D159" t="n">
        <v>14.5</v>
      </c>
      <c r="E159" t="inlineStr">
        <is>
          <t>BBG01G2LYP47</t>
        </is>
      </c>
    </row>
    <row r="160">
      <c r="A160" t="inlineStr">
        <is>
          <t>BBG01FBTM3J8 Equity</t>
        </is>
      </c>
      <c r="B160" t="inlineStr">
        <is>
          <t>TSLL US 04/21/23 P15</t>
        </is>
      </c>
      <c r="C160" t="inlineStr">
        <is>
          <t>2023-04-21</t>
        </is>
      </c>
      <c r="D160" t="n">
        <v>15</v>
      </c>
      <c r="E160" t="inlineStr">
        <is>
          <t>BBG01FBTM3J8</t>
        </is>
      </c>
    </row>
    <row r="161">
      <c r="A161" t="inlineStr">
        <is>
          <t>BBG01G2LYQ36 Equity</t>
        </is>
      </c>
      <c r="B161" t="inlineStr">
        <is>
          <t>TSLL US 04/21/23 P15.5</t>
        </is>
      </c>
      <c r="C161" t="inlineStr">
        <is>
          <t>2023-04-21</t>
        </is>
      </c>
      <c r="D161" t="n">
        <v>15.5</v>
      </c>
      <c r="E161" t="inlineStr">
        <is>
          <t>BBG01G2LYQ36</t>
        </is>
      </c>
    </row>
    <row r="162">
      <c r="A162" t="inlineStr">
        <is>
          <t>BBG01FBTM4H8 Equity</t>
        </is>
      </c>
      <c r="B162" t="inlineStr">
        <is>
          <t>TSLL US 04/21/23 P16</t>
        </is>
      </c>
      <c r="C162" t="inlineStr">
        <is>
          <t>2023-04-21</t>
        </is>
      </c>
      <c r="D162" t="n">
        <v>16</v>
      </c>
      <c r="E162" t="inlineStr">
        <is>
          <t>BBG01FBTM4H8</t>
        </is>
      </c>
    </row>
    <row r="163">
      <c r="A163" t="inlineStr">
        <is>
          <t>BBG01FBTM5H5 Equity</t>
        </is>
      </c>
      <c r="B163" t="inlineStr">
        <is>
          <t>TSLL US 04/21/23 P17.5</t>
        </is>
      </c>
      <c r="C163" t="inlineStr">
        <is>
          <t>2023-04-21</t>
        </is>
      </c>
      <c r="D163" t="n">
        <v>17.5</v>
      </c>
      <c r="E163" t="inlineStr">
        <is>
          <t>BBG01FBTM5H5</t>
        </is>
      </c>
    </row>
    <row r="164">
      <c r="A164" t="inlineStr">
        <is>
          <t>BBG01FBTM6G4 Equity</t>
        </is>
      </c>
      <c r="B164" t="inlineStr">
        <is>
          <t>TSLL US 04/21/23 P19</t>
        </is>
      </c>
      <c r="C164" t="inlineStr">
        <is>
          <t>2023-04-21</t>
        </is>
      </c>
      <c r="D164" t="n">
        <v>19</v>
      </c>
      <c r="E164" t="inlineStr">
        <is>
          <t>BBG01FBTM6G4</t>
        </is>
      </c>
    </row>
    <row r="165">
      <c r="A165" t="inlineStr">
        <is>
          <t>BBG01FBTM7F3 Equity</t>
        </is>
      </c>
      <c r="B165" t="inlineStr">
        <is>
          <t>TSLL US 04/21/23 P20</t>
        </is>
      </c>
      <c r="C165" t="inlineStr">
        <is>
          <t>2023-04-21</t>
        </is>
      </c>
      <c r="D165" t="n">
        <v>20</v>
      </c>
      <c r="E165" t="inlineStr">
        <is>
          <t>BBG01FBTM7F3</t>
        </is>
      </c>
    </row>
    <row r="166">
      <c r="A166" t="inlineStr">
        <is>
          <t>BBG01FBTM8F1 Equity</t>
        </is>
      </c>
      <c r="B166" t="inlineStr">
        <is>
          <t>TSLL US 04/21/23 P21</t>
        </is>
      </c>
      <c r="C166" t="inlineStr">
        <is>
          <t>2023-04-21</t>
        </is>
      </c>
      <c r="D166" t="n">
        <v>21</v>
      </c>
      <c r="E166" t="inlineStr">
        <is>
          <t>BBG01FBTM8F1</t>
        </is>
      </c>
    </row>
    <row r="167">
      <c r="A167" t="inlineStr">
        <is>
          <t>BBG01FBTM9D1 Equity</t>
        </is>
      </c>
      <c r="B167" t="inlineStr">
        <is>
          <t>TSLL US 04/21/23 P22.5</t>
        </is>
      </c>
      <c r="C167" t="inlineStr">
        <is>
          <t>2023-04-21</t>
        </is>
      </c>
      <c r="D167" t="n">
        <v>22.5</v>
      </c>
      <c r="E167" t="inlineStr">
        <is>
          <t>BBG01FBTM9D1</t>
        </is>
      </c>
    </row>
    <row r="168">
      <c r="A168" t="inlineStr">
        <is>
          <t>BBG01FKHFNZ0 Equity</t>
        </is>
      </c>
      <c r="B168" t="inlineStr">
        <is>
          <t>TSLL US 04/21/23 P24</t>
        </is>
      </c>
      <c r="C168" t="inlineStr">
        <is>
          <t>2023-04-21</t>
        </is>
      </c>
      <c r="D168" t="n">
        <v>24</v>
      </c>
      <c r="E168" t="inlineStr">
        <is>
          <t>BBG01FKHFNZ0</t>
        </is>
      </c>
    </row>
    <row r="169">
      <c r="A169" t="inlineStr">
        <is>
          <t>BBG01FBTMBC7 Equity</t>
        </is>
      </c>
      <c r="B169" t="inlineStr">
        <is>
          <t>TSLL US 04/21/23 P25</t>
        </is>
      </c>
      <c r="C169" t="inlineStr">
        <is>
          <t>2023-04-21</t>
        </is>
      </c>
      <c r="D169" t="n">
        <v>25</v>
      </c>
      <c r="E169" t="inlineStr">
        <is>
          <t>BBG01FBTMBC7</t>
        </is>
      </c>
    </row>
    <row r="170">
      <c r="A170" t="inlineStr">
        <is>
          <t>BBG01FZ9V592 Equity</t>
        </is>
      </c>
      <c r="B170" t="inlineStr">
        <is>
          <t>TSLL US 05/19/23 P1</t>
        </is>
      </c>
      <c r="C170" t="inlineStr">
        <is>
          <t>2023-05-19</t>
        </is>
      </c>
      <c r="D170" t="n">
        <v>1</v>
      </c>
      <c r="E170" t="inlineStr">
        <is>
          <t>BBG01FZ9V592</t>
        </is>
      </c>
    </row>
    <row r="171">
      <c r="A171" t="inlineStr">
        <is>
          <t>BBG01FZ9V681 Equity</t>
        </is>
      </c>
      <c r="B171" t="inlineStr">
        <is>
          <t>TSLL US 05/19/23 P2</t>
        </is>
      </c>
      <c r="C171" t="inlineStr">
        <is>
          <t>2023-05-19</t>
        </is>
      </c>
      <c r="D171" t="n">
        <v>2</v>
      </c>
      <c r="E171" t="inlineStr">
        <is>
          <t>BBG01FZ9V681</t>
        </is>
      </c>
    </row>
    <row r="172">
      <c r="A172" t="inlineStr">
        <is>
          <t>BBG01FXKSYW4 Equity</t>
        </is>
      </c>
      <c r="B172" t="inlineStr">
        <is>
          <t>TSLL US 05/19/23 P3</t>
        </is>
      </c>
      <c r="C172" t="inlineStr">
        <is>
          <t>2023-05-19</t>
        </is>
      </c>
      <c r="D172" t="n">
        <v>3</v>
      </c>
      <c r="E172" t="inlineStr">
        <is>
          <t>BBG01FXKSYW4</t>
        </is>
      </c>
    </row>
    <row r="173">
      <c r="A173" t="inlineStr">
        <is>
          <t>BBG01FXKSZV2 Equity</t>
        </is>
      </c>
      <c r="B173" t="inlineStr">
        <is>
          <t>TSLL US 05/19/23 P4</t>
        </is>
      </c>
      <c r="C173" t="inlineStr">
        <is>
          <t>2023-05-19</t>
        </is>
      </c>
      <c r="D173" t="n">
        <v>4</v>
      </c>
      <c r="E173" t="inlineStr">
        <is>
          <t>BBG01FXKSZV2</t>
        </is>
      </c>
    </row>
    <row r="174">
      <c r="A174" t="inlineStr">
        <is>
          <t>BBG01FXKT0T1 Equity</t>
        </is>
      </c>
      <c r="B174" t="inlineStr">
        <is>
          <t>TSLL US 05/19/23 P5</t>
        </is>
      </c>
      <c r="C174" t="inlineStr">
        <is>
          <t>2023-05-19</t>
        </is>
      </c>
      <c r="D174" t="n">
        <v>5</v>
      </c>
      <c r="E174" t="inlineStr">
        <is>
          <t>BBG01FXKT0T1</t>
        </is>
      </c>
    </row>
    <row r="175">
      <c r="A175" t="inlineStr">
        <is>
          <t>BBG01FXKT1T9 Equity</t>
        </is>
      </c>
      <c r="B175" t="inlineStr">
        <is>
          <t>TSLL US 05/19/23 P6</t>
        </is>
      </c>
      <c r="C175" t="inlineStr">
        <is>
          <t>2023-05-19</t>
        </is>
      </c>
      <c r="D175" t="n">
        <v>6</v>
      </c>
      <c r="E175" t="inlineStr">
        <is>
          <t>BBG01FXKT1T9</t>
        </is>
      </c>
    </row>
    <row r="176">
      <c r="A176" t="inlineStr">
        <is>
          <t>BBG01FXKT2S8 Equity</t>
        </is>
      </c>
      <c r="B176" t="inlineStr">
        <is>
          <t>TSLL US 05/19/23 P7</t>
        </is>
      </c>
      <c r="C176" t="inlineStr">
        <is>
          <t>2023-05-19</t>
        </is>
      </c>
      <c r="D176" t="n">
        <v>7</v>
      </c>
      <c r="E176" t="inlineStr">
        <is>
          <t>BBG01FXKT2S8</t>
        </is>
      </c>
    </row>
    <row r="177">
      <c r="A177" t="inlineStr">
        <is>
          <t>BBG01FXKT3R7 Equity</t>
        </is>
      </c>
      <c r="B177" t="inlineStr">
        <is>
          <t>TSLL US 05/19/23 P8</t>
        </is>
      </c>
      <c r="C177" t="inlineStr">
        <is>
          <t>2023-05-19</t>
        </is>
      </c>
      <c r="D177" t="n">
        <v>8</v>
      </c>
      <c r="E177" t="inlineStr">
        <is>
          <t>BBG01FXKT3R7</t>
        </is>
      </c>
    </row>
    <row r="178">
      <c r="A178" t="inlineStr">
        <is>
          <t>BBG01FXKT4Q6 Equity</t>
        </is>
      </c>
      <c r="B178" t="inlineStr">
        <is>
          <t>TSLL US 05/19/23 P9</t>
        </is>
      </c>
      <c r="C178" t="inlineStr">
        <is>
          <t>2023-05-19</t>
        </is>
      </c>
      <c r="D178" t="n">
        <v>9</v>
      </c>
      <c r="E178" t="inlineStr">
        <is>
          <t>BBG01FXKT4Q6</t>
        </is>
      </c>
    </row>
    <row r="179">
      <c r="A179" t="inlineStr">
        <is>
          <t>BBG01FXKT5Q3 Equity</t>
        </is>
      </c>
      <c r="B179" t="inlineStr">
        <is>
          <t>TSLL US 05/19/23 P10</t>
        </is>
      </c>
      <c r="C179" t="inlineStr">
        <is>
          <t>2023-05-19</t>
        </is>
      </c>
      <c r="D179" t="n">
        <v>10</v>
      </c>
      <c r="E179" t="inlineStr">
        <is>
          <t>BBG01FXKT5Q3</t>
        </is>
      </c>
    </row>
    <row r="180">
      <c r="A180" t="inlineStr">
        <is>
          <t>BBG01FXKT6P2 Equity</t>
        </is>
      </c>
      <c r="B180" t="inlineStr">
        <is>
          <t>TSLL US 05/19/23 P11</t>
        </is>
      </c>
      <c r="C180" t="inlineStr">
        <is>
          <t>2023-05-19</t>
        </is>
      </c>
      <c r="D180" t="n">
        <v>11</v>
      </c>
      <c r="E180" t="inlineStr">
        <is>
          <t>BBG01FXKT6P2</t>
        </is>
      </c>
    </row>
    <row r="181">
      <c r="A181" t="inlineStr">
        <is>
          <t>BBG01FXKT7N2 Equity</t>
        </is>
      </c>
      <c r="B181" t="inlineStr">
        <is>
          <t>TSLL US 05/19/23 P12</t>
        </is>
      </c>
      <c r="C181" t="inlineStr">
        <is>
          <t>2023-05-19</t>
        </is>
      </c>
      <c r="D181" t="n">
        <v>12</v>
      </c>
      <c r="E181" t="inlineStr">
        <is>
          <t>BBG01FXKT7N2</t>
        </is>
      </c>
    </row>
    <row r="182">
      <c r="A182" t="inlineStr">
        <is>
          <t>BBG01FXKT8N0 Equity</t>
        </is>
      </c>
      <c r="B182" t="inlineStr">
        <is>
          <t>TSLL US 05/19/23 P13</t>
        </is>
      </c>
      <c r="C182" t="inlineStr">
        <is>
          <t>2023-05-19</t>
        </is>
      </c>
      <c r="D182" t="n">
        <v>13</v>
      </c>
      <c r="E182" t="inlineStr">
        <is>
          <t>BBG01FXKT8N0</t>
        </is>
      </c>
    </row>
    <row r="183">
      <c r="A183" t="inlineStr">
        <is>
          <t>BBG01FXKT9M9 Equity</t>
        </is>
      </c>
      <c r="B183" t="inlineStr">
        <is>
          <t>TSLL US 05/19/23 P14</t>
        </is>
      </c>
      <c r="C183" t="inlineStr">
        <is>
          <t>2023-05-19</t>
        </is>
      </c>
      <c r="D183" t="n">
        <v>14</v>
      </c>
      <c r="E183" t="inlineStr">
        <is>
          <t>BBG01FXKT9M9</t>
        </is>
      </c>
    </row>
    <row r="184">
      <c r="A184" t="inlineStr">
        <is>
          <t>BBG01FXKTBL5 Equity</t>
        </is>
      </c>
      <c r="B184" t="inlineStr">
        <is>
          <t>TSLL US 05/19/23 P15</t>
        </is>
      </c>
      <c r="C184" t="inlineStr">
        <is>
          <t>2023-05-19</t>
        </is>
      </c>
      <c r="D184" t="n">
        <v>15</v>
      </c>
      <c r="E184" t="inlineStr">
        <is>
          <t>BBG01FXKTBL5</t>
        </is>
      </c>
    </row>
    <row r="185">
      <c r="A185" t="inlineStr">
        <is>
          <t>BBG01FXKTCL3 Equity</t>
        </is>
      </c>
      <c r="B185" t="inlineStr">
        <is>
          <t>TSLL US 05/19/23 P16</t>
        </is>
      </c>
      <c r="C185" t="inlineStr">
        <is>
          <t>2023-05-19</t>
        </is>
      </c>
      <c r="D185" t="n">
        <v>16</v>
      </c>
      <c r="E185" t="inlineStr">
        <is>
          <t>BBG01FXKTCL3</t>
        </is>
      </c>
    </row>
    <row r="186">
      <c r="A186" t="inlineStr">
        <is>
          <t>BBG01FXKTDK2 Equity</t>
        </is>
      </c>
      <c r="B186" t="inlineStr">
        <is>
          <t>TSLL US 05/19/23 P17</t>
        </is>
      </c>
      <c r="C186" t="inlineStr">
        <is>
          <t>2023-05-19</t>
        </is>
      </c>
      <c r="D186" t="n">
        <v>17</v>
      </c>
      <c r="E186" t="inlineStr">
        <is>
          <t>BBG01FXKTDK2</t>
        </is>
      </c>
    </row>
    <row r="187">
      <c r="A187" t="inlineStr">
        <is>
          <t>BBG01FXKTFJ9 Equity</t>
        </is>
      </c>
      <c r="B187" t="inlineStr">
        <is>
          <t>TSLL US 05/19/23 P18</t>
        </is>
      </c>
      <c r="C187" t="inlineStr">
        <is>
          <t>2023-05-19</t>
        </is>
      </c>
      <c r="D187" t="n">
        <v>18</v>
      </c>
      <c r="E187" t="inlineStr">
        <is>
          <t>BBG01FXKTFJ9</t>
        </is>
      </c>
    </row>
    <row r="188">
      <c r="A188" t="inlineStr">
        <is>
          <t>BBG01FXKTGH9 Equity</t>
        </is>
      </c>
      <c r="B188" t="inlineStr">
        <is>
          <t>TSLL US 05/19/23 P19</t>
        </is>
      </c>
      <c r="C188" t="inlineStr">
        <is>
          <t>2023-05-19</t>
        </is>
      </c>
      <c r="D188" t="n">
        <v>19</v>
      </c>
      <c r="E188" t="inlineStr">
        <is>
          <t>BBG01FXKTGH9</t>
        </is>
      </c>
    </row>
    <row r="189">
      <c r="A189" t="inlineStr">
        <is>
          <t>BBG01FY08LK0 Equity</t>
        </is>
      </c>
      <c r="B189" t="inlineStr">
        <is>
          <t>TSLL US 05/19/23 P20</t>
        </is>
      </c>
      <c r="C189" t="inlineStr">
        <is>
          <t>2023-05-19</t>
        </is>
      </c>
      <c r="D189" t="n">
        <v>20</v>
      </c>
      <c r="E189" t="inlineStr">
        <is>
          <t>BBG01FY08LK0</t>
        </is>
      </c>
    </row>
    <row r="190">
      <c r="A190" t="inlineStr">
        <is>
          <t>BBG01FZYDQH2 Equity</t>
        </is>
      </c>
      <c r="B190" t="inlineStr">
        <is>
          <t>TSLL US 05/19/23 P21</t>
        </is>
      </c>
      <c r="C190" t="inlineStr">
        <is>
          <t>2023-05-19</t>
        </is>
      </c>
      <c r="D190" t="n">
        <v>21</v>
      </c>
      <c r="E190" t="inlineStr">
        <is>
          <t>BBG01FZYDQH2</t>
        </is>
      </c>
    </row>
    <row r="191">
      <c r="A191" t="inlineStr">
        <is>
          <t>BBG01G1KF9N6 Equity</t>
        </is>
      </c>
      <c r="B191" t="inlineStr">
        <is>
          <t>TSLL US 05/19/23 P22</t>
        </is>
      </c>
      <c r="C191" t="inlineStr">
        <is>
          <t>2023-05-19</t>
        </is>
      </c>
      <c r="D191" t="n">
        <v>22</v>
      </c>
      <c r="E191" t="inlineStr">
        <is>
          <t>BBG01G1KF9N6</t>
        </is>
      </c>
    </row>
    <row r="192">
      <c r="A192" t="inlineStr">
        <is>
          <t>BBG01BNH4SX9 Equity</t>
        </is>
      </c>
      <c r="B192" t="inlineStr">
        <is>
          <t>TSLL US 06/16/23 P1</t>
        </is>
      </c>
      <c r="C192" t="inlineStr">
        <is>
          <t>2023-06-16</t>
        </is>
      </c>
      <c r="D192" t="n">
        <v>1</v>
      </c>
      <c r="E192" t="inlineStr">
        <is>
          <t>BBG01BNH4SX9</t>
        </is>
      </c>
    </row>
    <row r="193">
      <c r="A193" t="inlineStr">
        <is>
          <t>BBG01BHCJ2D0 Equity</t>
        </is>
      </c>
      <c r="B193" t="inlineStr">
        <is>
          <t>TSLL US 06/16/23 P2</t>
        </is>
      </c>
      <c r="C193" t="inlineStr">
        <is>
          <t>2023-06-16</t>
        </is>
      </c>
      <c r="D193" t="n">
        <v>2</v>
      </c>
      <c r="E193" t="inlineStr">
        <is>
          <t>BBG01BHCJ2D0</t>
        </is>
      </c>
    </row>
    <row r="194">
      <c r="A194" t="inlineStr">
        <is>
          <t>BBG01BHCJ339 Equity</t>
        </is>
      </c>
      <c r="B194" t="inlineStr">
        <is>
          <t>TSLL US 06/16/23 P3</t>
        </is>
      </c>
      <c r="C194" t="inlineStr">
        <is>
          <t>2023-06-16</t>
        </is>
      </c>
      <c r="D194" t="n">
        <v>3</v>
      </c>
      <c r="E194" t="inlineStr">
        <is>
          <t>BBG01BHCJ339</t>
        </is>
      </c>
    </row>
    <row r="195">
      <c r="A195" t="inlineStr">
        <is>
          <t>BBG01BHCJ3T1 Equity</t>
        </is>
      </c>
      <c r="B195" t="inlineStr">
        <is>
          <t>TSLL US 06/16/23 P4</t>
        </is>
      </c>
      <c r="C195" t="inlineStr">
        <is>
          <t>2023-06-16</t>
        </is>
      </c>
      <c r="D195" t="n">
        <v>4</v>
      </c>
      <c r="E195" t="inlineStr">
        <is>
          <t>BBG01BHCJ3T1</t>
        </is>
      </c>
    </row>
    <row r="196">
      <c r="A196" t="inlineStr">
        <is>
          <t>BBG01B9WSP53 Equity</t>
        </is>
      </c>
      <c r="B196" t="inlineStr">
        <is>
          <t>TSLL US 06/16/23 P5</t>
        </is>
      </c>
      <c r="C196" t="inlineStr">
        <is>
          <t>2023-06-16</t>
        </is>
      </c>
      <c r="D196" t="n">
        <v>5</v>
      </c>
      <c r="E196" t="inlineStr">
        <is>
          <t>BBG01B9WSP53</t>
        </is>
      </c>
    </row>
    <row r="197">
      <c r="A197" t="inlineStr">
        <is>
          <t>BBG01B4PH327 Equity</t>
        </is>
      </c>
      <c r="B197" t="inlineStr">
        <is>
          <t>TSLL US 06/16/23 P6</t>
        </is>
      </c>
      <c r="C197" t="inlineStr">
        <is>
          <t>2023-06-16</t>
        </is>
      </c>
      <c r="D197" t="n">
        <v>6</v>
      </c>
      <c r="E197" t="inlineStr">
        <is>
          <t>BBG01B4PH327</t>
        </is>
      </c>
    </row>
    <row r="198">
      <c r="A198" t="inlineStr">
        <is>
          <t>BBG01B4PH3S9 Equity</t>
        </is>
      </c>
      <c r="B198" t="inlineStr">
        <is>
          <t>TSLL US 06/16/23 P7</t>
        </is>
      </c>
      <c r="C198" t="inlineStr">
        <is>
          <t>2023-06-16</t>
        </is>
      </c>
      <c r="D198" t="n">
        <v>7</v>
      </c>
      <c r="E198" t="inlineStr">
        <is>
          <t>BBG01B4PH3S9</t>
        </is>
      </c>
    </row>
    <row r="199">
      <c r="A199" t="inlineStr">
        <is>
          <t>BBG01B4PH4H9 Equity</t>
        </is>
      </c>
      <c r="B199" t="inlineStr">
        <is>
          <t>TSLL US 06/16/23 P8</t>
        </is>
      </c>
      <c r="C199" t="inlineStr">
        <is>
          <t>2023-06-16</t>
        </is>
      </c>
      <c r="D199" t="n">
        <v>8</v>
      </c>
      <c r="E199" t="inlineStr">
        <is>
          <t>BBG01B4PH4H9</t>
        </is>
      </c>
    </row>
    <row r="200">
      <c r="A200" t="inlineStr">
        <is>
          <t>BBG01B4PH568 Equity</t>
        </is>
      </c>
      <c r="B200" t="inlineStr">
        <is>
          <t>TSLL US 06/16/23 P9</t>
        </is>
      </c>
      <c r="C200" t="inlineStr">
        <is>
          <t>2023-06-16</t>
        </is>
      </c>
      <c r="D200" t="n">
        <v>9</v>
      </c>
      <c r="E200" t="inlineStr">
        <is>
          <t>BBG01B4PH568</t>
        </is>
      </c>
    </row>
    <row r="201">
      <c r="A201" t="inlineStr">
        <is>
          <t>BBG01B4PH5Y7 Equity</t>
        </is>
      </c>
      <c r="B201" t="inlineStr">
        <is>
          <t>TSLL US 06/16/23 P10</t>
        </is>
      </c>
      <c r="C201" t="inlineStr">
        <is>
          <t>2023-06-16</t>
        </is>
      </c>
      <c r="D201" t="n">
        <v>10</v>
      </c>
      <c r="E201" t="inlineStr">
        <is>
          <t>BBG01B4PH5Y7</t>
        </is>
      </c>
    </row>
    <row r="202">
      <c r="A202" t="inlineStr">
        <is>
          <t>BBG01B4PH6N7 Equity</t>
        </is>
      </c>
      <c r="B202" t="inlineStr">
        <is>
          <t>TSLL US 06/16/23 P11</t>
        </is>
      </c>
      <c r="C202" t="inlineStr">
        <is>
          <t>2023-06-16</t>
        </is>
      </c>
      <c r="D202" t="n">
        <v>11</v>
      </c>
      <c r="E202" t="inlineStr">
        <is>
          <t>BBG01B4PH6N7</t>
        </is>
      </c>
    </row>
    <row r="203">
      <c r="A203" t="inlineStr">
        <is>
          <t>BBG01B4PH7C7 Equity</t>
        </is>
      </c>
      <c r="B203" t="inlineStr">
        <is>
          <t>TSLL US 06/16/23 P12</t>
        </is>
      </c>
      <c r="C203" t="inlineStr">
        <is>
          <t>2023-06-16</t>
        </is>
      </c>
      <c r="D203" t="n">
        <v>12</v>
      </c>
      <c r="E203" t="inlineStr">
        <is>
          <t>BBG01B4PH7C7</t>
        </is>
      </c>
    </row>
    <row r="204">
      <c r="A204" t="inlineStr">
        <is>
          <t>BBG01B4PH826 Equity</t>
        </is>
      </c>
      <c r="B204" t="inlineStr">
        <is>
          <t>TSLL US 06/16/23 P13</t>
        </is>
      </c>
      <c r="C204" t="inlineStr">
        <is>
          <t>2023-06-16</t>
        </is>
      </c>
      <c r="D204" t="n">
        <v>13</v>
      </c>
      <c r="E204" t="inlineStr">
        <is>
          <t>BBG01B4PH826</t>
        </is>
      </c>
    </row>
    <row r="205">
      <c r="A205" t="inlineStr">
        <is>
          <t>BBG01B4PH8T7 Equity</t>
        </is>
      </c>
      <c r="B205" t="inlineStr">
        <is>
          <t>TSLL US 06/16/23 P14</t>
        </is>
      </c>
      <c r="C205" t="inlineStr">
        <is>
          <t>2023-06-16</t>
        </is>
      </c>
      <c r="D205" t="n">
        <v>14</v>
      </c>
      <c r="E205" t="inlineStr">
        <is>
          <t>BBG01B4PH8T7</t>
        </is>
      </c>
    </row>
    <row r="206">
      <c r="A206" t="inlineStr">
        <is>
          <t>BBG01B4PH9J6 Equity</t>
        </is>
      </c>
      <c r="B206" t="inlineStr">
        <is>
          <t>TSLL US 06/16/23 P15</t>
        </is>
      </c>
      <c r="C206" t="inlineStr">
        <is>
          <t>2023-06-16</t>
        </is>
      </c>
      <c r="D206" t="n">
        <v>15</v>
      </c>
      <c r="E206" t="inlineStr">
        <is>
          <t>BBG01B4PH9J6</t>
        </is>
      </c>
    </row>
    <row r="207">
      <c r="A207" t="inlineStr">
        <is>
          <t>BBG01B4PHB74 Equity</t>
        </is>
      </c>
      <c r="B207" t="inlineStr">
        <is>
          <t>TSLL US 06/16/23 P16</t>
        </is>
      </c>
      <c r="C207" t="inlineStr">
        <is>
          <t>2023-06-16</t>
        </is>
      </c>
      <c r="D207" t="n">
        <v>16</v>
      </c>
      <c r="E207" t="inlineStr">
        <is>
          <t>BBG01B4PHB74</t>
        </is>
      </c>
    </row>
    <row r="208">
      <c r="A208" t="inlineStr">
        <is>
          <t>BBG01B4PHBY4 Equity</t>
        </is>
      </c>
      <c r="B208" t="inlineStr">
        <is>
          <t>TSLL US 06/16/23 P17</t>
        </is>
      </c>
      <c r="C208" t="inlineStr">
        <is>
          <t>2023-06-16</t>
        </is>
      </c>
      <c r="D208" t="n">
        <v>17</v>
      </c>
      <c r="E208" t="inlineStr">
        <is>
          <t>BBG01B4PHBY4</t>
        </is>
      </c>
    </row>
    <row r="209">
      <c r="A209" t="inlineStr">
        <is>
          <t>BBG01B4PHCN4 Equity</t>
        </is>
      </c>
      <c r="B209" t="inlineStr">
        <is>
          <t>TSLL US 06/16/23 P18</t>
        </is>
      </c>
      <c r="C209" t="inlineStr">
        <is>
          <t>2023-06-16</t>
        </is>
      </c>
      <c r="D209" t="n">
        <v>18</v>
      </c>
      <c r="E209" t="inlineStr">
        <is>
          <t>BBG01B4PHCN4</t>
        </is>
      </c>
    </row>
    <row r="210">
      <c r="A210" t="inlineStr">
        <is>
          <t>BBG01B4PHDD3 Equity</t>
        </is>
      </c>
      <c r="B210" t="inlineStr">
        <is>
          <t>TSLL US 06/16/23 P19</t>
        </is>
      </c>
      <c r="C210" t="inlineStr">
        <is>
          <t>2023-06-16</t>
        </is>
      </c>
      <c r="D210" t="n">
        <v>19</v>
      </c>
      <c r="E210" t="inlineStr">
        <is>
          <t>BBG01B4PHDD3</t>
        </is>
      </c>
    </row>
    <row r="211">
      <c r="A211" t="inlineStr">
        <is>
          <t>BBG01B4PHF39 Equity</t>
        </is>
      </c>
      <c r="B211" t="inlineStr">
        <is>
          <t>TSLL US 06/16/23 P20</t>
        </is>
      </c>
      <c r="C211" t="inlineStr">
        <is>
          <t>2023-06-16</t>
        </is>
      </c>
      <c r="D211" t="n">
        <v>20</v>
      </c>
      <c r="E211" t="inlineStr">
        <is>
          <t>BBG01B4PHF39</t>
        </is>
      </c>
    </row>
    <row r="212">
      <c r="A212" t="inlineStr">
        <is>
          <t>BBG01B4PHFT1 Equity</t>
        </is>
      </c>
      <c r="B212" t="inlineStr">
        <is>
          <t>TSLL US 06/16/23 P21</t>
        </is>
      </c>
      <c r="C212" t="inlineStr">
        <is>
          <t>2023-06-16</t>
        </is>
      </c>
      <c r="D212" t="n">
        <v>21</v>
      </c>
      <c r="E212" t="inlineStr">
        <is>
          <t>BBG01B4PHFT1</t>
        </is>
      </c>
    </row>
    <row r="213">
      <c r="A213" t="inlineStr">
        <is>
          <t>BBG01B4PHGJ0 Equity</t>
        </is>
      </c>
      <c r="B213" t="inlineStr">
        <is>
          <t>TSLL US 06/16/23 P22</t>
        </is>
      </c>
      <c r="C213" t="inlineStr">
        <is>
          <t>2023-06-16</t>
        </is>
      </c>
      <c r="D213" t="n">
        <v>22</v>
      </c>
      <c r="E213" t="inlineStr">
        <is>
          <t>BBG01B4PHGJ0</t>
        </is>
      </c>
    </row>
    <row r="214">
      <c r="A214" t="inlineStr">
        <is>
          <t>BBG01B4PHH80 Equity</t>
        </is>
      </c>
      <c r="B214" t="inlineStr">
        <is>
          <t>TSLL US 06/16/23 P23</t>
        </is>
      </c>
      <c r="C214" t="inlineStr">
        <is>
          <t>2023-06-16</t>
        </is>
      </c>
      <c r="D214" t="n">
        <v>23</v>
      </c>
      <c r="E214" t="inlineStr">
        <is>
          <t>BBG01B4PHH80</t>
        </is>
      </c>
    </row>
    <row r="215">
      <c r="A215" t="inlineStr">
        <is>
          <t>BBG01B4PHHZ0 Equity</t>
        </is>
      </c>
      <c r="B215" t="inlineStr">
        <is>
          <t>TSLL US 06/16/23 P24</t>
        </is>
      </c>
      <c r="C215" t="inlineStr">
        <is>
          <t>2023-06-16</t>
        </is>
      </c>
      <c r="D215" t="n">
        <v>24</v>
      </c>
      <c r="E215" t="inlineStr">
        <is>
          <t>BBG01B4PHHZ0</t>
        </is>
      </c>
    </row>
    <row r="216">
      <c r="A216" t="inlineStr">
        <is>
          <t>BBG01B4PHJP7 Equity</t>
        </is>
      </c>
      <c r="B216" t="inlineStr">
        <is>
          <t>TSLL US 06/16/23 P25</t>
        </is>
      </c>
      <c r="C216" t="inlineStr">
        <is>
          <t>2023-06-16</t>
        </is>
      </c>
      <c r="D216" t="n">
        <v>25</v>
      </c>
      <c r="E216" t="inlineStr">
        <is>
          <t>BBG01B4PHJP7</t>
        </is>
      </c>
    </row>
    <row r="217">
      <c r="A217" t="inlineStr">
        <is>
          <t>BBG01B4PHKD7 Equity</t>
        </is>
      </c>
      <c r="B217" t="inlineStr">
        <is>
          <t>TSLL US 06/16/23 P26</t>
        </is>
      </c>
      <c r="C217" t="inlineStr">
        <is>
          <t>2023-06-16</t>
        </is>
      </c>
      <c r="D217" t="n">
        <v>26</v>
      </c>
      <c r="E217" t="inlineStr">
        <is>
          <t>BBG01B4PHKD7</t>
        </is>
      </c>
    </row>
    <row r="218">
      <c r="A218" t="inlineStr">
        <is>
          <t>BBG01B9WSPW3 Equity</t>
        </is>
      </c>
      <c r="B218" t="inlineStr">
        <is>
          <t>TSLL US 06/16/23 P30</t>
        </is>
      </c>
      <c r="C218" t="inlineStr">
        <is>
          <t>2023-06-16</t>
        </is>
      </c>
      <c r="D218" t="n">
        <v>30</v>
      </c>
      <c r="E218" t="inlineStr">
        <is>
          <t>BBG01B9WSPW3</t>
        </is>
      </c>
    </row>
    <row r="219">
      <c r="A219" t="inlineStr">
        <is>
          <t>BBG01GQJFNV2 Equity</t>
        </is>
      </c>
      <c r="B219" t="inlineStr">
        <is>
          <t>TSLL US 07/21/23 P1</t>
        </is>
      </c>
      <c r="C219" t="inlineStr">
        <is>
          <t>2023-07-21</t>
        </is>
      </c>
      <c r="D219" t="n">
        <v>1</v>
      </c>
      <c r="E219" t="inlineStr">
        <is>
          <t>BBG01GQJFNV2</t>
        </is>
      </c>
    </row>
    <row r="220">
      <c r="A220" t="inlineStr">
        <is>
          <t>BBG01GQJFPT0 Equity</t>
        </is>
      </c>
      <c r="B220" t="inlineStr">
        <is>
          <t>TSLL US 07/21/23 P2</t>
        </is>
      </c>
      <c r="C220" t="inlineStr">
        <is>
          <t>2023-07-21</t>
        </is>
      </c>
      <c r="D220" t="n">
        <v>2</v>
      </c>
      <c r="E220" t="inlineStr">
        <is>
          <t>BBG01GQJFPT0</t>
        </is>
      </c>
    </row>
    <row r="221">
      <c r="A221" t="inlineStr">
        <is>
          <t>BBG01GQJFQS9 Equity</t>
        </is>
      </c>
      <c r="B221" t="inlineStr">
        <is>
          <t>TSLL US 07/21/23 P3</t>
        </is>
      </c>
      <c r="C221" t="inlineStr">
        <is>
          <t>2023-07-21</t>
        </is>
      </c>
      <c r="D221" t="n">
        <v>3</v>
      </c>
      <c r="E221" t="inlineStr">
        <is>
          <t>BBG01GQJFQS9</t>
        </is>
      </c>
    </row>
    <row r="222">
      <c r="A222" t="inlineStr">
        <is>
          <t>BBG01GQJFRS7 Equity</t>
        </is>
      </c>
      <c r="B222" t="inlineStr">
        <is>
          <t>TSLL US 07/21/23 P4</t>
        </is>
      </c>
      <c r="C222" t="inlineStr">
        <is>
          <t>2023-07-21</t>
        </is>
      </c>
      <c r="D222" t="n">
        <v>4</v>
      </c>
      <c r="E222" t="inlineStr">
        <is>
          <t>BBG01GQJFRS7</t>
        </is>
      </c>
    </row>
    <row r="223">
      <c r="A223" t="inlineStr">
        <is>
          <t>BBG01GQJFSR6 Equity</t>
        </is>
      </c>
      <c r="B223" t="inlineStr">
        <is>
          <t>TSLL US 07/21/23 P5</t>
        </is>
      </c>
      <c r="C223" t="inlineStr">
        <is>
          <t>2023-07-21</t>
        </is>
      </c>
      <c r="D223" t="n">
        <v>5</v>
      </c>
      <c r="E223" t="inlineStr">
        <is>
          <t>BBG01GQJFSR6</t>
        </is>
      </c>
    </row>
    <row r="224">
      <c r="A224" t="inlineStr">
        <is>
          <t>BBG01GQJFTQ5 Equity</t>
        </is>
      </c>
      <c r="B224" t="inlineStr">
        <is>
          <t>TSLL US 07/21/23 P6</t>
        </is>
      </c>
      <c r="C224" t="inlineStr">
        <is>
          <t>2023-07-21</t>
        </is>
      </c>
      <c r="D224" t="n">
        <v>6</v>
      </c>
      <c r="E224" t="inlineStr">
        <is>
          <t>BBG01GQJFTQ5</t>
        </is>
      </c>
    </row>
    <row r="225">
      <c r="A225" t="inlineStr">
        <is>
          <t>BBG01GQJFVQ0 Equity</t>
        </is>
      </c>
      <c r="B225" t="inlineStr">
        <is>
          <t>TSLL US 07/21/23 P7</t>
        </is>
      </c>
      <c r="C225" t="inlineStr">
        <is>
          <t>2023-07-21</t>
        </is>
      </c>
      <c r="D225" t="n">
        <v>7</v>
      </c>
      <c r="E225" t="inlineStr">
        <is>
          <t>BBG01GQJFVQ0</t>
        </is>
      </c>
    </row>
    <row r="226">
      <c r="A226" t="inlineStr">
        <is>
          <t>BBG01GQJFWP9 Equity</t>
        </is>
      </c>
      <c r="B226" t="inlineStr">
        <is>
          <t>TSLL US 07/21/23 P8</t>
        </is>
      </c>
      <c r="C226" t="inlineStr">
        <is>
          <t>2023-07-21</t>
        </is>
      </c>
      <c r="D226" t="n">
        <v>8</v>
      </c>
      <c r="E226" t="inlineStr">
        <is>
          <t>BBG01GQJFWP9</t>
        </is>
      </c>
    </row>
    <row r="227">
      <c r="A227" t="inlineStr">
        <is>
          <t>BBG01GQJFXN9 Equity</t>
        </is>
      </c>
      <c r="B227" t="inlineStr">
        <is>
          <t>TSLL US 07/21/23 P9</t>
        </is>
      </c>
      <c r="C227" t="inlineStr">
        <is>
          <t>2023-07-21</t>
        </is>
      </c>
      <c r="D227" t="n">
        <v>9</v>
      </c>
      <c r="E227" t="inlineStr">
        <is>
          <t>BBG01GQJFXN9</t>
        </is>
      </c>
    </row>
    <row r="228">
      <c r="A228" t="inlineStr">
        <is>
          <t>BBG01GQJFYN7 Equity</t>
        </is>
      </c>
      <c r="B228" t="inlineStr">
        <is>
          <t>TSLL US 07/21/23 P10</t>
        </is>
      </c>
      <c r="C228" t="inlineStr">
        <is>
          <t>2023-07-21</t>
        </is>
      </c>
      <c r="D228" t="n">
        <v>10</v>
      </c>
      <c r="E228" t="inlineStr">
        <is>
          <t>BBG01GQJFYN7</t>
        </is>
      </c>
    </row>
    <row r="229">
      <c r="A229" t="inlineStr">
        <is>
          <t>BBG01GQJFZM5 Equity</t>
        </is>
      </c>
      <c r="B229" t="inlineStr">
        <is>
          <t>TSLL US 07/21/23 P11</t>
        </is>
      </c>
      <c r="C229" t="inlineStr">
        <is>
          <t>2023-07-21</t>
        </is>
      </c>
      <c r="D229" t="n">
        <v>11</v>
      </c>
      <c r="E229" t="inlineStr">
        <is>
          <t>BBG01GQJFZM5</t>
        </is>
      </c>
    </row>
    <row r="230">
      <c r="A230" t="inlineStr">
        <is>
          <t>BBG01GQJG0L2 Equity</t>
        </is>
      </c>
      <c r="B230" t="inlineStr">
        <is>
          <t>TSLL US 07/21/23 P12</t>
        </is>
      </c>
      <c r="C230" t="inlineStr">
        <is>
          <t>2023-07-21</t>
        </is>
      </c>
      <c r="D230" t="n">
        <v>12</v>
      </c>
      <c r="E230" t="inlineStr">
        <is>
          <t>BBG01GQJG0L2</t>
        </is>
      </c>
    </row>
    <row r="231">
      <c r="A231" t="inlineStr">
        <is>
          <t>BBG01GQJG1K1 Equity</t>
        </is>
      </c>
      <c r="B231" t="inlineStr">
        <is>
          <t>TSLL US 07/21/23 P13</t>
        </is>
      </c>
      <c r="C231" t="inlineStr">
        <is>
          <t>2023-07-21</t>
        </is>
      </c>
      <c r="D231" t="n">
        <v>13</v>
      </c>
      <c r="E231" t="inlineStr">
        <is>
          <t>BBG01GQJG1K1</t>
        </is>
      </c>
    </row>
    <row r="232">
      <c r="A232" t="inlineStr">
        <is>
          <t>BBG01GQJG2K9 Equity</t>
        </is>
      </c>
      <c r="B232" t="inlineStr">
        <is>
          <t>TSLL US 07/21/23 P14</t>
        </is>
      </c>
      <c r="C232" t="inlineStr">
        <is>
          <t>2023-07-21</t>
        </is>
      </c>
      <c r="D232" t="n">
        <v>14</v>
      </c>
      <c r="E232" t="inlineStr">
        <is>
          <t>BBG01GQJG2K9</t>
        </is>
      </c>
    </row>
    <row r="233">
      <c r="A233" t="inlineStr">
        <is>
          <t>BBG01GQJG3J9 Equity</t>
        </is>
      </c>
      <c r="B233" t="inlineStr">
        <is>
          <t>TSLL US 07/21/23 P15</t>
        </is>
      </c>
      <c r="C233" t="inlineStr">
        <is>
          <t>2023-07-21</t>
        </is>
      </c>
      <c r="D233" t="n">
        <v>15</v>
      </c>
      <c r="E233" t="inlineStr">
        <is>
          <t>BBG01GQJG3J9</t>
        </is>
      </c>
    </row>
    <row r="234">
      <c r="A234" t="inlineStr">
        <is>
          <t>BBG01GQJG4H9 Equity</t>
        </is>
      </c>
      <c r="B234" t="inlineStr">
        <is>
          <t>TSLL US 07/21/23 P16</t>
        </is>
      </c>
      <c r="C234" t="inlineStr">
        <is>
          <t>2023-07-21</t>
        </is>
      </c>
      <c r="D234" t="n">
        <v>16</v>
      </c>
      <c r="E234" t="inlineStr">
        <is>
          <t>BBG01GQJG4H9</t>
        </is>
      </c>
    </row>
    <row r="235">
      <c r="A235" t="inlineStr">
        <is>
          <t>BBG01GQJG5H6 Equity</t>
        </is>
      </c>
      <c r="B235" t="inlineStr">
        <is>
          <t>TSLL US 07/21/23 P17</t>
        </is>
      </c>
      <c r="C235" t="inlineStr">
        <is>
          <t>2023-07-21</t>
        </is>
      </c>
      <c r="D235" t="n">
        <v>17</v>
      </c>
      <c r="E235" t="inlineStr">
        <is>
          <t>BBG01GQJG5H6</t>
        </is>
      </c>
    </row>
    <row r="236">
      <c r="A236" t="inlineStr">
        <is>
          <t>BBG01GQJG6G5 Equity</t>
        </is>
      </c>
      <c r="B236" t="inlineStr">
        <is>
          <t>TSLL US 07/21/23 P18</t>
        </is>
      </c>
      <c r="C236" t="inlineStr">
        <is>
          <t>2023-07-21</t>
        </is>
      </c>
      <c r="D236" t="n">
        <v>18</v>
      </c>
      <c r="E236" t="inlineStr">
        <is>
          <t>BBG01GQJG6G5</t>
        </is>
      </c>
    </row>
    <row r="237">
      <c r="A237" t="inlineStr">
        <is>
          <t>BBG01GSL94Z0 Equity</t>
        </is>
      </c>
      <c r="B237" t="inlineStr">
        <is>
          <t>TSLL US 07/21/23 P19</t>
        </is>
      </c>
      <c r="C237" t="inlineStr">
        <is>
          <t>2023-07-21</t>
        </is>
      </c>
      <c r="D237" t="n">
        <v>19</v>
      </c>
      <c r="E237" t="inlineStr">
        <is>
          <t>BBG01GSL94Z0</t>
        </is>
      </c>
    </row>
    <row r="238">
      <c r="A238" t="inlineStr">
        <is>
          <t>BBG01GVRFZC2 Equity</t>
        </is>
      </c>
      <c r="B238" t="inlineStr">
        <is>
          <t>TSLL US 07/21/23 P20</t>
        </is>
      </c>
      <c r="C238" t="inlineStr">
        <is>
          <t>2023-07-21</t>
        </is>
      </c>
      <c r="D238" t="n">
        <v>20</v>
      </c>
      <c r="E238" t="inlineStr">
        <is>
          <t>BBG01GVRFZC2</t>
        </is>
      </c>
    </row>
    <row r="239">
      <c r="A239" t="inlineStr">
        <is>
          <t>BBG01GVRG0B9 Equity</t>
        </is>
      </c>
      <c r="B239" t="inlineStr">
        <is>
          <t>TSLL US 07/21/23 P21</t>
        </is>
      </c>
      <c r="C239" t="inlineStr">
        <is>
          <t>2023-07-21</t>
        </is>
      </c>
      <c r="D239" t="n">
        <v>21</v>
      </c>
      <c r="E239" t="inlineStr">
        <is>
          <t>BBG01GVRG0B9</t>
        </is>
      </c>
    </row>
    <row r="240">
      <c r="A240" t="inlineStr">
        <is>
          <t>BBG01GX1NRS9 Equity</t>
        </is>
      </c>
      <c r="B240" t="inlineStr">
        <is>
          <t>TSLL US 07/21/23 P22</t>
        </is>
      </c>
      <c r="C240" t="inlineStr">
        <is>
          <t>2023-07-21</t>
        </is>
      </c>
      <c r="D240" t="n">
        <v>22</v>
      </c>
      <c r="E240" t="inlineStr">
        <is>
          <t>BBG01GX1NRS9</t>
        </is>
      </c>
    </row>
    <row r="241">
      <c r="A241" t="inlineStr">
        <is>
          <t>BBG01GXF18Y7 Equity</t>
        </is>
      </c>
      <c r="B241" t="inlineStr">
        <is>
          <t>TSLL US 07/21/23 P23</t>
        </is>
      </c>
      <c r="C241" t="inlineStr">
        <is>
          <t>2023-07-21</t>
        </is>
      </c>
      <c r="D241" t="n">
        <v>23</v>
      </c>
      <c r="E241" t="inlineStr">
        <is>
          <t>BBG01GXF18Y7</t>
        </is>
      </c>
    </row>
    <row r="242">
      <c r="A242" t="inlineStr">
        <is>
          <t>BBG01GZRCTD4 Equity</t>
        </is>
      </c>
      <c r="B242" t="inlineStr">
        <is>
          <t>TSLL US 07/21/23 P25</t>
        </is>
      </c>
      <c r="C242" t="inlineStr">
        <is>
          <t>2023-07-21</t>
        </is>
      </c>
      <c r="D242" t="n">
        <v>25</v>
      </c>
      <c r="E242" t="inlineStr">
        <is>
          <t>BBG01GZRCTD4</t>
        </is>
      </c>
    </row>
    <row r="243">
      <c r="A243" t="inlineStr">
        <is>
          <t>BBG01H26CTJ8 Equity</t>
        </is>
      </c>
      <c r="B243" t="inlineStr">
        <is>
          <t>TSLL US 08/18/23 P2.5</t>
        </is>
      </c>
      <c r="C243" t="inlineStr">
        <is>
          <t>2023-08-18</t>
        </is>
      </c>
      <c r="D243" t="n">
        <v>2.5</v>
      </c>
      <c r="E243" t="inlineStr">
        <is>
          <t>BBG01H26CTJ8</t>
        </is>
      </c>
    </row>
    <row r="244">
      <c r="A244" t="inlineStr">
        <is>
          <t>BBG01H26CVJ3 Equity</t>
        </is>
      </c>
      <c r="B244" t="inlineStr">
        <is>
          <t>TSLL US 08/18/23 P5</t>
        </is>
      </c>
      <c r="C244" t="inlineStr">
        <is>
          <t>2023-08-18</t>
        </is>
      </c>
      <c r="D244" t="n">
        <v>5</v>
      </c>
      <c r="E244" t="inlineStr">
        <is>
          <t>BBG01H26CVJ3</t>
        </is>
      </c>
    </row>
    <row r="245">
      <c r="A245" t="inlineStr">
        <is>
          <t>BBG01H26CWH3 Equity</t>
        </is>
      </c>
      <c r="B245" t="inlineStr">
        <is>
          <t>TSLL US 08/18/23 P7</t>
        </is>
      </c>
      <c r="C245" t="inlineStr">
        <is>
          <t>2023-08-18</t>
        </is>
      </c>
      <c r="D245" t="n">
        <v>7</v>
      </c>
      <c r="E245" t="inlineStr">
        <is>
          <t>BBG01H26CWH3</t>
        </is>
      </c>
    </row>
    <row r="246">
      <c r="A246" t="inlineStr">
        <is>
          <t>BBG01H26CXG2 Equity</t>
        </is>
      </c>
      <c r="B246" t="inlineStr">
        <is>
          <t>TSLL US 08/18/23 P8</t>
        </is>
      </c>
      <c r="C246" t="inlineStr">
        <is>
          <t>2023-08-18</t>
        </is>
      </c>
      <c r="D246" t="n">
        <v>8</v>
      </c>
      <c r="E246" t="inlineStr">
        <is>
          <t>BBG01H26CXG2</t>
        </is>
      </c>
    </row>
    <row r="247">
      <c r="A247" t="inlineStr">
        <is>
          <t>BBG01H26CYF1 Equity</t>
        </is>
      </c>
      <c r="B247" t="inlineStr">
        <is>
          <t>TSLL US 08/18/23 P9</t>
        </is>
      </c>
      <c r="C247" t="inlineStr">
        <is>
          <t>2023-08-18</t>
        </is>
      </c>
      <c r="D247" t="n">
        <v>9</v>
      </c>
      <c r="E247" t="inlineStr">
        <is>
          <t>BBG01H26CYF1</t>
        </is>
      </c>
    </row>
    <row r="248">
      <c r="A248" t="inlineStr">
        <is>
          <t>BBG01H26CZF8 Equity</t>
        </is>
      </c>
      <c r="B248" t="inlineStr">
        <is>
          <t>TSLL US 08/18/23 P10</t>
        </is>
      </c>
      <c r="C248" t="inlineStr">
        <is>
          <t>2023-08-18</t>
        </is>
      </c>
      <c r="D248" t="n">
        <v>10</v>
      </c>
      <c r="E248" t="inlineStr">
        <is>
          <t>BBG01H26CZF8</t>
        </is>
      </c>
    </row>
    <row r="249">
      <c r="A249" t="inlineStr">
        <is>
          <t>BBG01H26D0D6 Equity</t>
        </is>
      </c>
      <c r="B249" t="inlineStr">
        <is>
          <t>TSLL US 08/18/23 P11</t>
        </is>
      </c>
      <c r="C249" t="inlineStr">
        <is>
          <t>2023-08-18</t>
        </is>
      </c>
      <c r="D249" t="n">
        <v>11</v>
      </c>
      <c r="E249" t="inlineStr">
        <is>
          <t>BBG01H26D0D6</t>
        </is>
      </c>
    </row>
    <row r="250">
      <c r="A250" t="inlineStr">
        <is>
          <t>BBG01H26D1C5 Equity</t>
        </is>
      </c>
      <c r="B250" t="inlineStr">
        <is>
          <t>TSLL US 08/18/23 P12</t>
        </is>
      </c>
      <c r="C250" t="inlineStr">
        <is>
          <t>2023-08-18</t>
        </is>
      </c>
      <c r="D250" t="n">
        <v>12</v>
      </c>
      <c r="E250" t="inlineStr">
        <is>
          <t>BBG01H26D1C5</t>
        </is>
      </c>
    </row>
    <row r="251">
      <c r="A251" t="inlineStr">
        <is>
          <t>BBG01H26D2C3 Equity</t>
        </is>
      </c>
      <c r="B251" t="inlineStr">
        <is>
          <t>TSLL US 08/18/23 P13</t>
        </is>
      </c>
      <c r="C251" t="inlineStr">
        <is>
          <t>2023-08-18</t>
        </is>
      </c>
      <c r="D251" t="n">
        <v>13</v>
      </c>
      <c r="E251" t="inlineStr">
        <is>
          <t>BBG01H26D2C3</t>
        </is>
      </c>
    </row>
    <row r="252">
      <c r="A252" t="inlineStr">
        <is>
          <t>BBG01H26D3B2 Equity</t>
        </is>
      </c>
      <c r="B252" t="inlineStr">
        <is>
          <t>TSLL US 08/18/23 P14</t>
        </is>
      </c>
      <c r="C252" t="inlineStr">
        <is>
          <t>2023-08-18</t>
        </is>
      </c>
      <c r="D252" t="n">
        <v>14</v>
      </c>
      <c r="E252" t="inlineStr">
        <is>
          <t>BBG01H26D3B2</t>
        </is>
      </c>
    </row>
    <row r="253">
      <c r="A253" t="inlineStr">
        <is>
          <t>BBG01H26D493 Equity</t>
        </is>
      </c>
      <c r="B253" t="inlineStr">
        <is>
          <t>TSLL US 08/18/23 P15</t>
        </is>
      </c>
      <c r="C253" t="inlineStr">
        <is>
          <t>2023-08-18</t>
        </is>
      </c>
      <c r="D253" t="n">
        <v>15</v>
      </c>
      <c r="E253" t="inlineStr">
        <is>
          <t>BBG01H26D493</t>
        </is>
      </c>
    </row>
    <row r="254">
      <c r="A254" t="inlineStr">
        <is>
          <t>BBG01H26D590 Equity</t>
        </is>
      </c>
      <c r="B254" t="inlineStr">
        <is>
          <t>TSLL US 08/18/23 P16</t>
        </is>
      </c>
      <c r="C254" t="inlineStr">
        <is>
          <t>2023-08-18</t>
        </is>
      </c>
      <c r="D254" t="n">
        <v>16</v>
      </c>
      <c r="E254" t="inlineStr">
        <is>
          <t>BBG01H26D590</t>
        </is>
      </c>
    </row>
    <row r="255">
      <c r="A255" t="inlineStr">
        <is>
          <t>BBG01H26D689 Equity</t>
        </is>
      </c>
      <c r="B255" t="inlineStr">
        <is>
          <t>TSLL US 08/18/23 P17</t>
        </is>
      </c>
      <c r="C255" t="inlineStr">
        <is>
          <t>2023-08-18</t>
        </is>
      </c>
      <c r="D255" t="n">
        <v>17</v>
      </c>
      <c r="E255" t="inlineStr">
        <is>
          <t>BBG01H26D689</t>
        </is>
      </c>
    </row>
    <row r="256">
      <c r="A256" t="inlineStr">
        <is>
          <t>BBG01H26D778 Equity</t>
        </is>
      </c>
      <c r="B256" t="inlineStr">
        <is>
          <t>TSLL US 08/18/23 P18</t>
        </is>
      </c>
      <c r="C256" t="inlineStr">
        <is>
          <t>2023-08-18</t>
        </is>
      </c>
      <c r="D256" t="n">
        <v>18</v>
      </c>
      <c r="E256" t="inlineStr">
        <is>
          <t>BBG01H26D778</t>
        </is>
      </c>
    </row>
    <row r="257">
      <c r="A257" t="inlineStr">
        <is>
          <t>BBG01H26D867 Equity</t>
        </is>
      </c>
      <c r="B257" t="inlineStr">
        <is>
          <t>TSLL US 08/18/23 P19</t>
        </is>
      </c>
      <c r="C257" t="inlineStr">
        <is>
          <t>2023-08-18</t>
        </is>
      </c>
      <c r="D257" t="n">
        <v>19</v>
      </c>
      <c r="E257" t="inlineStr">
        <is>
          <t>BBG01H26D867</t>
        </is>
      </c>
    </row>
    <row r="258">
      <c r="A258" t="inlineStr">
        <is>
          <t>BBG01H26D965 Equity</t>
        </is>
      </c>
      <c r="B258" t="inlineStr">
        <is>
          <t>TSLL US 08/18/23 P20</t>
        </is>
      </c>
      <c r="C258" t="inlineStr">
        <is>
          <t>2023-08-18</t>
        </is>
      </c>
      <c r="D258" t="n">
        <v>20</v>
      </c>
      <c r="E258" t="inlineStr">
        <is>
          <t>BBG01H26D965</t>
        </is>
      </c>
    </row>
    <row r="259">
      <c r="A259" t="inlineStr">
        <is>
          <t>BBG01H26DB51 Equity</t>
        </is>
      </c>
      <c r="B259" t="inlineStr">
        <is>
          <t>TSLL US 08/18/23 P21</t>
        </is>
      </c>
      <c r="C259" t="inlineStr">
        <is>
          <t>2023-08-18</t>
        </is>
      </c>
      <c r="D259" t="n">
        <v>21</v>
      </c>
      <c r="E259" t="inlineStr">
        <is>
          <t>BBG01H26DB51</t>
        </is>
      </c>
    </row>
    <row r="260">
      <c r="A260" t="inlineStr">
        <is>
          <t>BBG01H26DC40 Equity</t>
        </is>
      </c>
      <c r="B260" t="inlineStr">
        <is>
          <t>TSLL US 08/18/23 P22</t>
        </is>
      </c>
      <c r="C260" t="inlineStr">
        <is>
          <t>2023-08-18</t>
        </is>
      </c>
      <c r="D260" t="n">
        <v>22</v>
      </c>
      <c r="E260" t="inlineStr">
        <is>
          <t>BBG01H26DC40</t>
        </is>
      </c>
    </row>
    <row r="261">
      <c r="A261" t="inlineStr">
        <is>
          <t>BBG01H26DD48 Equity</t>
        </is>
      </c>
      <c r="B261" t="inlineStr">
        <is>
          <t>TSLL US 08/18/23 P23</t>
        </is>
      </c>
      <c r="C261" t="inlineStr">
        <is>
          <t>2023-08-18</t>
        </is>
      </c>
      <c r="D261" t="n">
        <v>23</v>
      </c>
      <c r="E261" t="inlineStr">
        <is>
          <t>BBG01H26DD48</t>
        </is>
      </c>
    </row>
    <row r="262">
      <c r="A262" t="inlineStr">
        <is>
          <t>BBG01H26DF34 Equity</t>
        </is>
      </c>
      <c r="B262" t="inlineStr">
        <is>
          <t>TSLL US 08/18/23 P24</t>
        </is>
      </c>
      <c r="C262" t="inlineStr">
        <is>
          <t>2023-08-18</t>
        </is>
      </c>
      <c r="D262" t="n">
        <v>24</v>
      </c>
      <c r="E262" t="inlineStr">
        <is>
          <t>BBG01H26DF34</t>
        </is>
      </c>
    </row>
    <row r="263">
      <c r="A263" t="inlineStr">
        <is>
          <t>BBG01H26DG23 Equity</t>
        </is>
      </c>
      <c r="B263" t="inlineStr">
        <is>
          <t>TSLL US 08/18/23 P25</t>
        </is>
      </c>
      <c r="C263" t="inlineStr">
        <is>
          <t>2023-08-18</t>
        </is>
      </c>
      <c r="D263" t="n">
        <v>25</v>
      </c>
      <c r="E263" t="inlineStr">
        <is>
          <t>BBG01H26DG23</t>
        </is>
      </c>
    </row>
    <row r="264">
      <c r="A264" t="inlineStr">
        <is>
          <t>BBG01H26DH21 Equity</t>
        </is>
      </c>
      <c r="B264" t="inlineStr">
        <is>
          <t>TSLL US 08/18/23 P26</t>
        </is>
      </c>
      <c r="C264" t="inlineStr">
        <is>
          <t>2023-08-18</t>
        </is>
      </c>
      <c r="D264" t="n">
        <v>26</v>
      </c>
      <c r="E264" t="inlineStr">
        <is>
          <t>BBG01H26DH21</t>
        </is>
      </c>
    </row>
    <row r="265">
      <c r="A265" t="inlineStr">
        <is>
          <t>BBG01H26DJ18 Equity</t>
        </is>
      </c>
      <c r="B265" t="inlineStr">
        <is>
          <t>TSLL US 08/18/23 P27</t>
        </is>
      </c>
      <c r="C265" t="inlineStr">
        <is>
          <t>2023-08-18</t>
        </is>
      </c>
      <c r="D265" t="n">
        <v>27</v>
      </c>
      <c r="E265" t="inlineStr">
        <is>
          <t>BBG01H26DJ18</t>
        </is>
      </c>
    </row>
    <row r="266">
      <c r="A266" t="inlineStr">
        <is>
          <t>BBG01H26DK06 Equity</t>
        </is>
      </c>
      <c r="B266" t="inlineStr">
        <is>
          <t>TSLL US 08/18/23 P30</t>
        </is>
      </c>
      <c r="C266" t="inlineStr">
        <is>
          <t>2023-08-18</t>
        </is>
      </c>
      <c r="D266" t="n">
        <v>30</v>
      </c>
      <c r="E266" t="inlineStr">
        <is>
          <t>BBG01H26DK06</t>
        </is>
      </c>
    </row>
    <row r="267">
      <c r="A267" t="inlineStr">
        <is>
          <t>BBG01CG2FH51 Equity</t>
        </is>
      </c>
      <c r="B267" t="inlineStr">
        <is>
          <t>TSLL US 09/15/23 P1</t>
        </is>
      </c>
      <c r="C267" t="inlineStr">
        <is>
          <t>2023-09-15</t>
        </is>
      </c>
      <c r="D267" t="n">
        <v>1</v>
      </c>
      <c r="E267" t="inlineStr">
        <is>
          <t>BBG01CG2FH51</t>
        </is>
      </c>
    </row>
    <row r="268">
      <c r="A268" t="inlineStr">
        <is>
          <t>BBG01CG2FJ02 Equity</t>
        </is>
      </c>
      <c r="B268" t="inlineStr">
        <is>
          <t>TSLL US 09/15/23 P2</t>
        </is>
      </c>
      <c r="C268" t="inlineStr">
        <is>
          <t>2023-09-15</t>
        </is>
      </c>
      <c r="D268" t="n">
        <v>2</v>
      </c>
      <c r="E268" t="inlineStr">
        <is>
          <t>BBG01CG2FJ02</t>
        </is>
      </c>
    </row>
    <row r="269">
      <c r="A269" t="inlineStr">
        <is>
          <t>BBG01CG2FJS2 Equity</t>
        </is>
      </c>
      <c r="B269" t="inlineStr">
        <is>
          <t>TSLL US 09/15/23 P3</t>
        </is>
      </c>
      <c r="C269" t="inlineStr">
        <is>
          <t>2023-09-15</t>
        </is>
      </c>
      <c r="D269" t="n">
        <v>3</v>
      </c>
      <c r="E269" t="inlineStr">
        <is>
          <t>BBG01CG2FJS2</t>
        </is>
      </c>
    </row>
    <row r="270">
      <c r="A270" t="inlineStr">
        <is>
          <t>BBG01CG2FKK7 Equity</t>
        </is>
      </c>
      <c r="B270" t="inlineStr">
        <is>
          <t>TSLL US 09/15/23 P4</t>
        </is>
      </c>
      <c r="C270" t="inlineStr">
        <is>
          <t>2023-09-15</t>
        </is>
      </c>
      <c r="D270" t="n">
        <v>4</v>
      </c>
      <c r="E270" t="inlineStr">
        <is>
          <t>BBG01CG2FKK7</t>
        </is>
      </c>
    </row>
    <row r="271">
      <c r="A271" t="inlineStr">
        <is>
          <t>BBG01CG2FLB5 Equity</t>
        </is>
      </c>
      <c r="B271" t="inlineStr">
        <is>
          <t>TSLL US 09/15/23 P5</t>
        </is>
      </c>
      <c r="C271" t="inlineStr">
        <is>
          <t>2023-09-15</t>
        </is>
      </c>
      <c r="D271" t="n">
        <v>5</v>
      </c>
      <c r="E271" t="inlineStr">
        <is>
          <t>BBG01CG2FLB5</t>
        </is>
      </c>
    </row>
    <row r="272">
      <c r="A272" t="inlineStr">
        <is>
          <t>BBG01CG2FM69 Equity</t>
        </is>
      </c>
      <c r="B272" t="inlineStr">
        <is>
          <t>TSLL US 09/15/23 P6</t>
        </is>
      </c>
      <c r="C272" t="inlineStr">
        <is>
          <t>2023-09-15</t>
        </is>
      </c>
      <c r="D272" t="n">
        <v>6</v>
      </c>
      <c r="E272" t="inlineStr">
        <is>
          <t>BBG01CG2FM69</t>
        </is>
      </c>
    </row>
    <row r="273">
      <c r="A273" t="inlineStr">
        <is>
          <t>BBG01CG2FMZ7 Equity</t>
        </is>
      </c>
      <c r="B273" t="inlineStr">
        <is>
          <t>TSLL US 09/15/23 P7</t>
        </is>
      </c>
      <c r="C273" t="inlineStr">
        <is>
          <t>2023-09-15</t>
        </is>
      </c>
      <c r="D273" t="n">
        <v>7</v>
      </c>
      <c r="E273" t="inlineStr">
        <is>
          <t>BBG01CG2FMZ7</t>
        </is>
      </c>
    </row>
    <row r="274">
      <c r="A274" t="inlineStr">
        <is>
          <t>BBG01CG2FNR4 Equity</t>
        </is>
      </c>
      <c r="B274" t="inlineStr">
        <is>
          <t>TSLL US 09/15/23 P8</t>
        </is>
      </c>
      <c r="C274" t="inlineStr">
        <is>
          <t>2023-09-15</t>
        </is>
      </c>
      <c r="D274" t="n">
        <v>8</v>
      </c>
      <c r="E274" t="inlineStr">
        <is>
          <t>BBG01CG2FNR4</t>
        </is>
      </c>
    </row>
    <row r="275">
      <c r="A275" t="inlineStr">
        <is>
          <t>BBG01CG2FPJ8 Equity</t>
        </is>
      </c>
      <c r="B275" t="inlineStr">
        <is>
          <t>TSLL US 09/15/23 P9</t>
        </is>
      </c>
      <c r="C275" t="inlineStr">
        <is>
          <t>2023-09-15</t>
        </is>
      </c>
      <c r="D275" t="n">
        <v>9</v>
      </c>
      <c r="E275" t="inlineStr">
        <is>
          <t>BBG01CG2FPJ8</t>
        </is>
      </c>
    </row>
    <row r="276">
      <c r="A276" t="inlineStr">
        <is>
          <t>BBG01CG2FQB4 Equity</t>
        </is>
      </c>
      <c r="B276" t="inlineStr">
        <is>
          <t>TSLL US 09/15/23 P10</t>
        </is>
      </c>
      <c r="C276" t="inlineStr">
        <is>
          <t>2023-09-15</t>
        </is>
      </c>
      <c r="D276" t="n">
        <v>10</v>
      </c>
      <c r="E276" t="inlineStr">
        <is>
          <t>BBG01CG2FQB4</t>
        </is>
      </c>
    </row>
    <row r="277">
      <c r="A277" t="inlineStr">
        <is>
          <t>BBG01CG2FR31 Equity</t>
        </is>
      </c>
      <c r="B277" t="inlineStr">
        <is>
          <t>TSLL US 09/15/23 P11</t>
        </is>
      </c>
      <c r="C277" t="inlineStr">
        <is>
          <t>2023-09-15</t>
        </is>
      </c>
      <c r="D277" t="n">
        <v>11</v>
      </c>
      <c r="E277" t="inlineStr">
        <is>
          <t>BBG01CG2FR31</t>
        </is>
      </c>
    </row>
    <row r="278">
      <c r="A278" t="inlineStr">
        <is>
          <t>BBG01CG2FRW9 Equity</t>
        </is>
      </c>
      <c r="B278" t="inlineStr">
        <is>
          <t>TSLL US 09/15/23 P12</t>
        </is>
      </c>
      <c r="C278" t="inlineStr">
        <is>
          <t>2023-09-15</t>
        </is>
      </c>
      <c r="D278" t="n">
        <v>12</v>
      </c>
      <c r="E278" t="inlineStr">
        <is>
          <t>BBG01CG2FRW9</t>
        </is>
      </c>
    </row>
    <row r="279">
      <c r="A279" t="inlineStr">
        <is>
          <t>BBG01CG2FSN7 Equity</t>
        </is>
      </c>
      <c r="B279" t="inlineStr">
        <is>
          <t>TSLL US 09/15/23 P13</t>
        </is>
      </c>
      <c r="C279" t="inlineStr">
        <is>
          <t>2023-09-15</t>
        </is>
      </c>
      <c r="D279" t="n">
        <v>13</v>
      </c>
      <c r="E279" t="inlineStr">
        <is>
          <t>BBG01CG2FSN7</t>
        </is>
      </c>
    </row>
    <row r="280">
      <c r="A280" t="inlineStr">
        <is>
          <t>BBG01DC5SBB8 Equity</t>
        </is>
      </c>
      <c r="B280" t="inlineStr">
        <is>
          <t>TSLL US 09/15/23 P14</t>
        </is>
      </c>
      <c r="C280" t="inlineStr">
        <is>
          <t>2023-09-15</t>
        </is>
      </c>
      <c r="D280" t="n">
        <v>14</v>
      </c>
      <c r="E280" t="inlineStr">
        <is>
          <t>BBG01DC5SBB8</t>
        </is>
      </c>
    </row>
    <row r="281">
      <c r="A281" t="inlineStr">
        <is>
          <t>BBG01DC5SC35 Equity</t>
        </is>
      </c>
      <c r="B281" t="inlineStr">
        <is>
          <t>TSLL US 09/15/23 P15</t>
        </is>
      </c>
      <c r="C281" t="inlineStr">
        <is>
          <t>2023-09-15</t>
        </is>
      </c>
      <c r="D281" t="n">
        <v>15</v>
      </c>
      <c r="E281" t="inlineStr">
        <is>
          <t>BBG01DC5SC35</t>
        </is>
      </c>
    </row>
    <row r="282">
      <c r="A282" t="inlineStr">
        <is>
          <t>BBG01DJ4RFQ0 Equity</t>
        </is>
      </c>
      <c r="B282" t="inlineStr">
        <is>
          <t>TSLL US 09/15/23 P16</t>
        </is>
      </c>
      <c r="C282" t="inlineStr">
        <is>
          <t>2023-09-15</t>
        </is>
      </c>
      <c r="D282" t="n">
        <v>16</v>
      </c>
      <c r="E282" t="inlineStr">
        <is>
          <t>BBG01DJ4RFQ0</t>
        </is>
      </c>
    </row>
    <row r="283">
      <c r="A283" t="inlineStr">
        <is>
          <t>BBG01DJ4RGH8 Equity</t>
        </is>
      </c>
      <c r="B283" t="inlineStr">
        <is>
          <t>TSLL US 09/15/23 P17</t>
        </is>
      </c>
      <c r="C283" t="inlineStr">
        <is>
          <t>2023-09-15</t>
        </is>
      </c>
      <c r="D283" t="n">
        <v>17</v>
      </c>
      <c r="E283" t="inlineStr">
        <is>
          <t>BBG01DJ4RGH8</t>
        </is>
      </c>
    </row>
    <row r="284">
      <c r="A284" t="inlineStr">
        <is>
          <t>BBG01DMN5SV4 Equity</t>
        </is>
      </c>
      <c r="B284" t="inlineStr">
        <is>
          <t>TSLL US 09/15/23 P18</t>
        </is>
      </c>
      <c r="C284" t="inlineStr">
        <is>
          <t>2023-09-15</t>
        </is>
      </c>
      <c r="D284" t="n">
        <v>18</v>
      </c>
      <c r="E284" t="inlineStr">
        <is>
          <t>BBG01DMN5SV4</t>
        </is>
      </c>
    </row>
    <row r="285">
      <c r="A285" t="inlineStr">
        <is>
          <t>BBG01DMN5TM2 Equity</t>
        </is>
      </c>
      <c r="B285" t="inlineStr">
        <is>
          <t>TSLL US 09/15/23 P19</t>
        </is>
      </c>
      <c r="C285" t="inlineStr">
        <is>
          <t>2023-09-15</t>
        </is>
      </c>
      <c r="D285" t="n">
        <v>19</v>
      </c>
      <c r="E285" t="inlineStr">
        <is>
          <t>BBG01DMN5TM2</t>
        </is>
      </c>
    </row>
    <row r="286">
      <c r="A286" t="inlineStr">
        <is>
          <t>BBG01DMN5VF5 Equity</t>
        </is>
      </c>
      <c r="B286" t="inlineStr">
        <is>
          <t>TSLL US 09/15/23 P20</t>
        </is>
      </c>
      <c r="C286" t="inlineStr">
        <is>
          <t>2023-09-15</t>
        </is>
      </c>
      <c r="D286" t="n">
        <v>20</v>
      </c>
      <c r="E286" t="inlineStr">
        <is>
          <t>BBG01DMN5VF5</t>
        </is>
      </c>
    </row>
    <row r="287">
      <c r="A287" t="inlineStr">
        <is>
          <t>BBG01F2T7K61 Equity</t>
        </is>
      </c>
      <c r="B287" t="inlineStr">
        <is>
          <t>TSLL US 09/15/23 P21</t>
        </is>
      </c>
      <c r="C287" t="inlineStr">
        <is>
          <t>2023-09-15</t>
        </is>
      </c>
      <c r="D287" t="n">
        <v>21</v>
      </c>
      <c r="E287" t="inlineStr">
        <is>
          <t>BBG01F2T7K61</t>
        </is>
      </c>
    </row>
    <row r="288">
      <c r="A288" t="inlineStr">
        <is>
          <t>BBG01F2T7L50 Equity</t>
        </is>
      </c>
      <c r="B288" t="inlineStr">
        <is>
          <t>TSLL US 09/15/23 P22</t>
        </is>
      </c>
      <c r="C288" t="inlineStr">
        <is>
          <t>2023-09-15</t>
        </is>
      </c>
      <c r="D288" t="n">
        <v>22</v>
      </c>
      <c r="E288" t="inlineStr">
        <is>
          <t>BBG01F2T7L50</t>
        </is>
      </c>
    </row>
    <row r="289">
      <c r="A289" t="inlineStr">
        <is>
          <t>BBG01F2T7M49 Equity</t>
        </is>
      </c>
      <c r="B289" t="inlineStr">
        <is>
          <t>TSLL US 09/15/23 P23</t>
        </is>
      </c>
      <c r="C289" t="inlineStr">
        <is>
          <t>2023-09-15</t>
        </is>
      </c>
      <c r="D289" t="n">
        <v>23</v>
      </c>
      <c r="E289" t="inlineStr">
        <is>
          <t>BBG01F2T7M49</t>
        </is>
      </c>
    </row>
    <row r="290">
      <c r="A290" t="inlineStr">
        <is>
          <t>BBG01F3WHDW9 Equity</t>
        </is>
      </c>
      <c r="B290" t="inlineStr">
        <is>
          <t>TSLL US 09/15/23 P24</t>
        </is>
      </c>
      <c r="C290" t="inlineStr">
        <is>
          <t>2023-09-15</t>
        </is>
      </c>
      <c r="D290" t="n">
        <v>24</v>
      </c>
      <c r="E290" t="inlineStr">
        <is>
          <t>BBG01F3WHDW9</t>
        </is>
      </c>
    </row>
    <row r="291">
      <c r="A291" t="inlineStr">
        <is>
          <t>BBG01FDNF450 Equity</t>
        </is>
      </c>
      <c r="B291" t="inlineStr">
        <is>
          <t>TSLL US 09/15/23 P25</t>
        </is>
      </c>
      <c r="C291" t="inlineStr">
        <is>
          <t>2023-09-15</t>
        </is>
      </c>
      <c r="D291" t="n">
        <v>25</v>
      </c>
      <c r="E291" t="inlineStr">
        <is>
          <t>BBG01FDNF450</t>
        </is>
      </c>
    </row>
    <row r="292">
      <c r="A292" t="inlineStr">
        <is>
          <t>BBG01H8N33L9 Equity</t>
        </is>
      </c>
      <c r="B292" t="inlineStr">
        <is>
          <t>TSLL US 09/15/23 P30</t>
        </is>
      </c>
      <c r="C292" t="inlineStr">
        <is>
          <t>2023-09-15</t>
        </is>
      </c>
      <c r="D292" t="n">
        <v>30</v>
      </c>
      <c r="E292" t="inlineStr">
        <is>
          <t>BBG01H8N33L9</t>
        </is>
      </c>
    </row>
    <row r="293">
      <c r="A293" t="inlineStr">
        <is>
          <t>BBG01HZ5MDW3 Equity</t>
        </is>
      </c>
      <c r="B293" t="inlineStr">
        <is>
          <t>TSLL US 10/20/23 P2.5</t>
        </is>
      </c>
      <c r="C293" t="inlineStr">
        <is>
          <t>2023-10-20</t>
        </is>
      </c>
      <c r="D293" t="n">
        <v>2.5</v>
      </c>
      <c r="E293" t="inlineStr">
        <is>
          <t>BBG01HZ5MDW3</t>
        </is>
      </c>
    </row>
    <row r="294">
      <c r="A294" t="inlineStr">
        <is>
          <t>BBG01HZ5MFV9 Equity</t>
        </is>
      </c>
      <c r="B294" t="inlineStr">
        <is>
          <t>TSLL US 10/20/23 P4</t>
        </is>
      </c>
      <c r="C294" t="inlineStr">
        <is>
          <t>2023-10-20</t>
        </is>
      </c>
      <c r="D294" t="n">
        <v>4</v>
      </c>
      <c r="E294" t="inlineStr">
        <is>
          <t>BBG01HZ5MFV9</t>
        </is>
      </c>
    </row>
    <row r="295">
      <c r="A295" t="inlineStr">
        <is>
          <t>BBG01HZ5MH09 Equity</t>
        </is>
      </c>
      <c r="B295" t="inlineStr">
        <is>
          <t>TSLL US 10/20/23 P5</t>
        </is>
      </c>
      <c r="C295" t="inlineStr">
        <is>
          <t>2023-10-20</t>
        </is>
      </c>
      <c r="D295" t="n">
        <v>5</v>
      </c>
      <c r="E295" t="inlineStr">
        <is>
          <t>BBG01HZ5MH09</t>
        </is>
      </c>
    </row>
    <row r="296">
      <c r="A296" t="inlineStr">
        <is>
          <t>BBG01HZ5MHZ1 Equity</t>
        </is>
      </c>
      <c r="B296" t="inlineStr">
        <is>
          <t>TSLL US 10/20/23 P6</t>
        </is>
      </c>
      <c r="C296" t="inlineStr">
        <is>
          <t>2023-10-20</t>
        </is>
      </c>
      <c r="D296" t="n">
        <v>6</v>
      </c>
      <c r="E296" t="inlineStr">
        <is>
          <t>BBG01HZ5MHZ1</t>
        </is>
      </c>
    </row>
    <row r="297">
      <c r="A297" t="inlineStr">
        <is>
          <t>BBG01HZ5MJY8 Equity</t>
        </is>
      </c>
      <c r="B297" t="inlineStr">
        <is>
          <t>TSLL US 10/20/23 P7</t>
        </is>
      </c>
      <c r="C297" t="inlineStr">
        <is>
          <t>2023-10-20</t>
        </is>
      </c>
      <c r="D297" t="n">
        <v>7</v>
      </c>
      <c r="E297" t="inlineStr">
        <is>
          <t>BBG01HZ5MJY8</t>
        </is>
      </c>
    </row>
    <row r="298">
      <c r="A298" t="inlineStr">
        <is>
          <t>BBG01HZ5MKY5 Equity</t>
        </is>
      </c>
      <c r="B298" t="inlineStr">
        <is>
          <t>TSLL US 10/20/23 P8</t>
        </is>
      </c>
      <c r="C298" t="inlineStr">
        <is>
          <t>2023-10-20</t>
        </is>
      </c>
      <c r="D298" t="n">
        <v>8</v>
      </c>
      <c r="E298" t="inlineStr">
        <is>
          <t>BBG01HZ5MKY5</t>
        </is>
      </c>
    </row>
    <row r="299">
      <c r="A299" t="inlineStr">
        <is>
          <t>BBG01HZ5MLX4 Equity</t>
        </is>
      </c>
      <c r="B299" t="inlineStr">
        <is>
          <t>TSLL US 10/20/23 P9</t>
        </is>
      </c>
      <c r="C299" t="inlineStr">
        <is>
          <t>2023-10-20</t>
        </is>
      </c>
      <c r="D299" t="n">
        <v>9</v>
      </c>
      <c r="E299" t="inlineStr">
        <is>
          <t>BBG01HZ5MLX4</t>
        </is>
      </c>
    </row>
    <row r="300">
      <c r="A300" t="inlineStr">
        <is>
          <t>BBG01HZ5MMW3 Equity</t>
        </is>
      </c>
      <c r="B300" t="inlineStr">
        <is>
          <t>TSLL US 10/20/23 P10</t>
        </is>
      </c>
      <c r="C300" t="inlineStr">
        <is>
          <t>2023-10-20</t>
        </is>
      </c>
      <c r="D300" t="n">
        <v>10</v>
      </c>
      <c r="E300" t="inlineStr">
        <is>
          <t>BBG01HZ5MMW3</t>
        </is>
      </c>
    </row>
    <row r="301">
      <c r="A301" t="inlineStr">
        <is>
          <t>BBG01HZ5MNX0 Equity</t>
        </is>
      </c>
      <c r="B301" t="inlineStr">
        <is>
          <t>TSLL US 10/20/23 P11</t>
        </is>
      </c>
      <c r="C301" t="inlineStr">
        <is>
          <t>2023-10-20</t>
        </is>
      </c>
      <c r="D301" t="n">
        <v>11</v>
      </c>
      <c r="E301" t="inlineStr">
        <is>
          <t>BBG01HZ5MNX0</t>
        </is>
      </c>
    </row>
    <row r="302">
      <c r="A302" t="inlineStr">
        <is>
          <t>BBG01HZ5MPW6 Equity</t>
        </is>
      </c>
      <c r="B302" t="inlineStr">
        <is>
          <t>TSLL US 10/20/23 P12</t>
        </is>
      </c>
      <c r="C302" t="inlineStr">
        <is>
          <t>2023-10-20</t>
        </is>
      </c>
      <c r="D302" t="n">
        <v>12</v>
      </c>
      <c r="E302" t="inlineStr">
        <is>
          <t>BBG01HZ5MPW6</t>
        </is>
      </c>
    </row>
    <row r="303">
      <c r="A303" t="inlineStr">
        <is>
          <t>BBG01JFSN5P5 Equity</t>
        </is>
      </c>
      <c r="B303" t="inlineStr">
        <is>
          <t>TSLL US 10/20/23 P12.5</t>
        </is>
      </c>
      <c r="C303" t="inlineStr">
        <is>
          <t>2023-10-20</t>
        </is>
      </c>
      <c r="D303" t="n">
        <v>12.5</v>
      </c>
      <c r="E303" t="inlineStr">
        <is>
          <t>BBG01JFSN5P5</t>
        </is>
      </c>
    </row>
    <row r="304">
      <c r="A304" t="inlineStr">
        <is>
          <t>BBG01HZ5MQV5 Equity</t>
        </is>
      </c>
      <c r="B304" t="inlineStr">
        <is>
          <t>TSLL US 10/20/23 P13</t>
        </is>
      </c>
      <c r="C304" t="inlineStr">
        <is>
          <t>2023-10-20</t>
        </is>
      </c>
      <c r="D304" t="n">
        <v>13</v>
      </c>
      <c r="E304" t="inlineStr">
        <is>
          <t>BBG01HZ5MQV5</t>
        </is>
      </c>
    </row>
    <row r="305">
      <c r="A305" t="inlineStr">
        <is>
          <t>BBG01JFSN6N5 Equity</t>
        </is>
      </c>
      <c r="B305" t="inlineStr">
        <is>
          <t>TSLL US 10/20/23 P13.5</t>
        </is>
      </c>
      <c r="C305" t="inlineStr">
        <is>
          <t>2023-10-20</t>
        </is>
      </c>
      <c r="D305" t="n">
        <v>13.5</v>
      </c>
      <c r="E305" t="inlineStr">
        <is>
          <t>BBG01JFSN6N5</t>
        </is>
      </c>
    </row>
    <row r="306">
      <c r="A306" t="inlineStr">
        <is>
          <t>BBG01HZ5MRV3 Equity</t>
        </is>
      </c>
      <c r="B306" t="inlineStr">
        <is>
          <t>TSLL US 10/20/23 P14</t>
        </is>
      </c>
      <c r="C306" t="inlineStr">
        <is>
          <t>2023-10-20</t>
        </is>
      </c>
      <c r="D306" t="n">
        <v>14</v>
      </c>
      <c r="E306" t="inlineStr">
        <is>
          <t>BBG01HZ5MRV3</t>
        </is>
      </c>
    </row>
    <row r="307">
      <c r="A307" t="inlineStr">
        <is>
          <t>BBG01JFSN7M4 Equity</t>
        </is>
      </c>
      <c r="B307" t="inlineStr">
        <is>
          <t>TSLL US 10/20/23 P14.5</t>
        </is>
      </c>
      <c r="C307" t="inlineStr">
        <is>
          <t>2023-10-20</t>
        </is>
      </c>
      <c r="D307" t="n">
        <v>14.5</v>
      </c>
      <c r="E307" t="inlineStr">
        <is>
          <t>BBG01JFSN7M4</t>
        </is>
      </c>
    </row>
    <row r="308">
      <c r="A308" t="inlineStr">
        <is>
          <t>BBG01HZ5MST4 Equity</t>
        </is>
      </c>
      <c r="B308" t="inlineStr">
        <is>
          <t>TSLL US 10/20/23 P15</t>
        </is>
      </c>
      <c r="C308" t="inlineStr">
        <is>
          <t>2023-10-20</t>
        </is>
      </c>
      <c r="D308" t="n">
        <v>15</v>
      </c>
      <c r="E308" t="inlineStr">
        <is>
          <t>BBG01HZ5MST4</t>
        </is>
      </c>
    </row>
    <row r="309">
      <c r="A309" t="inlineStr">
        <is>
          <t>BBG01JFSN8M2 Equity</t>
        </is>
      </c>
      <c r="B309" t="inlineStr">
        <is>
          <t>TSLL US 10/20/23 P15.5</t>
        </is>
      </c>
      <c r="C309" t="inlineStr">
        <is>
          <t>2023-10-20</t>
        </is>
      </c>
      <c r="D309" t="n">
        <v>15.5</v>
      </c>
      <c r="E309" t="inlineStr">
        <is>
          <t>BBG01JFSN8M2</t>
        </is>
      </c>
    </row>
    <row r="310">
      <c r="A310" t="inlineStr">
        <is>
          <t>BBG01HZ5MTS3 Equity</t>
        </is>
      </c>
      <c r="B310" t="inlineStr">
        <is>
          <t>TSLL US 10/20/23 P16</t>
        </is>
      </c>
      <c r="C310" t="inlineStr">
        <is>
          <t>2023-10-20</t>
        </is>
      </c>
      <c r="D310" t="n">
        <v>16</v>
      </c>
      <c r="E310" t="inlineStr">
        <is>
          <t>BBG01HZ5MTS3</t>
        </is>
      </c>
    </row>
    <row r="311">
      <c r="A311" t="inlineStr">
        <is>
          <t>BBG01JFSN9L1 Equity</t>
        </is>
      </c>
      <c r="B311" t="inlineStr">
        <is>
          <t>TSLL US 10/20/23 P16.5</t>
        </is>
      </c>
      <c r="C311" t="inlineStr">
        <is>
          <t>2023-10-20</t>
        </is>
      </c>
      <c r="D311" t="n">
        <v>16.5</v>
      </c>
      <c r="E311" t="inlineStr">
        <is>
          <t>BBG01JFSN9L1</t>
        </is>
      </c>
    </row>
    <row r="312">
      <c r="A312" t="inlineStr">
        <is>
          <t>BBG01HZ5MVR9 Equity</t>
        </is>
      </c>
      <c r="B312" t="inlineStr">
        <is>
          <t>TSLL US 10/20/23 P17</t>
        </is>
      </c>
      <c r="C312" t="inlineStr">
        <is>
          <t>2023-10-20</t>
        </is>
      </c>
      <c r="D312" t="n">
        <v>17</v>
      </c>
      <c r="E312" t="inlineStr">
        <is>
          <t>BBG01HZ5MVR9</t>
        </is>
      </c>
    </row>
    <row r="313">
      <c r="A313" t="inlineStr">
        <is>
          <t>BBG01JFSNBK7 Equity</t>
        </is>
      </c>
      <c r="B313" t="inlineStr">
        <is>
          <t>TSLL US 10/20/23 P17.5</t>
        </is>
      </c>
      <c r="C313" t="inlineStr">
        <is>
          <t>2023-10-20</t>
        </is>
      </c>
      <c r="D313" t="n">
        <v>17.5</v>
      </c>
      <c r="E313" t="inlineStr">
        <is>
          <t>BBG01JFSNBK7</t>
        </is>
      </c>
    </row>
    <row r="314">
      <c r="A314" t="inlineStr">
        <is>
          <t>BBG01HZ5MWR7 Equity</t>
        </is>
      </c>
      <c r="B314" t="inlineStr">
        <is>
          <t>TSLL US 10/20/23 P18</t>
        </is>
      </c>
      <c r="C314" t="inlineStr">
        <is>
          <t>2023-10-20</t>
        </is>
      </c>
      <c r="D314" t="n">
        <v>18</v>
      </c>
      <c r="E314" t="inlineStr">
        <is>
          <t>BBG01HZ5MWR7</t>
        </is>
      </c>
    </row>
    <row r="315">
      <c r="A315" t="inlineStr">
        <is>
          <t>BBG01JFSNCK5 Equity</t>
        </is>
      </c>
      <c r="B315" t="inlineStr">
        <is>
          <t>TSLL US 10/20/23 P18.5</t>
        </is>
      </c>
      <c r="C315" t="inlineStr">
        <is>
          <t>2023-10-20</t>
        </is>
      </c>
      <c r="D315" t="n">
        <v>18.5</v>
      </c>
      <c r="E315" t="inlineStr">
        <is>
          <t>BBG01JFSNCK5</t>
        </is>
      </c>
    </row>
    <row r="316">
      <c r="A316" t="inlineStr">
        <is>
          <t>BBG01HZ5MXQ6 Equity</t>
        </is>
      </c>
      <c r="B316" t="inlineStr">
        <is>
          <t>TSLL US 10/20/23 P19</t>
        </is>
      </c>
      <c r="C316" t="inlineStr">
        <is>
          <t>2023-10-20</t>
        </is>
      </c>
      <c r="D316" t="n">
        <v>19</v>
      </c>
      <c r="E316" t="inlineStr">
        <is>
          <t>BBG01HZ5MXQ6</t>
        </is>
      </c>
    </row>
    <row r="317">
      <c r="A317" t="inlineStr">
        <is>
          <t>BBG01JFSNDJ5 Equity</t>
        </is>
      </c>
      <c r="B317" t="inlineStr">
        <is>
          <t>TSLL US 10/20/23 P19.5</t>
        </is>
      </c>
      <c r="C317" t="inlineStr">
        <is>
          <t>2023-10-20</t>
        </is>
      </c>
      <c r="D317" t="n">
        <v>19.5</v>
      </c>
      <c r="E317" t="inlineStr">
        <is>
          <t>BBG01JFSNDJ5</t>
        </is>
      </c>
    </row>
    <row r="318">
      <c r="A318" t="inlineStr">
        <is>
          <t>BBG01HZ5MYP5 Equity</t>
        </is>
      </c>
      <c r="B318" t="inlineStr">
        <is>
          <t>TSLL US 10/20/23 P20</t>
        </is>
      </c>
      <c r="C318" t="inlineStr">
        <is>
          <t>2023-10-20</t>
        </is>
      </c>
      <c r="D318" t="n">
        <v>20</v>
      </c>
      <c r="E318" t="inlineStr">
        <is>
          <t>BBG01HZ5MYP5</t>
        </is>
      </c>
    </row>
    <row r="319">
      <c r="A319" t="inlineStr">
        <is>
          <t>BBG01JFSNFH2 Equity</t>
        </is>
      </c>
      <c r="B319" t="inlineStr">
        <is>
          <t>TSLL US 10/20/23 P20.5</t>
        </is>
      </c>
      <c r="C319" t="inlineStr">
        <is>
          <t>2023-10-20</t>
        </is>
      </c>
      <c r="D319" t="n">
        <v>20.5</v>
      </c>
      <c r="E319" t="inlineStr">
        <is>
          <t>BBG01JFSNFH2</t>
        </is>
      </c>
    </row>
    <row r="320">
      <c r="A320" t="inlineStr">
        <is>
          <t>BBG01HZ5MZP2 Equity</t>
        </is>
      </c>
      <c r="B320" t="inlineStr">
        <is>
          <t>TSLL US 10/20/23 P21</t>
        </is>
      </c>
      <c r="C320" t="inlineStr">
        <is>
          <t>2023-10-20</t>
        </is>
      </c>
      <c r="D320" t="n">
        <v>21</v>
      </c>
      <c r="E320" t="inlineStr">
        <is>
          <t>BBG01HZ5MZP2</t>
        </is>
      </c>
    </row>
    <row r="321">
      <c r="A321" t="inlineStr">
        <is>
          <t>BBG01JFSNGH0 Equity</t>
        </is>
      </c>
      <c r="B321" t="inlineStr">
        <is>
          <t>TSLL US 10/20/23 P21.5</t>
        </is>
      </c>
      <c r="C321" t="inlineStr">
        <is>
          <t>2023-10-20</t>
        </is>
      </c>
      <c r="D321" t="n">
        <v>21.5</v>
      </c>
      <c r="E321" t="inlineStr">
        <is>
          <t>BBG01JFSNGH0</t>
        </is>
      </c>
    </row>
    <row r="322">
      <c r="A322" t="inlineStr">
        <is>
          <t>BBG01HZ5N0N0 Equity</t>
        </is>
      </c>
      <c r="B322" t="inlineStr">
        <is>
          <t>TSLL US 10/20/23 P22</t>
        </is>
      </c>
      <c r="C322" t="inlineStr">
        <is>
          <t>2023-10-20</t>
        </is>
      </c>
      <c r="D322" t="n">
        <v>22</v>
      </c>
      <c r="E322" t="inlineStr">
        <is>
          <t>BBG01HZ5N0N0</t>
        </is>
      </c>
    </row>
    <row r="323">
      <c r="A323" t="inlineStr">
        <is>
          <t>BBG01JFSNHG9 Equity</t>
        </is>
      </c>
      <c r="B323" t="inlineStr">
        <is>
          <t>TSLL US 10/20/23 P22.5</t>
        </is>
      </c>
      <c r="C323" t="inlineStr">
        <is>
          <t>2023-10-20</t>
        </is>
      </c>
      <c r="D323" t="n">
        <v>22.5</v>
      </c>
      <c r="E323" t="inlineStr">
        <is>
          <t>BBG01JFSNHG9</t>
        </is>
      </c>
    </row>
    <row r="324">
      <c r="A324" t="inlineStr">
        <is>
          <t>BBG01HZ5N1M9 Equity</t>
        </is>
      </c>
      <c r="B324" t="inlineStr">
        <is>
          <t>TSLL US 10/20/23 P23</t>
        </is>
      </c>
      <c r="C324" t="inlineStr">
        <is>
          <t>2023-10-20</t>
        </is>
      </c>
      <c r="D324" t="n">
        <v>23</v>
      </c>
      <c r="E324" t="inlineStr">
        <is>
          <t>BBG01HZ5N1M9</t>
        </is>
      </c>
    </row>
    <row r="325">
      <c r="A325" t="inlineStr">
        <is>
          <t>BBG01JFSNJF6 Equity</t>
        </is>
      </c>
      <c r="B325" t="inlineStr">
        <is>
          <t>TSLL US 10/20/23 P23.5</t>
        </is>
      </c>
      <c r="C325" t="inlineStr">
        <is>
          <t>2023-10-20</t>
        </is>
      </c>
      <c r="D325" t="n">
        <v>23.5</v>
      </c>
      <c r="E325" t="inlineStr">
        <is>
          <t>BBG01JFSNJF6</t>
        </is>
      </c>
    </row>
    <row r="326">
      <c r="A326" t="inlineStr">
        <is>
          <t>BBG01HZ5N2N6 Equity</t>
        </is>
      </c>
      <c r="B326" t="inlineStr">
        <is>
          <t>TSLL US 10/20/23 P24</t>
        </is>
      </c>
      <c r="C326" t="inlineStr">
        <is>
          <t>2023-10-20</t>
        </is>
      </c>
      <c r="D326" t="n">
        <v>24</v>
      </c>
      <c r="E326" t="inlineStr">
        <is>
          <t>BBG01HZ5N2N6</t>
        </is>
      </c>
    </row>
    <row r="327">
      <c r="A327" t="inlineStr">
        <is>
          <t>BBG01HZ5N3M5 Equity</t>
        </is>
      </c>
      <c r="B327" t="inlineStr">
        <is>
          <t>TSLL US 10/20/23 P25</t>
        </is>
      </c>
      <c r="C327" t="inlineStr">
        <is>
          <t>2023-10-20</t>
        </is>
      </c>
      <c r="D327" t="n">
        <v>25</v>
      </c>
      <c r="E327" t="inlineStr">
        <is>
          <t>BBG01HZ5N3M5</t>
        </is>
      </c>
    </row>
    <row r="328">
      <c r="A328" t="inlineStr">
        <is>
          <t>BBG01HZ5N4L4 Equity</t>
        </is>
      </c>
      <c r="B328" t="inlineStr">
        <is>
          <t>TSLL US 10/20/23 P30</t>
        </is>
      </c>
      <c r="C328" t="inlineStr">
        <is>
          <t>2023-10-20</t>
        </is>
      </c>
      <c r="D328" t="n">
        <v>30</v>
      </c>
      <c r="E328" t="inlineStr">
        <is>
          <t>BBG01HZ5N4L4</t>
        </is>
      </c>
    </row>
    <row r="329">
      <c r="A329" t="inlineStr">
        <is>
          <t>BBG01JF6T3H1 Equity</t>
        </is>
      </c>
      <c r="B329" t="inlineStr">
        <is>
          <t>TSLL US 11/17/23 P5</t>
        </is>
      </c>
      <c r="C329" t="inlineStr">
        <is>
          <t>2023-11-17</t>
        </is>
      </c>
      <c r="D329" t="n">
        <v>5</v>
      </c>
      <c r="E329" t="inlineStr">
        <is>
          <t>BBG01JF6T3H1</t>
        </is>
      </c>
    </row>
    <row r="330">
      <c r="A330" t="inlineStr">
        <is>
          <t>BBG01JCKCTC9 Equity</t>
        </is>
      </c>
      <c r="B330" t="inlineStr">
        <is>
          <t>TSLL US 11/17/23 P7</t>
        </is>
      </c>
      <c r="C330" t="inlineStr">
        <is>
          <t>2023-11-17</t>
        </is>
      </c>
      <c r="D330" t="n">
        <v>7</v>
      </c>
      <c r="E330" t="inlineStr">
        <is>
          <t>BBG01JCKCTC9</t>
        </is>
      </c>
    </row>
    <row r="331">
      <c r="A331" t="inlineStr">
        <is>
          <t>BBG01JCKCVB5 Equity</t>
        </is>
      </c>
      <c r="B331" t="inlineStr">
        <is>
          <t>TSLL US 11/17/23 P8</t>
        </is>
      </c>
      <c r="C331" t="inlineStr">
        <is>
          <t>2023-11-17</t>
        </is>
      </c>
      <c r="D331" t="n">
        <v>8</v>
      </c>
      <c r="E331" t="inlineStr">
        <is>
          <t>BBG01JCKCVB5</t>
        </is>
      </c>
    </row>
    <row r="332">
      <c r="A332" t="inlineStr">
        <is>
          <t>BBG01JCKCW96 Equity</t>
        </is>
      </c>
      <c r="B332" t="inlineStr">
        <is>
          <t>TSLL US 11/17/23 P9</t>
        </is>
      </c>
      <c r="C332" t="inlineStr">
        <is>
          <t>2023-11-17</t>
        </is>
      </c>
      <c r="D332" t="n">
        <v>9</v>
      </c>
      <c r="E332" t="inlineStr">
        <is>
          <t>BBG01JCKCW96</t>
        </is>
      </c>
    </row>
    <row r="333">
      <c r="A333" t="inlineStr">
        <is>
          <t>BBG01JCKCX85 Equity</t>
        </is>
      </c>
      <c r="B333" t="inlineStr">
        <is>
          <t>TSLL US 11/17/23 P10</t>
        </is>
      </c>
      <c r="C333" t="inlineStr">
        <is>
          <t>2023-11-17</t>
        </is>
      </c>
      <c r="D333" t="n">
        <v>10</v>
      </c>
      <c r="E333" t="inlineStr">
        <is>
          <t>BBG01JCKCX85</t>
        </is>
      </c>
    </row>
    <row r="334">
      <c r="A334" t="inlineStr">
        <is>
          <t>BBG01JCKCY83 Equity</t>
        </is>
      </c>
      <c r="B334" t="inlineStr">
        <is>
          <t>TSLL US 11/17/23 P11</t>
        </is>
      </c>
      <c r="C334" t="inlineStr">
        <is>
          <t>2023-11-17</t>
        </is>
      </c>
      <c r="D334" t="n">
        <v>11</v>
      </c>
      <c r="E334" t="inlineStr">
        <is>
          <t>BBG01JCKCY83</t>
        </is>
      </c>
    </row>
    <row r="335">
      <c r="A335" t="inlineStr">
        <is>
          <t>BBG01JCKCZ71 Equity</t>
        </is>
      </c>
      <c r="B335" t="inlineStr">
        <is>
          <t>TSLL US 11/17/23 P12</t>
        </is>
      </c>
      <c r="C335" t="inlineStr">
        <is>
          <t>2023-11-17</t>
        </is>
      </c>
      <c r="D335" t="n">
        <v>12</v>
      </c>
      <c r="E335" t="inlineStr">
        <is>
          <t>BBG01JCKCZ71</t>
        </is>
      </c>
    </row>
    <row r="336">
      <c r="A336" t="inlineStr">
        <is>
          <t>BBG01JCKD068 Equity</t>
        </is>
      </c>
      <c r="B336" t="inlineStr">
        <is>
          <t>TSLL US 11/17/23 P13</t>
        </is>
      </c>
      <c r="C336" t="inlineStr">
        <is>
          <t>2023-11-17</t>
        </is>
      </c>
      <c r="D336" t="n">
        <v>13</v>
      </c>
      <c r="E336" t="inlineStr">
        <is>
          <t>BBG01JCKD068</t>
        </is>
      </c>
    </row>
    <row r="337">
      <c r="A337" t="inlineStr">
        <is>
          <t>BBG01JCKD166 Equity</t>
        </is>
      </c>
      <c r="B337" t="inlineStr">
        <is>
          <t>TSLL US 11/17/23 P14</t>
        </is>
      </c>
      <c r="C337" t="inlineStr">
        <is>
          <t>2023-11-17</t>
        </is>
      </c>
      <c r="D337" t="n">
        <v>14</v>
      </c>
      <c r="E337" t="inlineStr">
        <is>
          <t>BBG01JCKD166</t>
        </is>
      </c>
    </row>
    <row r="338">
      <c r="A338" t="inlineStr">
        <is>
          <t>BBG01JCKD255 Equity</t>
        </is>
      </c>
      <c r="B338" t="inlineStr">
        <is>
          <t>TSLL US 11/17/23 P15</t>
        </is>
      </c>
      <c r="C338" t="inlineStr">
        <is>
          <t>2023-11-17</t>
        </is>
      </c>
      <c r="D338" t="n">
        <v>15</v>
      </c>
      <c r="E338" t="inlineStr">
        <is>
          <t>BBG01JCKD255</t>
        </is>
      </c>
    </row>
    <row r="339">
      <c r="A339" t="inlineStr">
        <is>
          <t>BBG01JCKD344 Equity</t>
        </is>
      </c>
      <c r="B339" t="inlineStr">
        <is>
          <t>TSLL US 11/17/23 P16</t>
        </is>
      </c>
      <c r="C339" t="inlineStr">
        <is>
          <t>2023-11-17</t>
        </is>
      </c>
      <c r="D339" t="n">
        <v>16</v>
      </c>
      <c r="E339" t="inlineStr">
        <is>
          <t>BBG01JCKD344</t>
        </is>
      </c>
    </row>
    <row r="340">
      <c r="A340" t="inlineStr">
        <is>
          <t>BBG01JCKD451 Equity</t>
        </is>
      </c>
      <c r="B340" t="inlineStr">
        <is>
          <t>TSLL US 11/17/23 P17</t>
        </is>
      </c>
      <c r="C340" t="inlineStr">
        <is>
          <t>2023-11-17</t>
        </is>
      </c>
      <c r="D340" t="n">
        <v>17</v>
      </c>
      <c r="E340" t="inlineStr">
        <is>
          <t>BBG01JCKD451</t>
        </is>
      </c>
    </row>
    <row r="341">
      <c r="A341" t="inlineStr">
        <is>
          <t>BBG01JCKD549 Equity</t>
        </is>
      </c>
      <c r="B341" t="inlineStr">
        <is>
          <t>TSLL US 11/17/23 P18</t>
        </is>
      </c>
      <c r="C341" t="inlineStr">
        <is>
          <t>2023-11-17</t>
        </is>
      </c>
      <c r="D341" t="n">
        <v>18</v>
      </c>
      <c r="E341" t="inlineStr">
        <is>
          <t>BBG01JCKD549</t>
        </is>
      </c>
    </row>
    <row r="342">
      <c r="A342" t="inlineStr">
        <is>
          <t>BBG01JCKD638 Equity</t>
        </is>
      </c>
      <c r="B342" t="inlineStr">
        <is>
          <t>TSLL US 11/17/23 P19</t>
        </is>
      </c>
      <c r="C342" t="inlineStr">
        <is>
          <t>2023-11-17</t>
        </is>
      </c>
      <c r="D342" t="n">
        <v>19</v>
      </c>
      <c r="E342" t="inlineStr">
        <is>
          <t>BBG01JCKD638</t>
        </is>
      </c>
    </row>
    <row r="343">
      <c r="A343" t="inlineStr">
        <is>
          <t>BBG01JCKD754 Equity</t>
        </is>
      </c>
      <c r="B343" t="inlineStr">
        <is>
          <t>TSLL US 11/17/23 P20</t>
        </is>
      </c>
      <c r="C343" t="inlineStr">
        <is>
          <t>2023-11-17</t>
        </is>
      </c>
      <c r="D343" t="n">
        <v>20</v>
      </c>
      <c r="E343" t="inlineStr">
        <is>
          <t>BBG01JCKD754</t>
        </is>
      </c>
    </row>
    <row r="344">
      <c r="A344" t="inlineStr">
        <is>
          <t>BBG01JCKD843 Equity</t>
        </is>
      </c>
      <c r="B344" t="inlineStr">
        <is>
          <t>TSLL US 11/17/23 P21</t>
        </is>
      </c>
      <c r="C344" t="inlineStr">
        <is>
          <t>2023-11-17</t>
        </is>
      </c>
      <c r="D344" t="n">
        <v>21</v>
      </c>
      <c r="E344" t="inlineStr">
        <is>
          <t>BBG01JCKD843</t>
        </is>
      </c>
    </row>
    <row r="345">
      <c r="A345" t="inlineStr">
        <is>
          <t>BBG01JCKD932 Equity</t>
        </is>
      </c>
      <c r="B345" t="inlineStr">
        <is>
          <t>TSLL US 11/17/23 P22</t>
        </is>
      </c>
      <c r="C345" t="inlineStr">
        <is>
          <t>2023-11-17</t>
        </is>
      </c>
      <c r="D345" t="n">
        <v>22</v>
      </c>
      <c r="E345" t="inlineStr">
        <is>
          <t>BBG01JCKD932</t>
        </is>
      </c>
    </row>
    <row r="346">
      <c r="A346" t="inlineStr">
        <is>
          <t>BBG01JCKDB28 Equity</t>
        </is>
      </c>
      <c r="B346" t="inlineStr">
        <is>
          <t>TSLL US 11/17/23 P23</t>
        </is>
      </c>
      <c r="C346" t="inlineStr">
        <is>
          <t>2023-11-17</t>
        </is>
      </c>
      <c r="D346" t="n">
        <v>23</v>
      </c>
      <c r="E346" t="inlineStr">
        <is>
          <t>BBG01JCKDB28</t>
        </is>
      </c>
    </row>
    <row r="347">
      <c r="A347" t="inlineStr">
        <is>
          <t>BBG01JCKDC35 Equity</t>
        </is>
      </c>
      <c r="B347" t="inlineStr">
        <is>
          <t>TSLL US 11/17/23 P24</t>
        </is>
      </c>
      <c r="C347" t="inlineStr">
        <is>
          <t>2023-11-17</t>
        </is>
      </c>
      <c r="D347" t="n">
        <v>24</v>
      </c>
      <c r="E347" t="inlineStr">
        <is>
          <t>BBG01JCKDC35</t>
        </is>
      </c>
    </row>
    <row r="348">
      <c r="A348" t="inlineStr">
        <is>
          <t>BBG01JCKDD24 Equity</t>
        </is>
      </c>
      <c r="B348" t="inlineStr">
        <is>
          <t>TSLL US 11/17/23 P25</t>
        </is>
      </c>
      <c r="C348" t="inlineStr">
        <is>
          <t>2023-11-17</t>
        </is>
      </c>
      <c r="D348" t="n">
        <v>25</v>
      </c>
      <c r="E348" t="inlineStr">
        <is>
          <t>BBG01JCKDD24</t>
        </is>
      </c>
    </row>
    <row r="349">
      <c r="A349" t="inlineStr">
        <is>
          <t>BBG01JCKDF10 Equity</t>
        </is>
      </c>
      <c r="B349" t="inlineStr">
        <is>
          <t>TSLL US 11/17/23 P26</t>
        </is>
      </c>
      <c r="C349" t="inlineStr">
        <is>
          <t>2023-11-17</t>
        </is>
      </c>
      <c r="D349" t="n">
        <v>26</v>
      </c>
      <c r="E349" t="inlineStr">
        <is>
          <t>BBG01JCKDF10</t>
        </is>
      </c>
    </row>
    <row r="350">
      <c r="A350" t="inlineStr">
        <is>
          <t>BBG01JCKDG18 Equity</t>
        </is>
      </c>
      <c r="B350" t="inlineStr">
        <is>
          <t>TSLL US 11/17/23 P27</t>
        </is>
      </c>
      <c r="C350" t="inlineStr">
        <is>
          <t>2023-11-17</t>
        </is>
      </c>
      <c r="D350" t="n">
        <v>27</v>
      </c>
      <c r="E350" t="inlineStr">
        <is>
          <t>BBG01JCKDG18</t>
        </is>
      </c>
    </row>
    <row r="351">
      <c r="A351" t="inlineStr">
        <is>
          <t>BBG01JCKDH07 Equity</t>
        </is>
      </c>
      <c r="B351" t="inlineStr">
        <is>
          <t>TSLL US 11/17/23 P30</t>
        </is>
      </c>
      <c r="C351" t="inlineStr">
        <is>
          <t>2023-11-17</t>
        </is>
      </c>
      <c r="D351" t="n">
        <v>30</v>
      </c>
      <c r="E351" t="inlineStr">
        <is>
          <t>BBG01JCKDH07</t>
        </is>
      </c>
    </row>
    <row r="352">
      <c r="A352" t="inlineStr">
        <is>
          <t>BBG01JCKDHZ9 Equity</t>
        </is>
      </c>
      <c r="B352" t="inlineStr">
        <is>
          <t>TSLL US 11/17/23 P35</t>
        </is>
      </c>
      <c r="C352" t="inlineStr">
        <is>
          <t>2023-11-17</t>
        </is>
      </c>
      <c r="D352" t="n">
        <v>35</v>
      </c>
      <c r="E352" t="inlineStr">
        <is>
          <t>BBG01JCKDHZ9</t>
        </is>
      </c>
    </row>
    <row r="353">
      <c r="A353" t="inlineStr">
        <is>
          <t>BBG01GCFY7R4 Equity</t>
        </is>
      </c>
      <c r="B353" t="inlineStr">
        <is>
          <t>TSLL US 12/15/23 P0.73</t>
        </is>
      </c>
      <c r="C353" t="inlineStr">
        <is>
          <t>2023-12-15</t>
        </is>
      </c>
      <c r="D353" t="n">
        <v>0.73</v>
      </c>
      <c r="E353" t="inlineStr">
        <is>
          <t>BBG01GCFY7R4</t>
        </is>
      </c>
    </row>
    <row r="354">
      <c r="A354" t="inlineStr">
        <is>
          <t>BBG01GCFY8S1 Equity</t>
        </is>
      </c>
      <c r="B354" t="inlineStr">
        <is>
          <t>TSLL US 12/15/23 P1.73</t>
        </is>
      </c>
      <c r="C354" t="inlineStr">
        <is>
          <t>2023-12-15</t>
        </is>
      </c>
      <c r="D354" t="n">
        <v>1.73</v>
      </c>
      <c r="E354" t="inlineStr">
        <is>
          <t>BBG01GCFY8S1</t>
        </is>
      </c>
    </row>
    <row r="355">
      <c r="A355" t="inlineStr">
        <is>
          <t>BBG01GCFY9R0 Equity</t>
        </is>
      </c>
      <c r="B355" t="inlineStr">
        <is>
          <t>TSLL US 12/15/23 P2.73</t>
        </is>
      </c>
      <c r="C355" t="inlineStr">
        <is>
          <t>2023-12-15</t>
        </is>
      </c>
      <c r="D355" t="n">
        <v>2.73</v>
      </c>
      <c r="E355" t="inlineStr">
        <is>
          <t>BBG01GCFY9R0</t>
        </is>
      </c>
    </row>
    <row r="356">
      <c r="A356" t="inlineStr">
        <is>
          <t>BBG01GCFYBQ6 Equity</t>
        </is>
      </c>
      <c r="B356" t="inlineStr">
        <is>
          <t>TSLL US 12/15/23 P3.73</t>
        </is>
      </c>
      <c r="C356" t="inlineStr">
        <is>
          <t>2023-12-15</t>
        </is>
      </c>
      <c r="D356" t="n">
        <v>3.73</v>
      </c>
      <c r="E356" t="inlineStr">
        <is>
          <t>BBG01GCFYBQ6</t>
        </is>
      </c>
    </row>
    <row r="357">
      <c r="A357" t="inlineStr">
        <is>
          <t>BBG01GCFYCP5 Equity</t>
        </is>
      </c>
      <c r="B357" t="inlineStr">
        <is>
          <t>TSLL US 12/15/23 P4.73</t>
        </is>
      </c>
      <c r="C357" t="inlineStr">
        <is>
          <t>2023-12-15</t>
        </is>
      </c>
      <c r="D357" t="n">
        <v>4.73</v>
      </c>
      <c r="E357" t="inlineStr">
        <is>
          <t>BBG01GCFYCP5</t>
        </is>
      </c>
    </row>
    <row r="358">
      <c r="A358" t="inlineStr">
        <is>
          <t>BBG01GCFYDQ2 Equity</t>
        </is>
      </c>
      <c r="B358" t="inlineStr">
        <is>
          <t>TSLL US 12/15/23 P5.73</t>
        </is>
      </c>
      <c r="C358" t="inlineStr">
        <is>
          <t>2023-12-15</t>
        </is>
      </c>
      <c r="D358" t="n">
        <v>5.73</v>
      </c>
      <c r="E358" t="inlineStr">
        <is>
          <t>BBG01GCFYDQ2</t>
        </is>
      </c>
    </row>
    <row r="359">
      <c r="A359" t="inlineStr">
        <is>
          <t>BBG01GCFYFP8 Equity</t>
        </is>
      </c>
      <c r="B359" t="inlineStr">
        <is>
          <t>TSLL US 12/15/23 P6.73</t>
        </is>
      </c>
      <c r="C359" t="inlineStr">
        <is>
          <t>2023-12-15</t>
        </is>
      </c>
      <c r="D359" t="n">
        <v>6.73</v>
      </c>
      <c r="E359" t="inlineStr">
        <is>
          <t>BBG01GCFYFP8</t>
        </is>
      </c>
    </row>
    <row r="360">
      <c r="A360" t="inlineStr">
        <is>
          <t>BBG01GCFYGN8 Equity</t>
        </is>
      </c>
      <c r="B360" t="inlineStr">
        <is>
          <t>TSLL US 12/15/23 P7.73</t>
        </is>
      </c>
      <c r="C360" t="inlineStr">
        <is>
          <t>2023-12-15</t>
        </is>
      </c>
      <c r="D360" t="n">
        <v>7.73</v>
      </c>
      <c r="E360" t="inlineStr">
        <is>
          <t>BBG01GCFYGN8</t>
        </is>
      </c>
    </row>
    <row r="361">
      <c r="A361" t="inlineStr">
        <is>
          <t>BBG01GCFYHN6 Equity</t>
        </is>
      </c>
      <c r="B361" t="inlineStr">
        <is>
          <t>TSLL US 12/15/23 P8.73</t>
        </is>
      </c>
      <c r="C361" t="inlineStr">
        <is>
          <t>2023-12-15</t>
        </is>
      </c>
      <c r="D361" t="n">
        <v>8.73</v>
      </c>
      <c r="E361" t="inlineStr">
        <is>
          <t>BBG01GCFYHN6</t>
        </is>
      </c>
    </row>
    <row r="362">
      <c r="A362" t="inlineStr">
        <is>
          <t>BBG01GCFYJM3 Equity</t>
        </is>
      </c>
      <c r="B362" t="inlineStr">
        <is>
          <t>TSLL US 12/15/23 P9.73</t>
        </is>
      </c>
      <c r="C362" t="inlineStr">
        <is>
          <t>2023-12-15</t>
        </is>
      </c>
      <c r="D362" t="n">
        <v>9.73</v>
      </c>
      <c r="E362" t="inlineStr">
        <is>
          <t>BBG01GCFYJM3</t>
        </is>
      </c>
    </row>
    <row r="363">
      <c r="A363" t="inlineStr">
        <is>
          <t>BBG01GCFYKL1 Equity</t>
        </is>
      </c>
      <c r="B363" t="inlineStr">
        <is>
          <t>TSLL US 12/15/23 P10.73</t>
        </is>
      </c>
      <c r="C363" t="inlineStr">
        <is>
          <t>2023-12-15</t>
        </is>
      </c>
      <c r="D363" t="n">
        <v>10.73</v>
      </c>
      <c r="E363" t="inlineStr">
        <is>
          <t>BBG01GCFYKL1</t>
        </is>
      </c>
    </row>
    <row r="364">
      <c r="A364" t="inlineStr">
        <is>
          <t>BBG01GCFYLL9 Equity</t>
        </is>
      </c>
      <c r="B364" t="inlineStr">
        <is>
          <t>TSLL US 12/15/23 P11.73</t>
        </is>
      </c>
      <c r="C364" t="inlineStr">
        <is>
          <t>2023-12-15</t>
        </is>
      </c>
      <c r="D364" t="n">
        <v>11.73</v>
      </c>
      <c r="E364" t="inlineStr">
        <is>
          <t>BBG01GCFYLL9</t>
        </is>
      </c>
    </row>
    <row r="365">
      <c r="A365" t="inlineStr">
        <is>
          <t>BBG01GCFYMK8 Equity</t>
        </is>
      </c>
      <c r="B365" t="inlineStr">
        <is>
          <t>TSLL US 12/15/23 P12.73</t>
        </is>
      </c>
      <c r="C365" t="inlineStr">
        <is>
          <t>2023-12-15</t>
        </is>
      </c>
      <c r="D365" t="n">
        <v>12.73</v>
      </c>
      <c r="E365" t="inlineStr">
        <is>
          <t>BBG01GCFYMK8</t>
        </is>
      </c>
    </row>
    <row r="366">
      <c r="A366" t="inlineStr">
        <is>
          <t>BBG01GCFYNJ8 Equity</t>
        </is>
      </c>
      <c r="B366" t="inlineStr">
        <is>
          <t>TSLL US 12/15/23 P13.73</t>
        </is>
      </c>
      <c r="C366" t="inlineStr">
        <is>
          <t>2023-12-15</t>
        </is>
      </c>
      <c r="D366" t="n">
        <v>13.73</v>
      </c>
      <c r="E366" t="inlineStr">
        <is>
          <t>BBG01GCFYNJ8</t>
        </is>
      </c>
    </row>
    <row r="367">
      <c r="A367" t="inlineStr">
        <is>
          <t>BBG01GCFYPH5 Equity</t>
        </is>
      </c>
      <c r="B367" t="inlineStr">
        <is>
          <t>TSLL US 12/15/23 P14.73</t>
        </is>
      </c>
      <c r="C367" t="inlineStr">
        <is>
          <t>2023-12-15</t>
        </is>
      </c>
      <c r="D367" t="n">
        <v>14.73</v>
      </c>
      <c r="E367" t="inlineStr">
        <is>
          <t>BBG01GCFYPH5</t>
        </is>
      </c>
    </row>
    <row r="368">
      <c r="A368" t="inlineStr">
        <is>
          <t>BBG01GCFYQH3 Equity</t>
        </is>
      </c>
      <c r="B368" t="inlineStr">
        <is>
          <t>TSLL US 12/15/23 P15.73</t>
        </is>
      </c>
      <c r="C368" t="inlineStr">
        <is>
          <t>2023-12-15</t>
        </is>
      </c>
      <c r="D368" t="n">
        <v>15.73</v>
      </c>
      <c r="E368" t="inlineStr">
        <is>
          <t>BBG01GCFYQH3</t>
        </is>
      </c>
    </row>
    <row r="369">
      <c r="A369" t="inlineStr">
        <is>
          <t>BBG01GCFYRG2 Equity</t>
        </is>
      </c>
      <c r="B369" t="inlineStr">
        <is>
          <t>TSLL US 12/15/23 P16.73</t>
        </is>
      </c>
      <c r="C369" t="inlineStr">
        <is>
          <t>2023-12-15</t>
        </is>
      </c>
      <c r="D369" t="n">
        <v>16.73</v>
      </c>
      <c r="E369" t="inlineStr">
        <is>
          <t>BBG01GCFYRG2</t>
        </is>
      </c>
    </row>
    <row r="370">
      <c r="A370" t="inlineStr">
        <is>
          <t>BBG01GCFYSF1 Equity</t>
        </is>
      </c>
      <c r="B370" t="inlineStr">
        <is>
          <t>TSLL US 12/15/23 P17.73</t>
        </is>
      </c>
      <c r="C370" t="inlineStr">
        <is>
          <t>2023-12-15</t>
        </is>
      </c>
      <c r="D370" t="n">
        <v>17.73</v>
      </c>
      <c r="E370" t="inlineStr">
        <is>
          <t>BBG01GCFYSF1</t>
        </is>
      </c>
    </row>
    <row r="371">
      <c r="A371" t="inlineStr">
        <is>
          <t>BBG01GCFYTF9 Equity</t>
        </is>
      </c>
      <c r="B371" t="inlineStr">
        <is>
          <t>TSLL US 12/15/23 P18.73</t>
        </is>
      </c>
      <c r="C371" t="inlineStr">
        <is>
          <t>2023-12-15</t>
        </is>
      </c>
      <c r="D371" t="n">
        <v>18.73</v>
      </c>
      <c r="E371" t="inlineStr">
        <is>
          <t>BBG01GCFYTF9</t>
        </is>
      </c>
    </row>
    <row r="372">
      <c r="A372" t="inlineStr">
        <is>
          <t>BBG01GCFYVD6 Equity</t>
        </is>
      </c>
      <c r="B372" t="inlineStr">
        <is>
          <t>TSLL US 12/15/23 P19.73</t>
        </is>
      </c>
      <c r="C372" t="inlineStr">
        <is>
          <t>2023-12-15</t>
        </is>
      </c>
      <c r="D372" t="n">
        <v>19.73</v>
      </c>
      <c r="E372" t="inlineStr">
        <is>
          <t>BBG01GCFYVD6</t>
        </is>
      </c>
    </row>
    <row r="373">
      <c r="A373" t="inlineStr">
        <is>
          <t>BBG01GCFYWC5 Equity</t>
        </is>
      </c>
      <c r="B373" t="inlineStr">
        <is>
          <t>TSLL US 12/15/23 P20.73</t>
        </is>
      </c>
      <c r="C373" t="inlineStr">
        <is>
          <t>2023-12-15</t>
        </is>
      </c>
      <c r="D373" t="n">
        <v>20.73</v>
      </c>
      <c r="E373" t="inlineStr">
        <is>
          <t>BBG01GCFYWC5</t>
        </is>
      </c>
    </row>
    <row r="374">
      <c r="A374" t="inlineStr">
        <is>
          <t>BBG01GSL95Y8 Equity</t>
        </is>
      </c>
      <c r="B374" t="inlineStr">
        <is>
          <t>TSLL US 12/15/23 P21.73</t>
        </is>
      </c>
      <c r="C374" t="inlineStr">
        <is>
          <t>2023-12-15</t>
        </is>
      </c>
      <c r="D374" t="n">
        <v>21.73</v>
      </c>
      <c r="E374" t="inlineStr">
        <is>
          <t>BBG01GSL95Y8</t>
        </is>
      </c>
    </row>
    <row r="375">
      <c r="A375" t="inlineStr">
        <is>
          <t>BBG01GVRG190 Equity</t>
        </is>
      </c>
      <c r="B375" t="inlineStr">
        <is>
          <t>TSLL US 12/15/23 P22.73</t>
        </is>
      </c>
      <c r="C375" t="inlineStr">
        <is>
          <t>2023-12-15</t>
        </is>
      </c>
      <c r="D375" t="n">
        <v>22.73</v>
      </c>
      <c r="E375" t="inlineStr">
        <is>
          <t>BBG01GVRG190</t>
        </is>
      </c>
    </row>
    <row r="376">
      <c r="A376" t="inlineStr">
        <is>
          <t>BBG01GXF19Y5 Equity</t>
        </is>
      </c>
      <c r="B376" t="inlineStr">
        <is>
          <t>TSLL US 12/15/23 P23.73</t>
        </is>
      </c>
      <c r="C376" t="inlineStr">
        <is>
          <t>2023-12-15</t>
        </is>
      </c>
      <c r="D376" t="n">
        <v>23.73</v>
      </c>
      <c r="E376" t="inlineStr">
        <is>
          <t>BBG01GXF19Y5</t>
        </is>
      </c>
    </row>
    <row r="377">
      <c r="A377" t="inlineStr">
        <is>
          <t>BBG01GY1CVZ3 Equity</t>
        </is>
      </c>
      <c r="B377" t="inlineStr">
        <is>
          <t>TSLL US 12/15/23 P24.73</t>
        </is>
      </c>
      <c r="C377" t="inlineStr">
        <is>
          <t>2023-12-15</t>
        </is>
      </c>
      <c r="D377" t="n">
        <v>24.73</v>
      </c>
      <c r="E377" t="inlineStr">
        <is>
          <t>BBG01GY1CVZ3</t>
        </is>
      </c>
    </row>
    <row r="378">
      <c r="A378" t="inlineStr">
        <is>
          <t>BBG01GZRD082 Equity</t>
        </is>
      </c>
      <c r="B378" t="inlineStr">
        <is>
          <t>TSLL US 12/15/23 P29.73</t>
        </is>
      </c>
      <c r="C378" t="inlineStr">
        <is>
          <t>2023-12-15</t>
        </is>
      </c>
      <c r="D378" t="n">
        <v>29.73</v>
      </c>
      <c r="E378" t="inlineStr">
        <is>
          <t>BBG01GZRD082</t>
        </is>
      </c>
    </row>
    <row r="379">
      <c r="A379" t="inlineStr">
        <is>
          <t>BBG01HDTXGK9 Equity</t>
        </is>
      </c>
      <c r="B379" t="inlineStr">
        <is>
          <t>TSLL US 12/15/23 P34.73</t>
        </is>
      </c>
      <c r="C379" t="inlineStr">
        <is>
          <t>2023-12-15</t>
        </is>
      </c>
      <c r="D379" t="n">
        <v>34.73</v>
      </c>
      <c r="E379" t="inlineStr">
        <is>
          <t>BBG01HDTXGK9</t>
        </is>
      </c>
    </row>
    <row r="380">
      <c r="A380" t="inlineStr">
        <is>
          <t>BBG01K6P2H02 Equity</t>
        </is>
      </c>
      <c r="B380" t="inlineStr">
        <is>
          <t>TSLL US 01/19/24 P3.73</t>
        </is>
      </c>
      <c r="C380" t="inlineStr">
        <is>
          <t>2024-01-19</t>
        </is>
      </c>
      <c r="D380" t="n">
        <v>3.73</v>
      </c>
      <c r="E380" t="inlineStr">
        <is>
          <t>BBG01K6P2H02</t>
        </is>
      </c>
    </row>
    <row r="381">
      <c r="A381" t="inlineStr">
        <is>
          <t>BBG01K6P2HZ4 Equity</t>
        </is>
      </c>
      <c r="B381" t="inlineStr">
        <is>
          <t>TSLL US 01/19/24 P4.73</t>
        </is>
      </c>
      <c r="C381" t="inlineStr">
        <is>
          <t>2024-01-19</t>
        </is>
      </c>
      <c r="D381" t="n">
        <v>4.73</v>
      </c>
      <c r="E381" t="inlineStr">
        <is>
          <t>BBG01K6P2HZ4</t>
        </is>
      </c>
    </row>
    <row r="382">
      <c r="A382" t="inlineStr">
        <is>
          <t>BBG01K6P2JY1 Equity</t>
        </is>
      </c>
      <c r="B382" t="inlineStr">
        <is>
          <t>TSLL US 01/19/24 P5.73</t>
        </is>
      </c>
      <c r="C382" t="inlineStr">
        <is>
          <t>2024-01-19</t>
        </is>
      </c>
      <c r="D382" t="n">
        <v>5.73</v>
      </c>
      <c r="E382" t="inlineStr">
        <is>
          <t>BBG01K6P2JY1</t>
        </is>
      </c>
    </row>
    <row r="383">
      <c r="A383" t="inlineStr">
        <is>
          <t>BBG01K6P2KY8 Equity</t>
        </is>
      </c>
      <c r="B383" t="inlineStr">
        <is>
          <t>TSLL US 01/19/24 P6.73</t>
        </is>
      </c>
      <c r="C383" t="inlineStr">
        <is>
          <t>2024-01-19</t>
        </is>
      </c>
      <c r="D383" t="n">
        <v>6.73</v>
      </c>
      <c r="E383" t="inlineStr">
        <is>
          <t>BBG01K6P2KY8</t>
        </is>
      </c>
    </row>
    <row r="384">
      <c r="A384" t="inlineStr">
        <is>
          <t>BBG01K6P2LX7 Equity</t>
        </is>
      </c>
      <c r="B384" t="inlineStr">
        <is>
          <t>TSLL US 01/19/24 P7.73</t>
        </is>
      </c>
      <c r="C384" t="inlineStr">
        <is>
          <t>2024-01-19</t>
        </is>
      </c>
      <c r="D384" t="n">
        <v>7.73</v>
      </c>
      <c r="E384" t="inlineStr">
        <is>
          <t>BBG01K6P2LX7</t>
        </is>
      </c>
    </row>
    <row r="385">
      <c r="A385" t="inlineStr">
        <is>
          <t>BBG01K6P2MW6 Equity</t>
        </is>
      </c>
      <c r="B385" t="inlineStr">
        <is>
          <t>TSLL US 01/19/24 P8.73</t>
        </is>
      </c>
      <c r="C385" t="inlineStr">
        <is>
          <t>2024-01-19</t>
        </is>
      </c>
      <c r="D385" t="n">
        <v>8.73</v>
      </c>
      <c r="E385" t="inlineStr">
        <is>
          <t>BBG01K6P2MW6</t>
        </is>
      </c>
    </row>
    <row r="386">
      <c r="A386" t="inlineStr">
        <is>
          <t>BBG01K6P2NV5 Equity</t>
        </is>
      </c>
      <c r="B386" t="inlineStr">
        <is>
          <t>TSLL US 01/19/24 P9.73</t>
        </is>
      </c>
      <c r="C386" t="inlineStr">
        <is>
          <t>2024-01-19</t>
        </is>
      </c>
      <c r="D386" t="n">
        <v>9.73</v>
      </c>
      <c r="E386" t="inlineStr">
        <is>
          <t>BBG01K6P2NV5</t>
        </is>
      </c>
    </row>
    <row r="387">
      <c r="A387" t="inlineStr">
        <is>
          <t>BBG01K6P2PV0 Equity</t>
        </is>
      </c>
      <c r="B387" t="inlineStr">
        <is>
          <t>TSLL US 01/19/24 P10.73</t>
        </is>
      </c>
      <c r="C387" t="inlineStr">
        <is>
          <t>2024-01-19</t>
        </is>
      </c>
      <c r="D387" t="n">
        <v>10.73</v>
      </c>
      <c r="E387" t="inlineStr">
        <is>
          <t>BBG01K6P2PV0</t>
        </is>
      </c>
    </row>
    <row r="388">
      <c r="A388" t="inlineStr">
        <is>
          <t>BBG01K6P2QT1 Equity</t>
        </is>
      </c>
      <c r="B388" t="inlineStr">
        <is>
          <t>TSLL US 01/19/24 P11.73</t>
        </is>
      </c>
      <c r="C388" t="inlineStr">
        <is>
          <t>2024-01-19</t>
        </is>
      </c>
      <c r="D388" t="n">
        <v>11.73</v>
      </c>
      <c r="E388" t="inlineStr">
        <is>
          <t>BBG01K6P2QT1</t>
        </is>
      </c>
    </row>
    <row r="389">
      <c r="A389" t="inlineStr">
        <is>
          <t>BBG01K6P2RS0 Equity</t>
        </is>
      </c>
      <c r="B389" t="inlineStr">
        <is>
          <t>TSLL US 01/19/24 P12.73</t>
        </is>
      </c>
      <c r="C389" t="inlineStr">
        <is>
          <t>2024-01-19</t>
        </is>
      </c>
      <c r="D389" t="n">
        <v>12.73</v>
      </c>
      <c r="E389" t="inlineStr">
        <is>
          <t>BBG01K6P2RS0</t>
        </is>
      </c>
    </row>
    <row r="390">
      <c r="A390" t="inlineStr">
        <is>
          <t>BBG01K6P2ST7 Equity</t>
        </is>
      </c>
      <c r="B390" t="inlineStr">
        <is>
          <t>TSLL US 01/19/24 P13.73</t>
        </is>
      </c>
      <c r="C390" t="inlineStr">
        <is>
          <t>2024-01-19</t>
        </is>
      </c>
      <c r="D390" t="n">
        <v>13.73</v>
      </c>
      <c r="E390" t="inlineStr">
        <is>
          <t>BBG01K6P2ST7</t>
        </is>
      </c>
    </row>
    <row r="391">
      <c r="A391" t="inlineStr">
        <is>
          <t>BBG01K6P2TS6 Equity</t>
        </is>
      </c>
      <c r="B391" t="inlineStr">
        <is>
          <t>TSLL US 01/19/24 P14.73</t>
        </is>
      </c>
      <c r="C391" t="inlineStr">
        <is>
          <t>2024-01-19</t>
        </is>
      </c>
      <c r="D391" t="n">
        <v>14.73</v>
      </c>
      <c r="E391" t="inlineStr">
        <is>
          <t>BBG01K6P2TS6</t>
        </is>
      </c>
    </row>
    <row r="392">
      <c r="A392" t="inlineStr">
        <is>
          <t>BBG01K6P2VR2 Equity</t>
        </is>
      </c>
      <c r="B392" t="inlineStr">
        <is>
          <t>TSLL US 01/19/24 P15.73</t>
        </is>
      </c>
      <c r="C392" t="inlineStr">
        <is>
          <t>2024-01-19</t>
        </is>
      </c>
      <c r="D392" t="n">
        <v>15.73</v>
      </c>
      <c r="E392" t="inlineStr">
        <is>
          <t>BBG01K6P2VR2</t>
        </is>
      </c>
    </row>
    <row r="393">
      <c r="A393" t="inlineStr">
        <is>
          <t>BBG01K6P2WR0 Equity</t>
        </is>
      </c>
      <c r="B393" t="inlineStr">
        <is>
          <t>TSLL US 01/19/24 P16.73</t>
        </is>
      </c>
      <c r="C393" t="inlineStr">
        <is>
          <t>2024-01-19</t>
        </is>
      </c>
      <c r="D393" t="n">
        <v>16.73</v>
      </c>
      <c r="E393" t="inlineStr">
        <is>
          <t>BBG01K6P2WR0</t>
        </is>
      </c>
    </row>
    <row r="394">
      <c r="A394" t="inlineStr">
        <is>
          <t>BBG01K6P2XQ9 Equity</t>
        </is>
      </c>
      <c r="B394" t="inlineStr">
        <is>
          <t>TSLL US 01/19/24 P17.73</t>
        </is>
      </c>
      <c r="C394" t="inlineStr">
        <is>
          <t>2024-01-19</t>
        </is>
      </c>
      <c r="D394" t="n">
        <v>17.73</v>
      </c>
      <c r="E394" t="inlineStr">
        <is>
          <t>BBG01K6P2XQ9</t>
        </is>
      </c>
    </row>
    <row r="395">
      <c r="A395" t="inlineStr">
        <is>
          <t>BBG01K6P2YP8 Equity</t>
        </is>
      </c>
      <c r="B395" t="inlineStr">
        <is>
          <t>TSLL US 01/19/24 P18.73</t>
        </is>
      </c>
      <c r="C395" t="inlineStr">
        <is>
          <t>2024-01-19</t>
        </is>
      </c>
      <c r="D395" t="n">
        <v>18.73</v>
      </c>
      <c r="E395" t="inlineStr">
        <is>
          <t>BBG01K6P2YP8</t>
        </is>
      </c>
    </row>
    <row r="396">
      <c r="A396" t="inlineStr">
        <is>
          <t>BBG01K6P2ZN7 Equity</t>
        </is>
      </c>
      <c r="B396" t="inlineStr">
        <is>
          <t>TSLL US 01/19/24 P19.73</t>
        </is>
      </c>
      <c r="C396" t="inlineStr">
        <is>
          <t>2024-01-19</t>
        </is>
      </c>
      <c r="D396" t="n">
        <v>19.73</v>
      </c>
      <c r="E396" t="inlineStr">
        <is>
          <t>BBG01K6P2ZN7</t>
        </is>
      </c>
    </row>
    <row r="397">
      <c r="A397" t="inlineStr">
        <is>
          <t>BBG01K6P30N3 Equity</t>
        </is>
      </c>
      <c r="B397" t="inlineStr">
        <is>
          <t>TSLL US 01/19/24 P20.73</t>
        </is>
      </c>
      <c r="C397" t="inlineStr">
        <is>
          <t>2024-01-19</t>
        </is>
      </c>
      <c r="D397" t="n">
        <v>20.73</v>
      </c>
      <c r="E397" t="inlineStr">
        <is>
          <t>BBG01K6P30N3</t>
        </is>
      </c>
    </row>
    <row r="398">
      <c r="A398" t="inlineStr">
        <is>
          <t>BBG01K6P31M2 Equity</t>
        </is>
      </c>
      <c r="B398" t="inlineStr">
        <is>
          <t>TSLL US 01/19/24 P21.73</t>
        </is>
      </c>
      <c r="C398" t="inlineStr">
        <is>
          <t>2024-01-19</t>
        </is>
      </c>
      <c r="D398" t="n">
        <v>21.73</v>
      </c>
      <c r="E398" t="inlineStr">
        <is>
          <t>BBG01K6P31M2</t>
        </is>
      </c>
    </row>
    <row r="399">
      <c r="A399" t="inlineStr">
        <is>
          <t>BBG01K6P32L1 Equity</t>
        </is>
      </c>
      <c r="B399" t="inlineStr">
        <is>
          <t>TSLL US 01/19/24 P22.73</t>
        </is>
      </c>
      <c r="C399" t="inlineStr">
        <is>
          <t>2024-01-19</t>
        </is>
      </c>
      <c r="D399" t="n">
        <v>22.73</v>
      </c>
      <c r="E399" t="inlineStr">
        <is>
          <t>BBG01K6P32L1</t>
        </is>
      </c>
    </row>
    <row r="400">
      <c r="A400" t="inlineStr">
        <is>
          <t>BBG01K6P33L9 Equity</t>
        </is>
      </c>
      <c r="B400" t="inlineStr">
        <is>
          <t>TSLL US 01/19/24 P23.73</t>
        </is>
      </c>
      <c r="C400" t="inlineStr">
        <is>
          <t>2024-01-19</t>
        </is>
      </c>
      <c r="D400" t="n">
        <v>23.73</v>
      </c>
      <c r="E400" t="inlineStr">
        <is>
          <t>BBG01K6P33L9</t>
        </is>
      </c>
    </row>
    <row r="401">
      <c r="A401" t="inlineStr">
        <is>
          <t>BBG01KBZMKF9 Equity</t>
        </is>
      </c>
      <c r="B401" t="inlineStr">
        <is>
          <t>TSLL US 01/19/24 P24.73</t>
        </is>
      </c>
      <c r="C401" t="inlineStr">
        <is>
          <t>2024-01-19</t>
        </is>
      </c>
      <c r="D401" t="n">
        <v>24.73</v>
      </c>
      <c r="E401" t="inlineStr">
        <is>
          <t>BBG01KBZMKF9</t>
        </is>
      </c>
    </row>
    <row r="402">
      <c r="A402" t="inlineStr">
        <is>
          <t>BBG01KLVT2N1 Equity</t>
        </is>
      </c>
      <c r="B402" t="inlineStr">
        <is>
          <t>TSLL US 02/16/24 P4</t>
        </is>
      </c>
      <c r="C402" t="inlineStr">
        <is>
          <t>2024-02-16</t>
        </is>
      </c>
      <c r="D402" t="n">
        <v>4</v>
      </c>
      <c r="E402" t="inlineStr">
        <is>
          <t>BBG01KLVT2N1</t>
        </is>
      </c>
    </row>
    <row r="403">
      <c r="A403" t="inlineStr">
        <is>
          <t>BBG01KLVT3M0 Equity</t>
        </is>
      </c>
      <c r="B403" t="inlineStr">
        <is>
          <t>TSLL US 02/16/24 P5</t>
        </is>
      </c>
      <c r="C403" t="inlineStr">
        <is>
          <t>2024-02-16</t>
        </is>
      </c>
      <c r="D403" t="n">
        <v>5</v>
      </c>
      <c r="E403" t="inlineStr">
        <is>
          <t>BBG01KLVT3M0</t>
        </is>
      </c>
    </row>
    <row r="404">
      <c r="A404" t="inlineStr">
        <is>
          <t>BBG01KLVT4L9 Equity</t>
        </is>
      </c>
      <c r="B404" t="inlineStr">
        <is>
          <t>TSLL US 02/16/24 P6</t>
        </is>
      </c>
      <c r="C404" t="inlineStr">
        <is>
          <t>2024-02-16</t>
        </is>
      </c>
      <c r="D404" t="n">
        <v>6</v>
      </c>
      <c r="E404" t="inlineStr">
        <is>
          <t>BBG01KLVT4L9</t>
        </is>
      </c>
    </row>
    <row r="405">
      <c r="A405" t="inlineStr">
        <is>
          <t>BBG01KLVT5P2 Equity</t>
        </is>
      </c>
      <c r="B405" t="inlineStr">
        <is>
          <t>TSLL US 02/16/24 P7</t>
        </is>
      </c>
      <c r="C405" t="inlineStr">
        <is>
          <t>2024-02-16</t>
        </is>
      </c>
      <c r="D405" t="n">
        <v>7</v>
      </c>
      <c r="E405" t="inlineStr">
        <is>
          <t>BBG01KLVT5P2</t>
        </is>
      </c>
    </row>
    <row r="406">
      <c r="A406" t="inlineStr">
        <is>
          <t>BBG01KLVT6N2 Equity</t>
        </is>
      </c>
      <c r="B406" t="inlineStr">
        <is>
          <t>TSLL US 02/16/24 P8</t>
        </is>
      </c>
      <c r="C406" t="inlineStr">
        <is>
          <t>2024-02-16</t>
        </is>
      </c>
      <c r="D406" t="n">
        <v>8</v>
      </c>
      <c r="E406" t="inlineStr">
        <is>
          <t>BBG01KLVT6N2</t>
        </is>
      </c>
    </row>
    <row r="407">
      <c r="A407" t="inlineStr">
        <is>
          <t>BBG01KLVT7M1 Equity</t>
        </is>
      </c>
      <c r="B407" t="inlineStr">
        <is>
          <t>TSLL US 02/16/24 P9</t>
        </is>
      </c>
      <c r="C407" t="inlineStr">
        <is>
          <t>2024-02-16</t>
        </is>
      </c>
      <c r="D407" t="n">
        <v>9</v>
      </c>
      <c r="E407" t="inlineStr">
        <is>
          <t>BBG01KLVT7M1</t>
        </is>
      </c>
    </row>
    <row r="408">
      <c r="A408" t="inlineStr">
        <is>
          <t>BBG01KLVT8P6 Equity</t>
        </is>
      </c>
      <c r="B408" t="inlineStr">
        <is>
          <t>TSLL US 02/16/24 P10</t>
        </is>
      </c>
      <c r="C408" t="inlineStr">
        <is>
          <t>2024-02-16</t>
        </is>
      </c>
      <c r="D408" t="n">
        <v>10</v>
      </c>
      <c r="E408" t="inlineStr">
        <is>
          <t>BBG01KLVT8P6</t>
        </is>
      </c>
    </row>
    <row r="409">
      <c r="A409" t="inlineStr">
        <is>
          <t>BBG01KLVT9N6 Equity</t>
        </is>
      </c>
      <c r="B409" t="inlineStr">
        <is>
          <t>TSLL US 02/16/24 P11</t>
        </is>
      </c>
      <c r="C409" t="inlineStr">
        <is>
          <t>2024-02-16</t>
        </is>
      </c>
      <c r="D409" t="n">
        <v>11</v>
      </c>
      <c r="E409" t="inlineStr">
        <is>
          <t>BBG01KLVT9N6</t>
        </is>
      </c>
    </row>
    <row r="410">
      <c r="A410" t="inlineStr">
        <is>
          <t>BBG01KLVTBM2 Equity</t>
        </is>
      </c>
      <c r="B410" t="inlineStr">
        <is>
          <t>TSLL US 02/16/24 P12</t>
        </is>
      </c>
      <c r="C410" t="inlineStr">
        <is>
          <t>2024-02-16</t>
        </is>
      </c>
      <c r="D410" t="n">
        <v>12</v>
      </c>
      <c r="E410" t="inlineStr">
        <is>
          <t>BBG01KLVTBM2</t>
        </is>
      </c>
    </row>
    <row r="411">
      <c r="A411" t="inlineStr">
        <is>
          <t>BBG01KLVTCM0 Equity</t>
        </is>
      </c>
      <c r="B411" t="inlineStr">
        <is>
          <t>TSLL US 02/16/24 P13</t>
        </is>
      </c>
      <c r="C411" t="inlineStr">
        <is>
          <t>2024-02-16</t>
        </is>
      </c>
      <c r="D411" t="n">
        <v>13</v>
      </c>
      <c r="E411" t="inlineStr">
        <is>
          <t>BBG01KLVTCM0</t>
        </is>
      </c>
    </row>
    <row r="412">
      <c r="A412" t="inlineStr">
        <is>
          <t>BBG01KLVTDL9 Equity</t>
        </is>
      </c>
      <c r="B412" t="inlineStr">
        <is>
          <t>TSLL US 02/16/24 P14</t>
        </is>
      </c>
      <c r="C412" t="inlineStr">
        <is>
          <t>2024-02-16</t>
        </is>
      </c>
      <c r="D412" t="n">
        <v>14</v>
      </c>
      <c r="E412" t="inlineStr">
        <is>
          <t>BBG01KLVTDL9</t>
        </is>
      </c>
    </row>
    <row r="413">
      <c r="A413" t="inlineStr">
        <is>
          <t>BBG01KLVTFK5 Equity</t>
        </is>
      </c>
      <c r="B413" t="inlineStr">
        <is>
          <t>TSLL US 02/16/24 P15</t>
        </is>
      </c>
      <c r="C413" t="inlineStr">
        <is>
          <t>2024-02-16</t>
        </is>
      </c>
      <c r="D413" t="n">
        <v>15</v>
      </c>
      <c r="E413" t="inlineStr">
        <is>
          <t>BBG01KLVTFK5</t>
        </is>
      </c>
    </row>
    <row r="414">
      <c r="A414" t="inlineStr">
        <is>
          <t>BBG01KLVTGK3 Equity</t>
        </is>
      </c>
      <c r="B414" t="inlineStr">
        <is>
          <t>TSLL US 02/16/24 P16</t>
        </is>
      </c>
      <c r="C414" t="inlineStr">
        <is>
          <t>2024-02-16</t>
        </is>
      </c>
      <c r="D414" t="n">
        <v>16</v>
      </c>
      <c r="E414" t="inlineStr">
        <is>
          <t>BBG01KLVTGK3</t>
        </is>
      </c>
    </row>
    <row r="415">
      <c r="A415" t="inlineStr">
        <is>
          <t>BBG01KLVTHJ3 Equity</t>
        </is>
      </c>
      <c r="B415" t="inlineStr">
        <is>
          <t>TSLL US 02/16/24 P17</t>
        </is>
      </c>
      <c r="C415" t="inlineStr">
        <is>
          <t>2024-02-16</t>
        </is>
      </c>
      <c r="D415" t="n">
        <v>17</v>
      </c>
      <c r="E415" t="inlineStr">
        <is>
          <t>BBG01KLVTHJ3</t>
        </is>
      </c>
    </row>
    <row r="416">
      <c r="A416" t="inlineStr">
        <is>
          <t>BBG01KLVTJH1 Equity</t>
        </is>
      </c>
      <c r="B416" t="inlineStr">
        <is>
          <t>TSLL US 02/16/24 P18</t>
        </is>
      </c>
      <c r="C416" t="inlineStr">
        <is>
          <t>2024-02-16</t>
        </is>
      </c>
      <c r="D416" t="n">
        <v>18</v>
      </c>
      <c r="E416" t="inlineStr">
        <is>
          <t>BBG01KLVTJH1</t>
        </is>
      </c>
    </row>
    <row r="417">
      <c r="A417" t="inlineStr">
        <is>
          <t>BBG01KLVTKG9 Equity</t>
        </is>
      </c>
      <c r="B417" t="inlineStr">
        <is>
          <t>TSLL US 02/16/24 P19</t>
        </is>
      </c>
      <c r="C417" t="inlineStr">
        <is>
          <t>2024-02-16</t>
        </is>
      </c>
      <c r="D417" t="n">
        <v>19</v>
      </c>
      <c r="E417" t="inlineStr">
        <is>
          <t>BBG01KLVTKG9</t>
        </is>
      </c>
    </row>
    <row r="418">
      <c r="A418" t="inlineStr">
        <is>
          <t>BBG01KLVTLH6 Equity</t>
        </is>
      </c>
      <c r="B418" t="inlineStr">
        <is>
          <t>TSLL US 02/16/24 P20</t>
        </is>
      </c>
      <c r="C418" t="inlineStr">
        <is>
          <t>2024-02-16</t>
        </is>
      </c>
      <c r="D418" t="n">
        <v>20</v>
      </c>
      <c r="E418" t="inlineStr">
        <is>
          <t>BBG01KLVTLH6</t>
        </is>
      </c>
    </row>
    <row r="419">
      <c r="A419" t="inlineStr">
        <is>
          <t>BBG01KLVTMG5 Equity</t>
        </is>
      </c>
      <c r="B419" t="inlineStr">
        <is>
          <t>TSLL US 02/16/24 P21</t>
        </is>
      </c>
      <c r="C419" t="inlineStr">
        <is>
          <t>2024-02-16</t>
        </is>
      </c>
      <c r="D419" t="n">
        <v>21</v>
      </c>
      <c r="E419" t="inlineStr">
        <is>
          <t>BBG01KLVTMG5</t>
        </is>
      </c>
    </row>
    <row r="420">
      <c r="A420" t="inlineStr">
        <is>
          <t>BBG01KLVTNF4 Equity</t>
        </is>
      </c>
      <c r="B420" t="inlineStr">
        <is>
          <t>TSLL US 02/16/24 P22</t>
        </is>
      </c>
      <c r="C420" t="inlineStr">
        <is>
          <t>2024-02-16</t>
        </is>
      </c>
      <c r="D420" t="n">
        <v>22</v>
      </c>
      <c r="E420" t="inlineStr">
        <is>
          <t>BBG01KLVTNF4</t>
        </is>
      </c>
    </row>
    <row r="421">
      <c r="A421" t="inlineStr">
        <is>
          <t>BBG01KLVTPF9 Equity</t>
        </is>
      </c>
      <c r="B421" t="inlineStr">
        <is>
          <t>TSLL US 02/16/24 P23</t>
        </is>
      </c>
      <c r="C421" t="inlineStr">
        <is>
          <t>2024-02-16</t>
        </is>
      </c>
      <c r="D421" t="n">
        <v>23</v>
      </c>
      <c r="E421" t="inlineStr">
        <is>
          <t>BBG01KLVTPF9</t>
        </is>
      </c>
    </row>
    <row r="422">
      <c r="A422" t="inlineStr">
        <is>
          <t>BBG01KLVTQD9 Equity</t>
        </is>
      </c>
      <c r="B422" t="inlineStr">
        <is>
          <t>TSLL US 02/16/24 P24</t>
        </is>
      </c>
      <c r="C422" t="inlineStr">
        <is>
          <t>2024-02-16</t>
        </is>
      </c>
      <c r="D422" t="n">
        <v>24</v>
      </c>
      <c r="E422" t="inlineStr">
        <is>
          <t>BBG01KLVTQD9</t>
        </is>
      </c>
    </row>
    <row r="423">
      <c r="A423" t="inlineStr">
        <is>
          <t>BBG01KMY3396 Equity</t>
        </is>
      </c>
      <c r="B423" t="inlineStr">
        <is>
          <t>TSLL US 02/16/24 P25</t>
        </is>
      </c>
      <c r="C423" t="inlineStr">
        <is>
          <t>2024-02-16</t>
        </is>
      </c>
      <c r="D423" t="n">
        <v>25</v>
      </c>
      <c r="E423" t="inlineStr">
        <is>
          <t>BBG01KMY3396</t>
        </is>
      </c>
    </row>
    <row r="424">
      <c r="A424" t="inlineStr">
        <is>
          <t>BBG01JWHJPV4 Equity</t>
        </is>
      </c>
      <c r="B424" t="inlineStr">
        <is>
          <t>TSLL US 03/15/24 P0.73</t>
        </is>
      </c>
      <c r="C424" t="inlineStr">
        <is>
          <t>2024-03-15</t>
        </is>
      </c>
      <c r="D424" t="n">
        <v>0.73</v>
      </c>
      <c r="E424" t="inlineStr">
        <is>
          <t>BBG01JWHJPV4</t>
        </is>
      </c>
    </row>
    <row r="425">
      <c r="A425" t="inlineStr">
        <is>
          <t>BBG01JWHJQV2 Equity</t>
        </is>
      </c>
      <c r="B425" t="inlineStr">
        <is>
          <t>TSLL US 03/15/24 P1.73</t>
        </is>
      </c>
      <c r="C425" t="inlineStr">
        <is>
          <t>2024-03-15</t>
        </is>
      </c>
      <c r="D425" t="n">
        <v>1.73</v>
      </c>
      <c r="E425" t="inlineStr">
        <is>
          <t>BBG01JWHJQV2</t>
        </is>
      </c>
    </row>
    <row r="426">
      <c r="A426" t="inlineStr">
        <is>
          <t>BBG01JWHJRT3 Equity</t>
        </is>
      </c>
      <c r="B426" t="inlineStr">
        <is>
          <t>TSLL US 03/15/24 P2.73</t>
        </is>
      </c>
      <c r="C426" t="inlineStr">
        <is>
          <t>2024-03-15</t>
        </is>
      </c>
      <c r="D426" t="n">
        <v>2.73</v>
      </c>
      <c r="E426" t="inlineStr">
        <is>
          <t>BBG01JWHJRT3</t>
        </is>
      </c>
    </row>
    <row r="427">
      <c r="A427" t="inlineStr">
        <is>
          <t>BBG01JWHJSS2 Equity</t>
        </is>
      </c>
      <c r="B427" t="inlineStr">
        <is>
          <t>TSLL US 03/15/24 P3.73</t>
        </is>
      </c>
      <c r="C427" t="inlineStr">
        <is>
          <t>2024-03-15</t>
        </is>
      </c>
      <c r="D427" t="n">
        <v>3.73</v>
      </c>
      <c r="E427" t="inlineStr">
        <is>
          <t>BBG01JWHJSS2</t>
        </is>
      </c>
    </row>
    <row r="428">
      <c r="A428" t="inlineStr">
        <is>
          <t>BBG01HPMJYY3 Equity</t>
        </is>
      </c>
      <c r="B428" t="inlineStr">
        <is>
          <t>TSLL US 03/15/24 P4.73</t>
        </is>
      </c>
      <c r="C428" t="inlineStr">
        <is>
          <t>2024-03-15</t>
        </is>
      </c>
      <c r="D428" t="n">
        <v>4.73</v>
      </c>
      <c r="E428" t="inlineStr">
        <is>
          <t>BBG01HPMJYY3</t>
        </is>
      </c>
    </row>
    <row r="429">
      <c r="A429" t="inlineStr">
        <is>
          <t>BBG01JWHJTS0 Equity</t>
        </is>
      </c>
      <c r="B429" t="inlineStr">
        <is>
          <t>TSLL US 03/15/24 P5.73</t>
        </is>
      </c>
      <c r="C429" t="inlineStr">
        <is>
          <t>2024-03-15</t>
        </is>
      </c>
      <c r="D429" t="n">
        <v>5.73</v>
      </c>
      <c r="E429" t="inlineStr">
        <is>
          <t>BBG01JWHJTS0</t>
        </is>
      </c>
    </row>
    <row r="430">
      <c r="A430" t="inlineStr">
        <is>
          <t>BBG01JWHJVR6 Equity</t>
        </is>
      </c>
      <c r="B430" t="inlineStr">
        <is>
          <t>TSLL US 03/15/24 P6.73</t>
        </is>
      </c>
      <c r="C430" t="inlineStr">
        <is>
          <t>2024-03-15</t>
        </is>
      </c>
      <c r="D430" t="n">
        <v>6.73</v>
      </c>
      <c r="E430" t="inlineStr">
        <is>
          <t>BBG01JWHJVR6</t>
        </is>
      </c>
    </row>
    <row r="431">
      <c r="A431" t="inlineStr">
        <is>
          <t>BBG01JWHJWQ5 Equity</t>
        </is>
      </c>
      <c r="B431" t="inlineStr">
        <is>
          <t>TSLL US 03/15/24 P7.73</t>
        </is>
      </c>
      <c r="C431" t="inlineStr">
        <is>
          <t>2024-03-15</t>
        </is>
      </c>
      <c r="D431" t="n">
        <v>7.73</v>
      </c>
      <c r="E431" t="inlineStr">
        <is>
          <t>BBG01JWHJWQ5</t>
        </is>
      </c>
    </row>
    <row r="432">
      <c r="A432" t="inlineStr">
        <is>
          <t>BBG01JWHJXQ3 Equity</t>
        </is>
      </c>
      <c r="B432" t="inlineStr">
        <is>
          <t>TSLL US 03/15/24 P8.73</t>
        </is>
      </c>
      <c r="C432" t="inlineStr">
        <is>
          <t>2024-03-15</t>
        </is>
      </c>
      <c r="D432" t="n">
        <v>8.73</v>
      </c>
      <c r="E432" t="inlineStr">
        <is>
          <t>BBG01JWHJXQ3</t>
        </is>
      </c>
    </row>
    <row r="433">
      <c r="A433" t="inlineStr">
        <is>
          <t>BBG01HKKQK47 Equity</t>
        </is>
      </c>
      <c r="B433" t="inlineStr">
        <is>
          <t>TSLL US 03/15/24 P9.73</t>
        </is>
      </c>
      <c r="C433" t="inlineStr">
        <is>
          <t>2024-03-15</t>
        </is>
      </c>
      <c r="D433" t="n">
        <v>9.73</v>
      </c>
      <c r="E433" t="inlineStr">
        <is>
          <t>BBG01HKKQK47</t>
        </is>
      </c>
    </row>
    <row r="434">
      <c r="A434" t="inlineStr">
        <is>
          <t>BBG01HKKQL36 Equity</t>
        </is>
      </c>
      <c r="B434" t="inlineStr">
        <is>
          <t>TSLL US 03/15/24 P10.73</t>
        </is>
      </c>
      <c r="C434" t="inlineStr">
        <is>
          <t>2024-03-15</t>
        </is>
      </c>
      <c r="D434" t="n">
        <v>10.73</v>
      </c>
      <c r="E434" t="inlineStr">
        <is>
          <t>BBG01HKKQL36</t>
        </is>
      </c>
    </row>
    <row r="435">
      <c r="A435" t="inlineStr">
        <is>
          <t>BBG01HKKQM34 Equity</t>
        </is>
      </c>
      <c r="B435" t="inlineStr">
        <is>
          <t>TSLL US 03/15/24 P11.73</t>
        </is>
      </c>
      <c r="C435" t="inlineStr">
        <is>
          <t>2024-03-15</t>
        </is>
      </c>
      <c r="D435" t="n">
        <v>11.73</v>
      </c>
      <c r="E435" t="inlineStr">
        <is>
          <t>BBG01HKKQM34</t>
        </is>
      </c>
    </row>
    <row r="436">
      <c r="A436" t="inlineStr">
        <is>
          <t>BBG01HKKQN23 Equity</t>
        </is>
      </c>
      <c r="B436" t="inlineStr">
        <is>
          <t>TSLL US 03/15/24 P12.73</t>
        </is>
      </c>
      <c r="C436" t="inlineStr">
        <is>
          <t>2024-03-15</t>
        </is>
      </c>
      <c r="D436" t="n">
        <v>12.73</v>
      </c>
      <c r="E436" t="inlineStr">
        <is>
          <t>BBG01HKKQN23</t>
        </is>
      </c>
    </row>
    <row r="437">
      <c r="A437" t="inlineStr">
        <is>
          <t>BBG01HKKQP19 Equity</t>
        </is>
      </c>
      <c r="B437" t="inlineStr">
        <is>
          <t>TSLL US 03/15/24 P13.73</t>
        </is>
      </c>
      <c r="C437" t="inlineStr">
        <is>
          <t>2024-03-15</t>
        </is>
      </c>
      <c r="D437" t="n">
        <v>13.73</v>
      </c>
      <c r="E437" t="inlineStr">
        <is>
          <t>BBG01HKKQP19</t>
        </is>
      </c>
    </row>
    <row r="438">
      <c r="A438" t="inlineStr">
        <is>
          <t>BBG01HKKQQ08 Equity</t>
        </is>
      </c>
      <c r="B438" t="inlineStr">
        <is>
          <t>TSLL US 03/15/24 P14.73</t>
        </is>
      </c>
      <c r="C438" t="inlineStr">
        <is>
          <t>2024-03-15</t>
        </is>
      </c>
      <c r="D438" t="n">
        <v>14.73</v>
      </c>
      <c r="E438" t="inlineStr">
        <is>
          <t>BBG01HKKQQ08</t>
        </is>
      </c>
    </row>
    <row r="439">
      <c r="A439" t="inlineStr">
        <is>
          <t>BBG01HKKQR06 Equity</t>
        </is>
      </c>
      <c r="B439" t="inlineStr">
        <is>
          <t>TSLL US 03/15/24 P15.73</t>
        </is>
      </c>
      <c r="C439" t="inlineStr">
        <is>
          <t>2024-03-15</t>
        </is>
      </c>
      <c r="D439" t="n">
        <v>15.73</v>
      </c>
      <c r="E439" t="inlineStr">
        <is>
          <t>BBG01HKKQR06</t>
        </is>
      </c>
    </row>
    <row r="440">
      <c r="A440" t="inlineStr">
        <is>
          <t>BBG01HKKQRZ8 Equity</t>
        </is>
      </c>
      <c r="B440" t="inlineStr">
        <is>
          <t>TSLL US 03/15/24 P16.73</t>
        </is>
      </c>
      <c r="C440" t="inlineStr">
        <is>
          <t>2024-03-15</t>
        </is>
      </c>
      <c r="D440" t="n">
        <v>16.73</v>
      </c>
      <c r="E440" t="inlineStr">
        <is>
          <t>BBG01HKKQRZ8</t>
        </is>
      </c>
    </row>
    <row r="441">
      <c r="A441" t="inlineStr">
        <is>
          <t>BBG01HKKQSY7 Equity</t>
        </is>
      </c>
      <c r="B441" t="inlineStr">
        <is>
          <t>TSLL US 03/15/24 P17.73</t>
        </is>
      </c>
      <c r="C441" t="inlineStr">
        <is>
          <t>2024-03-15</t>
        </is>
      </c>
      <c r="D441" t="n">
        <v>17.73</v>
      </c>
      <c r="E441" t="inlineStr">
        <is>
          <t>BBG01HKKQSY7</t>
        </is>
      </c>
    </row>
    <row r="442">
      <c r="A442" t="inlineStr">
        <is>
          <t>BBG01HKKQTZ4 Equity</t>
        </is>
      </c>
      <c r="B442" t="inlineStr">
        <is>
          <t>TSLL US 03/15/24 P18.73</t>
        </is>
      </c>
      <c r="C442" t="inlineStr">
        <is>
          <t>2024-03-15</t>
        </is>
      </c>
      <c r="D442" t="n">
        <v>18.73</v>
      </c>
      <c r="E442" t="inlineStr">
        <is>
          <t>BBG01HKKQTZ4</t>
        </is>
      </c>
    </row>
    <row r="443">
      <c r="A443" t="inlineStr">
        <is>
          <t>BBG01HKKQVY0 Equity</t>
        </is>
      </c>
      <c r="B443" t="inlineStr">
        <is>
          <t>TSLL US 03/15/24 P19.73</t>
        </is>
      </c>
      <c r="C443" t="inlineStr">
        <is>
          <t>2024-03-15</t>
        </is>
      </c>
      <c r="D443" t="n">
        <v>19.73</v>
      </c>
      <c r="E443" t="inlineStr">
        <is>
          <t>BBG01HKKQVY0</t>
        </is>
      </c>
    </row>
    <row r="444">
      <c r="A444" t="inlineStr">
        <is>
          <t>BBG01HKKQWX9 Equity</t>
        </is>
      </c>
      <c r="B444" t="inlineStr">
        <is>
          <t>TSLL US 03/15/24 P20.73</t>
        </is>
      </c>
      <c r="C444" t="inlineStr">
        <is>
          <t>2024-03-15</t>
        </is>
      </c>
      <c r="D444" t="n">
        <v>20.73</v>
      </c>
      <c r="E444" t="inlineStr">
        <is>
          <t>BBG01HKKQWX9</t>
        </is>
      </c>
    </row>
    <row r="445">
      <c r="A445" t="inlineStr">
        <is>
          <t>BBG01HKKQXX7 Equity</t>
        </is>
      </c>
      <c r="B445" t="inlineStr">
        <is>
          <t>TSLL US 03/15/24 P21.73</t>
        </is>
      </c>
      <c r="C445" t="inlineStr">
        <is>
          <t>2024-03-15</t>
        </is>
      </c>
      <c r="D445" t="n">
        <v>21.73</v>
      </c>
      <c r="E445" t="inlineStr">
        <is>
          <t>BBG01HKKQXX7</t>
        </is>
      </c>
    </row>
    <row r="446">
      <c r="A446" t="inlineStr">
        <is>
          <t>BBG01HKKQYW6 Equity</t>
        </is>
      </c>
      <c r="B446" t="inlineStr">
        <is>
          <t>TSLL US 03/15/24 P22.73</t>
        </is>
      </c>
      <c r="C446" t="inlineStr">
        <is>
          <t>2024-03-15</t>
        </is>
      </c>
      <c r="D446" t="n">
        <v>22.73</v>
      </c>
      <c r="E446" t="inlineStr">
        <is>
          <t>BBG01HKKQYW6</t>
        </is>
      </c>
    </row>
    <row r="447">
      <c r="A447" t="inlineStr">
        <is>
          <t>BBG01HKKQZV4 Equity</t>
        </is>
      </c>
      <c r="B447" t="inlineStr">
        <is>
          <t>TSLL US 03/15/24 P23.73</t>
        </is>
      </c>
      <c r="C447" t="inlineStr">
        <is>
          <t>2024-03-15</t>
        </is>
      </c>
      <c r="D447" t="n">
        <v>23.73</v>
      </c>
      <c r="E447" t="inlineStr">
        <is>
          <t>BBG01HKKQZV4</t>
        </is>
      </c>
    </row>
    <row r="448">
      <c r="A448" t="inlineStr">
        <is>
          <t>BBG01HKKR0T3 Equity</t>
        </is>
      </c>
      <c r="B448" t="inlineStr">
        <is>
          <t>TSLL US 03/15/24 P24.73</t>
        </is>
      </c>
      <c r="C448" t="inlineStr">
        <is>
          <t>2024-03-15</t>
        </is>
      </c>
      <c r="D448" t="n">
        <v>24.73</v>
      </c>
      <c r="E448" t="inlineStr">
        <is>
          <t>BBG01HKKR0T3</t>
        </is>
      </c>
    </row>
    <row r="449">
      <c r="A449" t="inlineStr">
        <is>
          <t>BBG01HKKR1T1 Equity</t>
        </is>
      </c>
      <c r="B449" t="inlineStr">
        <is>
          <t>TSLL US 03/15/24 P25.73</t>
        </is>
      </c>
      <c r="C449" t="inlineStr">
        <is>
          <t>2024-03-15</t>
        </is>
      </c>
      <c r="D449" t="n">
        <v>25.73</v>
      </c>
      <c r="E449" t="inlineStr">
        <is>
          <t>BBG01HKKR1T1</t>
        </is>
      </c>
    </row>
    <row r="450">
      <c r="A450" t="inlineStr">
        <is>
          <t>BBG01HKKR2S0 Equity</t>
        </is>
      </c>
      <c r="B450" t="inlineStr">
        <is>
          <t>TSLL US 03/15/24 P26.73</t>
        </is>
      </c>
      <c r="C450" t="inlineStr">
        <is>
          <t>2024-03-15</t>
        </is>
      </c>
      <c r="D450" t="n">
        <v>26.73</v>
      </c>
      <c r="E450" t="inlineStr">
        <is>
          <t>BBG01HKKR2S0</t>
        </is>
      </c>
    </row>
    <row r="451">
      <c r="A451" t="inlineStr">
        <is>
          <t>BBG01HKKR3R9 Equity</t>
        </is>
      </c>
      <c r="B451" t="inlineStr">
        <is>
          <t>TSLL US 03/15/24 P27.73</t>
        </is>
      </c>
      <c r="C451" t="inlineStr">
        <is>
          <t>2024-03-15</t>
        </is>
      </c>
      <c r="D451" t="n">
        <v>27.73</v>
      </c>
      <c r="E451" t="inlineStr">
        <is>
          <t>BBG01HKKR3R9</t>
        </is>
      </c>
    </row>
    <row r="452">
      <c r="A452" t="inlineStr">
        <is>
          <t>BBG01HKKR4S6 Equity</t>
        </is>
      </c>
      <c r="B452" t="inlineStr">
        <is>
          <t>TSLL US 03/15/24 P28.73</t>
        </is>
      </c>
      <c r="C452" t="inlineStr">
        <is>
          <t>2024-03-15</t>
        </is>
      </c>
      <c r="D452" t="n">
        <v>28.73</v>
      </c>
      <c r="E452" t="inlineStr">
        <is>
          <t>BBG01HKKR4S6</t>
        </is>
      </c>
    </row>
    <row r="453">
      <c r="A453" t="inlineStr">
        <is>
          <t>BBG01HKKR5R4 Equity</t>
        </is>
      </c>
      <c r="B453" t="inlineStr">
        <is>
          <t>TSLL US 03/15/24 P29.73</t>
        </is>
      </c>
      <c r="C453" t="inlineStr">
        <is>
          <t>2024-03-15</t>
        </is>
      </c>
      <c r="D453" t="n">
        <v>29.73</v>
      </c>
      <c r="E453" t="inlineStr">
        <is>
          <t>BBG01HKKR5R4</t>
        </is>
      </c>
    </row>
    <row r="454">
      <c r="A454" t="inlineStr">
        <is>
          <t>BBG01HPMJZX1 Equity</t>
        </is>
      </c>
      <c r="B454" t="inlineStr">
        <is>
          <t>TSLL US 03/15/24 P34.73</t>
        </is>
      </c>
      <c r="C454" t="inlineStr">
        <is>
          <t>2024-03-15</t>
        </is>
      </c>
      <c r="D454" t="n">
        <v>34.73</v>
      </c>
      <c r="E454" t="inlineStr">
        <is>
          <t>BBG01HPMJZX1</t>
        </is>
      </c>
    </row>
    <row r="455">
      <c r="A455" t="inlineStr">
        <is>
          <t>BBG01LJSXH60 Equity</t>
        </is>
      </c>
      <c r="B455" t="inlineStr">
        <is>
          <t>TSLL US 04/19/24 P1</t>
        </is>
      </c>
      <c r="C455" t="inlineStr">
        <is>
          <t>2024-04-19</t>
        </is>
      </c>
      <c r="D455" t="n">
        <v>1</v>
      </c>
      <c r="E455" t="inlineStr">
        <is>
          <t>BBG01LJSXH60</t>
        </is>
      </c>
    </row>
    <row r="456">
      <c r="A456" t="inlineStr">
        <is>
          <t>BBG01LJSXJ93 Equity</t>
        </is>
      </c>
      <c r="B456" t="inlineStr">
        <is>
          <t>TSLL US 04/19/24 P2</t>
        </is>
      </c>
      <c r="C456" t="inlineStr">
        <is>
          <t>2024-04-19</t>
        </is>
      </c>
      <c r="D456" t="n">
        <v>2</v>
      </c>
      <c r="E456" t="inlineStr">
        <is>
          <t>BBG01LJSXJ93</t>
        </is>
      </c>
    </row>
    <row r="457">
      <c r="A457" t="inlineStr">
        <is>
          <t>BBG01M24P0P4 Equity</t>
        </is>
      </c>
      <c r="B457" t="inlineStr">
        <is>
          <t>TSLL US 04/19/24 P2.5</t>
        </is>
      </c>
      <c r="C457" t="inlineStr">
        <is>
          <t>2024-04-19</t>
        </is>
      </c>
      <c r="D457" t="n">
        <v>2.5</v>
      </c>
      <c r="E457" t="inlineStr">
        <is>
          <t>BBG01M24P0P4</t>
        </is>
      </c>
    </row>
    <row r="458">
      <c r="A458" t="inlineStr">
        <is>
          <t>BBG01LJSXKF3 Equity</t>
        </is>
      </c>
      <c r="B458" t="inlineStr">
        <is>
          <t>TSLL US 04/19/24 P3</t>
        </is>
      </c>
      <c r="C458" t="inlineStr">
        <is>
          <t>2024-04-19</t>
        </is>
      </c>
      <c r="D458" t="n">
        <v>3</v>
      </c>
      <c r="E458" t="inlineStr">
        <is>
          <t>BBG01LJSXKF3</t>
        </is>
      </c>
    </row>
    <row r="459">
      <c r="A459" t="inlineStr">
        <is>
          <t>BBG01M24P1S9 Equity</t>
        </is>
      </c>
      <c r="B459" t="inlineStr">
        <is>
          <t>TSLL US 04/19/24 P3.5</t>
        </is>
      </c>
      <c r="C459" t="inlineStr">
        <is>
          <t>2024-04-19</t>
        </is>
      </c>
      <c r="D459" t="n">
        <v>3.5</v>
      </c>
      <c r="E459" t="inlineStr">
        <is>
          <t>BBG01M24P1S9</t>
        </is>
      </c>
    </row>
    <row r="460">
      <c r="A460" t="inlineStr">
        <is>
          <t>BBG01LJSXLJ7 Equity</t>
        </is>
      </c>
      <c r="B460" t="inlineStr">
        <is>
          <t>TSLL US 04/19/24 P4</t>
        </is>
      </c>
      <c r="C460" t="inlineStr">
        <is>
          <t>2024-04-19</t>
        </is>
      </c>
      <c r="D460" t="n">
        <v>4</v>
      </c>
      <c r="E460" t="inlineStr">
        <is>
          <t>BBG01LJSXLJ7</t>
        </is>
      </c>
    </row>
    <row r="461">
      <c r="A461" t="inlineStr">
        <is>
          <t>BBG01M24P2W2 Equity</t>
        </is>
      </c>
      <c r="B461" t="inlineStr">
        <is>
          <t>TSLL US 04/19/24 P4.5</t>
        </is>
      </c>
      <c r="C461" t="inlineStr">
        <is>
          <t>2024-04-19</t>
        </is>
      </c>
      <c r="D461" t="n">
        <v>4.5</v>
      </c>
      <c r="E461" t="inlineStr">
        <is>
          <t>BBG01M24P2W2</t>
        </is>
      </c>
    </row>
    <row r="462">
      <c r="A462" t="inlineStr">
        <is>
          <t>BBG01LJSXMM1 Equity</t>
        </is>
      </c>
      <c r="B462" t="inlineStr">
        <is>
          <t>TSLL US 04/19/24 P5</t>
        </is>
      </c>
      <c r="C462" t="inlineStr">
        <is>
          <t>2024-04-19</t>
        </is>
      </c>
      <c r="D462" t="n">
        <v>5</v>
      </c>
      <c r="E462" t="inlineStr">
        <is>
          <t>BBG01LJSXMM1</t>
        </is>
      </c>
    </row>
    <row r="463">
      <c r="A463" t="inlineStr">
        <is>
          <t>BBG01M24P403 Equity</t>
        </is>
      </c>
      <c r="B463" t="inlineStr">
        <is>
          <t>TSLL US 04/19/24 P5.5</t>
        </is>
      </c>
      <c r="C463" t="inlineStr">
        <is>
          <t>2024-04-19</t>
        </is>
      </c>
      <c r="D463" t="n">
        <v>5.5</v>
      </c>
      <c r="E463" t="inlineStr">
        <is>
          <t>BBG01M24P403</t>
        </is>
      </c>
    </row>
    <row r="464">
      <c r="A464" t="inlineStr">
        <is>
          <t>BBG01LJSXNR4 Equity</t>
        </is>
      </c>
      <c r="B464" t="inlineStr">
        <is>
          <t>TSLL US 04/19/24 P6</t>
        </is>
      </c>
      <c r="C464" t="inlineStr">
        <is>
          <t>2024-04-19</t>
        </is>
      </c>
      <c r="D464" t="n">
        <v>6</v>
      </c>
      <c r="E464" t="inlineStr">
        <is>
          <t>BBG01LJSXNR4</t>
        </is>
      </c>
    </row>
    <row r="465">
      <c r="A465" t="inlineStr">
        <is>
          <t>BBG01M24P537 Equity</t>
        </is>
      </c>
      <c r="B465" t="inlineStr">
        <is>
          <t>TSLL US 04/19/24 P6.5</t>
        </is>
      </c>
      <c r="C465" t="inlineStr">
        <is>
          <t>2024-04-19</t>
        </is>
      </c>
      <c r="D465" t="n">
        <v>6.5</v>
      </c>
      <c r="E465" t="inlineStr">
        <is>
          <t>BBG01M24P537</t>
        </is>
      </c>
    </row>
    <row r="466">
      <c r="A466" t="inlineStr">
        <is>
          <t>BBG01LJSXPV4 Equity</t>
        </is>
      </c>
      <c r="B466" t="inlineStr">
        <is>
          <t>TSLL US 04/19/24 P7</t>
        </is>
      </c>
      <c r="C466" t="inlineStr">
        <is>
          <t>2024-04-19</t>
        </is>
      </c>
      <c r="D466" t="n">
        <v>7</v>
      </c>
      <c r="E466" t="inlineStr">
        <is>
          <t>BBG01LJSXPV4</t>
        </is>
      </c>
    </row>
    <row r="467">
      <c r="A467" t="inlineStr">
        <is>
          <t>BBG01M24P662 Equity</t>
        </is>
      </c>
      <c r="B467" t="inlineStr">
        <is>
          <t>TSLL US 04/19/24 P7.5</t>
        </is>
      </c>
      <c r="C467" t="inlineStr">
        <is>
          <t>2024-04-19</t>
        </is>
      </c>
      <c r="D467" t="n">
        <v>7.5</v>
      </c>
      <c r="E467" t="inlineStr">
        <is>
          <t>BBG01M24P662</t>
        </is>
      </c>
    </row>
    <row r="468">
      <c r="A468" t="inlineStr">
        <is>
          <t>BBG01LJSXQY9 Equity</t>
        </is>
      </c>
      <c r="B468" t="inlineStr">
        <is>
          <t>TSLL US 04/19/24 P8</t>
        </is>
      </c>
      <c r="C468" t="inlineStr">
        <is>
          <t>2024-04-19</t>
        </is>
      </c>
      <c r="D468" t="n">
        <v>8</v>
      </c>
      <c r="E468" t="inlineStr">
        <is>
          <t>BBG01LJSXQY9</t>
        </is>
      </c>
    </row>
    <row r="469">
      <c r="A469" t="inlineStr">
        <is>
          <t>BBG01M24P7B4 Equity</t>
        </is>
      </c>
      <c r="B469" t="inlineStr">
        <is>
          <t>TSLL US 04/19/24 P8.5</t>
        </is>
      </c>
      <c r="C469" t="inlineStr">
        <is>
          <t>2024-04-19</t>
        </is>
      </c>
      <c r="D469" t="n">
        <v>8.5</v>
      </c>
      <c r="E469" t="inlineStr">
        <is>
          <t>BBG01M24P7B4</t>
        </is>
      </c>
    </row>
    <row r="470">
      <c r="A470" t="inlineStr">
        <is>
          <t>BBG01LJSXS20 Equity</t>
        </is>
      </c>
      <c r="B470" t="inlineStr">
        <is>
          <t>TSLL US 04/19/24 P9</t>
        </is>
      </c>
      <c r="C470" t="inlineStr">
        <is>
          <t>2024-04-19</t>
        </is>
      </c>
      <c r="D470" t="n">
        <v>9</v>
      </c>
      <c r="E470" t="inlineStr">
        <is>
          <t>BBG01LJSXS20</t>
        </is>
      </c>
    </row>
    <row r="471">
      <c r="A471" t="inlineStr">
        <is>
          <t>BBG01M24P8F8 Equity</t>
        </is>
      </c>
      <c r="B471" t="inlineStr">
        <is>
          <t>TSLL US 04/19/24 P9.5</t>
        </is>
      </c>
      <c r="C471" t="inlineStr">
        <is>
          <t>2024-04-19</t>
        </is>
      </c>
      <c r="D471" t="n">
        <v>9.5</v>
      </c>
      <c r="E471" t="inlineStr">
        <is>
          <t>BBG01M24P8F8</t>
        </is>
      </c>
    </row>
    <row r="472">
      <c r="A472" t="inlineStr">
        <is>
          <t>BBG01LJSXT55 Equity</t>
        </is>
      </c>
      <c r="B472" t="inlineStr">
        <is>
          <t>TSLL US 04/19/24 P10</t>
        </is>
      </c>
      <c r="C472" t="inlineStr">
        <is>
          <t>2024-04-19</t>
        </is>
      </c>
      <c r="D472" t="n">
        <v>10</v>
      </c>
      <c r="E472" t="inlineStr">
        <is>
          <t>BBG01LJSXT55</t>
        </is>
      </c>
    </row>
    <row r="473">
      <c r="A473" t="inlineStr">
        <is>
          <t>BBG01M24P9J2 Equity</t>
        </is>
      </c>
      <c r="B473" t="inlineStr">
        <is>
          <t>TSLL US 04/19/24 P10.5</t>
        </is>
      </c>
      <c r="C473" t="inlineStr">
        <is>
          <t>2024-04-19</t>
        </is>
      </c>
      <c r="D473" t="n">
        <v>10.5</v>
      </c>
      <c r="E473" t="inlineStr">
        <is>
          <t>BBG01M24P9J2</t>
        </is>
      </c>
    </row>
    <row r="474">
      <c r="A474" t="inlineStr">
        <is>
          <t>BBG01LJSXV87 Equity</t>
        </is>
      </c>
      <c r="B474" t="inlineStr">
        <is>
          <t>TSLL US 04/19/24 P11</t>
        </is>
      </c>
      <c r="C474" t="inlineStr">
        <is>
          <t>2024-04-19</t>
        </is>
      </c>
      <c r="D474" t="n">
        <v>11</v>
      </c>
      <c r="E474" t="inlineStr">
        <is>
          <t>BBG01LJSXV87</t>
        </is>
      </c>
    </row>
    <row r="475">
      <c r="A475" t="inlineStr">
        <is>
          <t>BBG01M24PBN2 Equity</t>
        </is>
      </c>
      <c r="B475" t="inlineStr">
        <is>
          <t>TSLL US 04/19/24 P11.5</t>
        </is>
      </c>
      <c r="C475" t="inlineStr">
        <is>
          <t>2024-04-19</t>
        </is>
      </c>
      <c r="D475" t="n">
        <v>11.5</v>
      </c>
      <c r="E475" t="inlineStr">
        <is>
          <t>BBG01M24PBN2</t>
        </is>
      </c>
    </row>
    <row r="476">
      <c r="A476" t="inlineStr">
        <is>
          <t>BBG01LJSXWD9 Equity</t>
        </is>
      </c>
      <c r="B476" t="inlineStr">
        <is>
          <t>TSLL US 04/19/24 P12</t>
        </is>
      </c>
      <c r="C476" t="inlineStr">
        <is>
          <t>2024-04-19</t>
        </is>
      </c>
      <c r="D476" t="n">
        <v>12</v>
      </c>
      <c r="E476" t="inlineStr">
        <is>
          <t>BBG01LJSXWD9</t>
        </is>
      </c>
    </row>
    <row r="477">
      <c r="A477" t="inlineStr">
        <is>
          <t>BBG01M24PCR6 Equity</t>
        </is>
      </c>
      <c r="B477" t="inlineStr">
        <is>
          <t>TSLL US 04/19/24 P12.5</t>
        </is>
      </c>
      <c r="C477" t="inlineStr">
        <is>
          <t>2024-04-19</t>
        </is>
      </c>
      <c r="D477" t="n">
        <v>12.5</v>
      </c>
      <c r="E477" t="inlineStr">
        <is>
          <t>BBG01M24PCR6</t>
        </is>
      </c>
    </row>
    <row r="478">
      <c r="A478" t="inlineStr">
        <is>
          <t>BBG01LJSXXH3 Equity</t>
        </is>
      </c>
      <c r="B478" t="inlineStr">
        <is>
          <t>TSLL US 04/19/24 P13</t>
        </is>
      </c>
      <c r="C478" t="inlineStr">
        <is>
          <t>2024-04-19</t>
        </is>
      </c>
      <c r="D478" t="n">
        <v>13</v>
      </c>
      <c r="E478" t="inlineStr">
        <is>
          <t>BBG01LJSXXH3</t>
        </is>
      </c>
    </row>
    <row r="479">
      <c r="A479" t="inlineStr">
        <is>
          <t>BBG01LJSXYL6 Equity</t>
        </is>
      </c>
      <c r="B479" t="inlineStr">
        <is>
          <t>TSLL US 04/19/24 P14</t>
        </is>
      </c>
      <c r="C479" t="inlineStr">
        <is>
          <t>2024-04-19</t>
        </is>
      </c>
      <c r="D479" t="n">
        <v>14</v>
      </c>
      <c r="E479" t="inlineStr">
        <is>
          <t>BBG01LJSXYL6</t>
        </is>
      </c>
    </row>
    <row r="480">
      <c r="A480" t="inlineStr">
        <is>
          <t>BBG01LJSXZQ8 Equity</t>
        </is>
      </c>
      <c r="B480" t="inlineStr">
        <is>
          <t>TSLL US 04/19/24 P15</t>
        </is>
      </c>
      <c r="C480" t="inlineStr">
        <is>
          <t>2024-04-19</t>
        </is>
      </c>
      <c r="D480" t="n">
        <v>15</v>
      </c>
      <c r="E480" t="inlineStr">
        <is>
          <t>BBG01LJSXZQ8</t>
        </is>
      </c>
    </row>
    <row r="481">
      <c r="A481" t="inlineStr">
        <is>
          <t>BBG01LJSY0T1 Equity</t>
        </is>
      </c>
      <c r="B481" t="inlineStr">
        <is>
          <t>TSLL US 04/19/24 P16</t>
        </is>
      </c>
      <c r="C481" t="inlineStr">
        <is>
          <t>2024-04-19</t>
        </is>
      </c>
      <c r="D481" t="n">
        <v>16</v>
      </c>
      <c r="E481" t="inlineStr">
        <is>
          <t>BBG01LJSY0T1</t>
        </is>
      </c>
    </row>
    <row r="482">
      <c r="A482" t="inlineStr">
        <is>
          <t>BBG01LJSY1X4 Equity</t>
        </is>
      </c>
      <c r="B482" t="inlineStr">
        <is>
          <t>TSLL US 04/19/24 P17</t>
        </is>
      </c>
      <c r="C482" t="inlineStr">
        <is>
          <t>2024-04-19</t>
        </is>
      </c>
      <c r="D482" t="n">
        <v>17</v>
      </c>
      <c r="E482" t="inlineStr">
        <is>
          <t>BBG01LJSY1X4</t>
        </is>
      </c>
    </row>
    <row r="483">
      <c r="A483" t="inlineStr">
        <is>
          <t>BBG01LJSY324 Equity</t>
        </is>
      </c>
      <c r="B483" t="inlineStr">
        <is>
          <t>TSLL US 04/19/24 P18</t>
        </is>
      </c>
      <c r="C483" t="inlineStr">
        <is>
          <t>2024-04-19</t>
        </is>
      </c>
      <c r="D483" t="n">
        <v>18</v>
      </c>
      <c r="E483" t="inlineStr">
        <is>
          <t>BBG01LJSY324</t>
        </is>
      </c>
    </row>
    <row r="484">
      <c r="A484" t="inlineStr">
        <is>
          <t>BBG01LMSKRX8 Equity</t>
        </is>
      </c>
      <c r="B484" t="inlineStr">
        <is>
          <t>TSLL US 04/19/24 P19</t>
        </is>
      </c>
      <c r="C484" t="inlineStr">
        <is>
          <t>2024-04-19</t>
        </is>
      </c>
      <c r="D484" t="n">
        <v>19</v>
      </c>
      <c r="E484" t="inlineStr">
        <is>
          <t>BBG01LMSKRX8</t>
        </is>
      </c>
    </row>
    <row r="485">
      <c r="A485" t="inlineStr">
        <is>
          <t>BBG01LQKQZ76 Equity</t>
        </is>
      </c>
      <c r="B485" t="inlineStr">
        <is>
          <t>TSLL US 04/19/24 P20</t>
        </is>
      </c>
      <c r="C485" t="inlineStr">
        <is>
          <t>2024-04-19</t>
        </is>
      </c>
      <c r="D485" t="n">
        <v>20</v>
      </c>
      <c r="E485" t="inlineStr">
        <is>
          <t>BBG01LQKQZ76</t>
        </is>
      </c>
    </row>
    <row r="486">
      <c r="A486" t="inlineStr">
        <is>
          <t>BBG01M0F9D08 Equity</t>
        </is>
      </c>
      <c r="B486" t="inlineStr">
        <is>
          <t>TSLL US 05/17/24 P1</t>
        </is>
      </c>
      <c r="C486" t="inlineStr">
        <is>
          <t>2024-05-17</t>
        </is>
      </c>
      <c r="D486" t="n">
        <v>1</v>
      </c>
      <c r="E486" t="inlineStr">
        <is>
          <t>BBG01M0F9D08</t>
        </is>
      </c>
    </row>
    <row r="487">
      <c r="A487" t="inlineStr">
        <is>
          <t>BBG01M0F9F30 Equity</t>
        </is>
      </c>
      <c r="B487" t="inlineStr">
        <is>
          <t>TSLL US 05/17/24 P2</t>
        </is>
      </c>
      <c r="C487" t="inlineStr">
        <is>
          <t>2024-05-17</t>
        </is>
      </c>
      <c r="D487" t="n">
        <v>2</v>
      </c>
      <c r="E487" t="inlineStr">
        <is>
          <t>BBG01M0F9F30</t>
        </is>
      </c>
    </row>
    <row r="488">
      <c r="A488" t="inlineStr">
        <is>
          <t>BBG01M0F9G74 Equity</t>
        </is>
      </c>
      <c r="B488" t="inlineStr">
        <is>
          <t>TSLL US 05/17/24 P3</t>
        </is>
      </c>
      <c r="C488" t="inlineStr">
        <is>
          <t>2024-05-17</t>
        </is>
      </c>
      <c r="D488" t="n">
        <v>3</v>
      </c>
      <c r="E488" t="inlineStr">
        <is>
          <t>BBG01M0F9G74</t>
        </is>
      </c>
    </row>
    <row r="489">
      <c r="A489" t="inlineStr">
        <is>
          <t>BBG01M0F9HB7 Equity</t>
        </is>
      </c>
      <c r="B489" t="inlineStr">
        <is>
          <t>TSLL US 05/17/24 P4</t>
        </is>
      </c>
      <c r="C489" t="inlineStr">
        <is>
          <t>2024-05-17</t>
        </is>
      </c>
      <c r="D489" t="n">
        <v>4</v>
      </c>
      <c r="E489" t="inlineStr">
        <is>
          <t>BBG01M0F9HB7</t>
        </is>
      </c>
    </row>
    <row r="490">
      <c r="A490" t="inlineStr">
        <is>
          <t>BBG01M0F9JG8 Equity</t>
        </is>
      </c>
      <c r="B490" t="inlineStr">
        <is>
          <t>TSLL US 05/17/24 P5</t>
        </is>
      </c>
      <c r="C490" t="inlineStr">
        <is>
          <t>2024-05-17</t>
        </is>
      </c>
      <c r="D490" t="n">
        <v>5</v>
      </c>
      <c r="E490" t="inlineStr">
        <is>
          <t>BBG01M0F9JG8</t>
        </is>
      </c>
    </row>
    <row r="491">
      <c r="A491" t="inlineStr">
        <is>
          <t>BBG01M0F9KK0 Equity</t>
        </is>
      </c>
      <c r="B491" t="inlineStr">
        <is>
          <t>TSLL US 05/17/24 P6</t>
        </is>
      </c>
      <c r="C491" t="inlineStr">
        <is>
          <t>2024-05-17</t>
        </is>
      </c>
      <c r="D491" t="n">
        <v>6</v>
      </c>
      <c r="E491" t="inlineStr">
        <is>
          <t>BBG01M0F9KK0</t>
        </is>
      </c>
    </row>
    <row r="492">
      <c r="A492" t="inlineStr">
        <is>
          <t>BBG01M0F9LN5 Equity</t>
        </is>
      </c>
      <c r="B492" t="inlineStr">
        <is>
          <t>TSLL US 05/17/24 P7</t>
        </is>
      </c>
      <c r="C492" t="inlineStr">
        <is>
          <t>2024-05-17</t>
        </is>
      </c>
      <c r="D492" t="n">
        <v>7</v>
      </c>
      <c r="E492" t="inlineStr">
        <is>
          <t>BBG01M0F9LN5</t>
        </is>
      </c>
    </row>
    <row r="493">
      <c r="A493" t="inlineStr">
        <is>
          <t>BBG01M0F9MS8 Equity</t>
        </is>
      </c>
      <c r="B493" t="inlineStr">
        <is>
          <t>TSLL US 05/17/24 P8</t>
        </is>
      </c>
      <c r="C493" t="inlineStr">
        <is>
          <t>2024-05-17</t>
        </is>
      </c>
      <c r="D493" t="n">
        <v>8</v>
      </c>
      <c r="E493" t="inlineStr">
        <is>
          <t>BBG01M0F9MS8</t>
        </is>
      </c>
    </row>
    <row r="494">
      <c r="A494" t="inlineStr">
        <is>
          <t>BBG01M0F9NW1 Equity</t>
        </is>
      </c>
      <c r="B494" t="inlineStr">
        <is>
          <t>TSLL US 05/17/24 P9</t>
        </is>
      </c>
      <c r="C494" t="inlineStr">
        <is>
          <t>2024-05-17</t>
        </is>
      </c>
      <c r="D494" t="n">
        <v>9</v>
      </c>
      <c r="E494" t="inlineStr">
        <is>
          <t>BBG01M0F9NW1</t>
        </is>
      </c>
    </row>
    <row r="495">
      <c r="A495" t="inlineStr">
        <is>
          <t>BBG01M0F9PZ3 Equity</t>
        </is>
      </c>
      <c r="B495" t="inlineStr">
        <is>
          <t>TSLL US 05/17/24 P10</t>
        </is>
      </c>
      <c r="C495" t="inlineStr">
        <is>
          <t>2024-05-17</t>
        </is>
      </c>
      <c r="D495" t="n">
        <v>10</v>
      </c>
      <c r="E495" t="inlineStr">
        <is>
          <t>BBG01M0F9PZ3</t>
        </is>
      </c>
    </row>
    <row r="496">
      <c r="A496" t="inlineStr">
        <is>
          <t>BBG01M0F9R34 Equity</t>
        </is>
      </c>
      <c r="B496" t="inlineStr">
        <is>
          <t>TSLL US 05/17/24 P11</t>
        </is>
      </c>
      <c r="C496" t="inlineStr">
        <is>
          <t>2024-05-17</t>
        </is>
      </c>
      <c r="D496" t="n">
        <v>11</v>
      </c>
      <c r="E496" t="inlineStr">
        <is>
          <t>BBG01M0F9R34</t>
        </is>
      </c>
    </row>
    <row r="497">
      <c r="A497" t="inlineStr">
        <is>
          <t>BBG01M0F9S69 Equity</t>
        </is>
      </c>
      <c r="B497" t="inlineStr">
        <is>
          <t>TSLL US 05/17/24 P12</t>
        </is>
      </c>
      <c r="C497" t="inlineStr">
        <is>
          <t>2024-05-17</t>
        </is>
      </c>
      <c r="D497" t="n">
        <v>12</v>
      </c>
      <c r="E497" t="inlineStr">
        <is>
          <t>BBG01M0F9S69</t>
        </is>
      </c>
    </row>
    <row r="498">
      <c r="A498" t="inlineStr">
        <is>
          <t>BBG01M0F9T94 Equity</t>
        </is>
      </c>
      <c r="B498" t="inlineStr">
        <is>
          <t>TSLL US 05/17/24 P13</t>
        </is>
      </c>
      <c r="C498" t="inlineStr">
        <is>
          <t>2024-05-17</t>
        </is>
      </c>
      <c r="D498" t="n">
        <v>13</v>
      </c>
      <c r="E498" t="inlineStr">
        <is>
          <t>BBG01M0F9T94</t>
        </is>
      </c>
    </row>
    <row r="499">
      <c r="A499" t="inlineStr">
        <is>
          <t>BBG01M0F9VF2 Equity</t>
        </is>
      </c>
      <c r="B499" t="inlineStr">
        <is>
          <t>TSLL US 05/17/24 P14</t>
        </is>
      </c>
      <c r="C499" t="inlineStr">
        <is>
          <t>2024-05-17</t>
        </is>
      </c>
      <c r="D499" t="n">
        <v>14</v>
      </c>
      <c r="E499" t="inlineStr">
        <is>
          <t>BBG01M0F9VF2</t>
        </is>
      </c>
    </row>
    <row r="500">
      <c r="A500" t="inlineStr">
        <is>
          <t>BBG01M0F9WJ6 Equity</t>
        </is>
      </c>
      <c r="B500" t="inlineStr">
        <is>
          <t>TSLL US 05/17/24 P15</t>
        </is>
      </c>
      <c r="C500" t="inlineStr">
        <is>
          <t>2024-05-17</t>
        </is>
      </c>
      <c r="D500" t="n">
        <v>15</v>
      </c>
      <c r="E500" t="inlineStr">
        <is>
          <t>BBG01M0F9WJ6</t>
        </is>
      </c>
    </row>
    <row r="501">
      <c r="A501" t="inlineStr">
        <is>
          <t>BBG01M0F9XM0 Equity</t>
        </is>
      </c>
      <c r="B501" t="inlineStr">
        <is>
          <t>TSLL US 05/17/24 P16</t>
        </is>
      </c>
      <c r="C501" t="inlineStr">
        <is>
          <t>2024-05-17</t>
        </is>
      </c>
      <c r="D501" t="n">
        <v>16</v>
      </c>
      <c r="E501" t="inlineStr">
        <is>
          <t>BBG01M0F9XM0</t>
        </is>
      </c>
    </row>
    <row r="502">
      <c r="A502" t="inlineStr">
        <is>
          <t>BBG01M0F9YR3 Equity</t>
        </is>
      </c>
      <c r="B502" t="inlineStr">
        <is>
          <t>TSLL US 05/17/24 P17</t>
        </is>
      </c>
      <c r="C502" t="inlineStr">
        <is>
          <t>2024-05-17</t>
        </is>
      </c>
      <c r="D502" t="n">
        <v>17</v>
      </c>
      <c r="E502" t="inlineStr">
        <is>
          <t>BBG01M0F9YR3</t>
        </is>
      </c>
    </row>
    <row r="503">
      <c r="A503" t="inlineStr">
        <is>
          <t>BBG01JWHJYP2 Equity</t>
        </is>
      </c>
      <c r="B503" t="inlineStr">
        <is>
          <t>TSLL US 06/21/24 P0.73</t>
        </is>
      </c>
      <c r="C503" t="inlineStr">
        <is>
          <t>2024-06-21</t>
        </is>
      </c>
      <c r="D503" t="n">
        <v>0.73</v>
      </c>
      <c r="E503" t="inlineStr">
        <is>
          <t>BBG01JWHJYP2</t>
        </is>
      </c>
    </row>
    <row r="504">
      <c r="A504" t="inlineStr">
        <is>
          <t>BBG01JWHJZN1 Equity</t>
        </is>
      </c>
      <c r="B504" t="inlineStr">
        <is>
          <t>TSLL US 06/21/24 P1.73</t>
        </is>
      </c>
      <c r="C504" t="inlineStr">
        <is>
          <t>2024-06-21</t>
        </is>
      </c>
      <c r="D504" t="n">
        <v>1.73</v>
      </c>
      <c r="E504" t="inlineStr">
        <is>
          <t>BBG01JWHJZN1</t>
        </is>
      </c>
    </row>
    <row r="505">
      <c r="A505" t="inlineStr">
        <is>
          <t>BBG01JWHK0N6 Equity</t>
        </is>
      </c>
      <c r="B505" t="inlineStr">
        <is>
          <t>TSLL US 06/21/24 P2.73</t>
        </is>
      </c>
      <c r="C505" t="inlineStr">
        <is>
          <t>2024-06-21</t>
        </is>
      </c>
      <c r="D505" t="n">
        <v>2.73</v>
      </c>
      <c r="E505" t="inlineStr">
        <is>
          <t>BBG01JWHK0N6</t>
        </is>
      </c>
    </row>
    <row r="506">
      <c r="A506" t="inlineStr">
        <is>
          <t>BBG01JWHK1M5 Equity</t>
        </is>
      </c>
      <c r="B506" t="inlineStr">
        <is>
          <t>TSLL US 06/21/24 P3.73</t>
        </is>
      </c>
      <c r="C506" t="inlineStr">
        <is>
          <t>2024-06-21</t>
        </is>
      </c>
      <c r="D506" t="n">
        <v>3.73</v>
      </c>
      <c r="E506" t="inlineStr">
        <is>
          <t>BBG01JWHK1M5</t>
        </is>
      </c>
    </row>
    <row r="507">
      <c r="A507" t="inlineStr">
        <is>
          <t>BBG01JVK4XS1 Equity</t>
        </is>
      </c>
      <c r="B507" t="inlineStr">
        <is>
          <t>TSLL US 06/21/24 P4.73</t>
        </is>
      </c>
      <c r="C507" t="inlineStr">
        <is>
          <t>2024-06-21</t>
        </is>
      </c>
      <c r="D507" t="n">
        <v>4.73</v>
      </c>
      <c r="E507" t="inlineStr">
        <is>
          <t>BBG01JVK4XS1</t>
        </is>
      </c>
    </row>
    <row r="508">
      <c r="A508" t="inlineStr">
        <is>
          <t>BBG01JTQP5C6 Equity</t>
        </is>
      </c>
      <c r="B508" t="inlineStr">
        <is>
          <t>TSLL US 06/21/24 P5.73</t>
        </is>
      </c>
      <c r="C508" t="inlineStr">
        <is>
          <t>2024-06-21</t>
        </is>
      </c>
      <c r="D508" t="n">
        <v>5.73</v>
      </c>
      <c r="E508" t="inlineStr">
        <is>
          <t>BBG01JTQP5C6</t>
        </is>
      </c>
    </row>
    <row r="509">
      <c r="A509" t="inlineStr">
        <is>
          <t>BBG01JTQP6D3 Equity</t>
        </is>
      </c>
      <c r="B509" t="inlineStr">
        <is>
          <t>TSLL US 06/21/24 P6.73</t>
        </is>
      </c>
      <c r="C509" t="inlineStr">
        <is>
          <t>2024-06-21</t>
        </is>
      </c>
      <c r="D509" t="n">
        <v>6.73</v>
      </c>
      <c r="E509" t="inlineStr">
        <is>
          <t>BBG01JTQP6D3</t>
        </is>
      </c>
    </row>
    <row r="510">
      <c r="A510" t="inlineStr">
        <is>
          <t>BBG01JTQP7C2 Equity</t>
        </is>
      </c>
      <c r="B510" t="inlineStr">
        <is>
          <t>TSLL US 06/21/24 P7.73</t>
        </is>
      </c>
      <c r="C510" t="inlineStr">
        <is>
          <t>2024-06-21</t>
        </is>
      </c>
      <c r="D510" t="n">
        <v>7.73</v>
      </c>
      <c r="E510" t="inlineStr">
        <is>
          <t>BBG01JTQP7C2</t>
        </is>
      </c>
    </row>
    <row r="511">
      <c r="A511" t="inlineStr">
        <is>
          <t>BBG01JTQP8B1 Equity</t>
        </is>
      </c>
      <c r="B511" t="inlineStr">
        <is>
          <t>TSLL US 06/21/24 P8.73</t>
        </is>
      </c>
      <c r="C511" t="inlineStr">
        <is>
          <t>2024-06-21</t>
        </is>
      </c>
      <c r="D511" t="n">
        <v>8.73</v>
      </c>
      <c r="E511" t="inlineStr">
        <is>
          <t>BBG01JTQP8B1</t>
        </is>
      </c>
    </row>
    <row r="512">
      <c r="A512" t="inlineStr">
        <is>
          <t>BBG01JTQP9C8 Equity</t>
        </is>
      </c>
      <c r="B512" t="inlineStr">
        <is>
          <t>TSLL US 06/21/24 P9.73</t>
        </is>
      </c>
      <c r="C512" t="inlineStr">
        <is>
          <t>2024-06-21</t>
        </is>
      </c>
      <c r="D512" t="n">
        <v>9.73</v>
      </c>
      <c r="E512" t="inlineStr">
        <is>
          <t>BBG01JTQP9C8</t>
        </is>
      </c>
    </row>
    <row r="513">
      <c r="A513" t="inlineStr">
        <is>
          <t>BBG01JTQPBB4 Equity</t>
        </is>
      </c>
      <c r="B513" t="inlineStr">
        <is>
          <t>TSLL US 06/21/24 P10.73</t>
        </is>
      </c>
      <c r="C513" t="inlineStr">
        <is>
          <t>2024-06-21</t>
        </is>
      </c>
      <c r="D513" t="n">
        <v>10.73</v>
      </c>
      <c r="E513" t="inlineStr">
        <is>
          <t>BBG01JTQPBB4</t>
        </is>
      </c>
    </row>
    <row r="514">
      <c r="A514" t="inlineStr">
        <is>
          <t>BBG01JTQPC95 Equity</t>
        </is>
      </c>
      <c r="B514" t="inlineStr">
        <is>
          <t>TSLL US 06/21/24 P11.73</t>
        </is>
      </c>
      <c r="C514" t="inlineStr">
        <is>
          <t>2024-06-21</t>
        </is>
      </c>
      <c r="D514" t="n">
        <v>11.73</v>
      </c>
      <c r="E514" t="inlineStr">
        <is>
          <t>BBG01JTQPC95</t>
        </is>
      </c>
    </row>
    <row r="515">
      <c r="A515" t="inlineStr">
        <is>
          <t>BBG01JTQPD93 Equity</t>
        </is>
      </c>
      <c r="B515" t="inlineStr">
        <is>
          <t>TSLL US 06/21/24 P12.73</t>
        </is>
      </c>
      <c r="C515" t="inlineStr">
        <is>
          <t>2024-06-21</t>
        </is>
      </c>
      <c r="D515" t="n">
        <v>12.73</v>
      </c>
      <c r="E515" t="inlineStr">
        <is>
          <t>BBG01JTQPD93</t>
        </is>
      </c>
    </row>
    <row r="516">
      <c r="A516" t="inlineStr">
        <is>
          <t>BBG01JTQPF89 Equity</t>
        </is>
      </c>
      <c r="B516" t="inlineStr">
        <is>
          <t>TSLL US 06/21/24 P13.73</t>
        </is>
      </c>
      <c r="C516" t="inlineStr">
        <is>
          <t>2024-06-21</t>
        </is>
      </c>
      <c r="D516" t="n">
        <v>13.73</v>
      </c>
      <c r="E516" t="inlineStr">
        <is>
          <t>BBG01JTQPF89</t>
        </is>
      </c>
    </row>
    <row r="517">
      <c r="A517" t="inlineStr">
        <is>
          <t>BBG01JTQPG78 Equity</t>
        </is>
      </c>
      <c r="B517" t="inlineStr">
        <is>
          <t>TSLL US 06/21/24 P14.73</t>
        </is>
      </c>
      <c r="C517" t="inlineStr">
        <is>
          <t>2024-06-21</t>
        </is>
      </c>
      <c r="D517" t="n">
        <v>14.73</v>
      </c>
      <c r="E517" t="inlineStr">
        <is>
          <t>BBG01JTQPG78</t>
        </is>
      </c>
    </row>
    <row r="518">
      <c r="A518" t="inlineStr">
        <is>
          <t>BBG01JTQPH67 Equity</t>
        </is>
      </c>
      <c r="B518" t="inlineStr">
        <is>
          <t>TSLL US 06/21/24 P15.73</t>
        </is>
      </c>
      <c r="C518" t="inlineStr">
        <is>
          <t>2024-06-21</t>
        </is>
      </c>
      <c r="D518" t="n">
        <v>15.73</v>
      </c>
      <c r="E518" t="inlineStr">
        <is>
          <t>BBG01JTQPH67</t>
        </is>
      </c>
    </row>
    <row r="519">
      <c r="A519" t="inlineStr">
        <is>
          <t>BBG01JTQPJ63 Equity</t>
        </is>
      </c>
      <c r="B519" t="inlineStr">
        <is>
          <t>TSLL US 06/21/24 P16.73</t>
        </is>
      </c>
      <c r="C519" t="inlineStr">
        <is>
          <t>2024-06-21</t>
        </is>
      </c>
      <c r="D519" t="n">
        <v>16.73</v>
      </c>
      <c r="E519" t="inlineStr">
        <is>
          <t>BBG01JTQPJ63</t>
        </is>
      </c>
    </row>
    <row r="520">
      <c r="A520" t="inlineStr">
        <is>
          <t>BBG01JTQPK51 Equity</t>
        </is>
      </c>
      <c r="B520" t="inlineStr">
        <is>
          <t>TSLL US 06/21/24 P17.73</t>
        </is>
      </c>
      <c r="C520" t="inlineStr">
        <is>
          <t>2024-06-21</t>
        </is>
      </c>
      <c r="D520" t="n">
        <v>17.73</v>
      </c>
      <c r="E520" t="inlineStr">
        <is>
          <t>BBG01JTQPK51</t>
        </is>
      </c>
    </row>
    <row r="521">
      <c r="A521" t="inlineStr">
        <is>
          <t>BBG01JTQPL40 Equity</t>
        </is>
      </c>
      <c r="B521" t="inlineStr">
        <is>
          <t>TSLL US 06/21/24 P18.73</t>
        </is>
      </c>
      <c r="C521" t="inlineStr">
        <is>
          <t>2024-06-21</t>
        </is>
      </c>
      <c r="D521" t="n">
        <v>18.73</v>
      </c>
      <c r="E521" t="inlineStr">
        <is>
          <t>BBG01JTQPL40</t>
        </is>
      </c>
    </row>
    <row r="522">
      <c r="A522" t="inlineStr">
        <is>
          <t>BBG01JTQPM48 Equity</t>
        </is>
      </c>
      <c r="B522" t="inlineStr">
        <is>
          <t>TSLL US 06/21/24 P19.73</t>
        </is>
      </c>
      <c r="C522" t="inlineStr">
        <is>
          <t>2024-06-21</t>
        </is>
      </c>
      <c r="D522" t="n">
        <v>19.73</v>
      </c>
      <c r="E522" t="inlineStr">
        <is>
          <t>BBG01JTQPM48</t>
        </is>
      </c>
    </row>
    <row r="523">
      <c r="A523" t="inlineStr">
        <is>
          <t>BBG01JTQPN37 Equity</t>
        </is>
      </c>
      <c r="B523" t="inlineStr">
        <is>
          <t>TSLL US 06/21/24 P20.73</t>
        </is>
      </c>
      <c r="C523" t="inlineStr">
        <is>
          <t>2024-06-21</t>
        </is>
      </c>
      <c r="D523" t="n">
        <v>20.73</v>
      </c>
      <c r="E523" t="inlineStr">
        <is>
          <t>BBG01JTQPN37</t>
        </is>
      </c>
    </row>
    <row r="524">
      <c r="A524" t="inlineStr">
        <is>
          <t>BBG01JTQPP23 Equity</t>
        </is>
      </c>
      <c r="B524" t="inlineStr">
        <is>
          <t>TSLL US 06/21/24 P21.73</t>
        </is>
      </c>
      <c r="C524" t="inlineStr">
        <is>
          <t>2024-06-21</t>
        </is>
      </c>
      <c r="D524" t="n">
        <v>21.73</v>
      </c>
      <c r="E524" t="inlineStr">
        <is>
          <t>BBG01JTQPP23</t>
        </is>
      </c>
    </row>
    <row r="525">
      <c r="A525" t="inlineStr">
        <is>
          <t>BBG01JTQPQ21 Equity</t>
        </is>
      </c>
      <c r="B525" t="inlineStr">
        <is>
          <t>TSLL US 06/21/24 P22.73</t>
        </is>
      </c>
      <c r="C525" t="inlineStr">
        <is>
          <t>2024-06-21</t>
        </is>
      </c>
      <c r="D525" t="n">
        <v>22.73</v>
      </c>
      <c r="E525" t="inlineStr">
        <is>
          <t>BBG01JTQPQ21</t>
        </is>
      </c>
    </row>
    <row r="526">
      <c r="A526" t="inlineStr">
        <is>
          <t>BBG01JTQPR10 Equity</t>
        </is>
      </c>
      <c r="B526" t="inlineStr">
        <is>
          <t>TSLL US 06/21/24 P23.73</t>
        </is>
      </c>
      <c r="C526" t="inlineStr">
        <is>
          <t>2024-06-21</t>
        </is>
      </c>
      <c r="D526" t="n">
        <v>23.73</v>
      </c>
      <c r="E526" t="inlineStr">
        <is>
          <t>BBG01JTQPR10</t>
        </is>
      </c>
    </row>
    <row r="527">
      <c r="A527" t="inlineStr">
        <is>
          <t>BBG01JTQPS09 Equity</t>
        </is>
      </c>
      <c r="B527" t="inlineStr">
        <is>
          <t>TSLL US 06/21/24 P24.73</t>
        </is>
      </c>
      <c r="C527" t="inlineStr">
        <is>
          <t>2024-06-21</t>
        </is>
      </c>
      <c r="D527" t="n">
        <v>24.73</v>
      </c>
      <c r="E527" t="inlineStr">
        <is>
          <t>BBG01JTQPS09</t>
        </is>
      </c>
    </row>
    <row r="528">
      <c r="A528" t="inlineStr">
        <is>
          <t>BBG01JTQPT07 Equity</t>
        </is>
      </c>
      <c r="B528" t="inlineStr">
        <is>
          <t>TSLL US 06/21/24 P25.73</t>
        </is>
      </c>
      <c r="C528" t="inlineStr">
        <is>
          <t>2024-06-21</t>
        </is>
      </c>
      <c r="D528" t="n">
        <v>25.73</v>
      </c>
      <c r="E528" t="inlineStr">
        <is>
          <t>BBG01JTQPT07</t>
        </is>
      </c>
    </row>
    <row r="529">
      <c r="A529" t="inlineStr">
        <is>
          <t>BBG01KPRDV68 Equity</t>
        </is>
      </c>
      <c r="B529" t="inlineStr">
        <is>
          <t>TSLL US 06/21/24 P30</t>
        </is>
      </c>
      <c r="C529" t="inlineStr">
        <is>
          <t>2024-06-21</t>
        </is>
      </c>
      <c r="D529" t="n">
        <v>30</v>
      </c>
      <c r="E529" t="inlineStr">
        <is>
          <t>BBG01KPRDV68</t>
        </is>
      </c>
    </row>
    <row r="530">
      <c r="A530" t="inlineStr">
        <is>
          <t>BBG01MXWC456 Equity</t>
        </is>
      </c>
      <c r="B530" t="inlineStr">
        <is>
          <t>TSLL US 07/19/24 P1</t>
        </is>
      </c>
      <c r="C530" t="inlineStr">
        <is>
          <t>2024-07-19</t>
        </is>
      </c>
      <c r="D530" t="n">
        <v>1</v>
      </c>
      <c r="E530" t="inlineStr">
        <is>
          <t>BBG01MXWC456</t>
        </is>
      </c>
    </row>
    <row r="531">
      <c r="A531" t="inlineStr">
        <is>
          <t>BBG01MXWC580 Equity</t>
        </is>
      </c>
      <c r="B531" t="inlineStr">
        <is>
          <t>TSLL US 07/19/24 P2</t>
        </is>
      </c>
      <c r="C531" t="inlineStr">
        <is>
          <t>2024-07-19</t>
        </is>
      </c>
      <c r="D531" t="n">
        <v>2</v>
      </c>
      <c r="E531" t="inlineStr">
        <is>
          <t>BBG01MXWC580</t>
        </is>
      </c>
    </row>
    <row r="532">
      <c r="A532" t="inlineStr">
        <is>
          <t>BBG01NGZ08S5 Equity</t>
        </is>
      </c>
      <c r="B532" t="inlineStr">
        <is>
          <t>TSLL US 07/19/24 P2.5</t>
        </is>
      </c>
      <c r="C532" t="inlineStr">
        <is>
          <t>2024-07-19</t>
        </is>
      </c>
      <c r="D532" t="n">
        <v>2.5</v>
      </c>
      <c r="E532" t="inlineStr">
        <is>
          <t>BBG01NGZ08S5</t>
        </is>
      </c>
    </row>
    <row r="533">
      <c r="A533" t="inlineStr">
        <is>
          <t>BBG01MXWC6D2 Equity</t>
        </is>
      </c>
      <c r="B533" t="inlineStr">
        <is>
          <t>TSLL US 07/19/24 P3</t>
        </is>
      </c>
      <c r="C533" t="inlineStr">
        <is>
          <t>2024-07-19</t>
        </is>
      </c>
      <c r="D533" t="n">
        <v>3</v>
      </c>
      <c r="E533" t="inlineStr">
        <is>
          <t>BBG01MXWC6D2</t>
        </is>
      </c>
    </row>
    <row r="534">
      <c r="A534" t="inlineStr">
        <is>
          <t>BBG01NGZ09X7 Equity</t>
        </is>
      </c>
      <c r="B534" t="inlineStr">
        <is>
          <t>TSLL US 07/19/24 P3.5</t>
        </is>
      </c>
      <c r="C534" t="inlineStr">
        <is>
          <t>2024-07-19</t>
        </is>
      </c>
      <c r="D534" t="n">
        <v>3.5</v>
      </c>
      <c r="E534" t="inlineStr">
        <is>
          <t>BBG01NGZ09X7</t>
        </is>
      </c>
    </row>
    <row r="535">
      <c r="A535" t="inlineStr">
        <is>
          <t>BBG01MXWC7H6 Equity</t>
        </is>
      </c>
      <c r="B535" t="inlineStr">
        <is>
          <t>TSLL US 07/19/24 P4</t>
        </is>
      </c>
      <c r="C535" t="inlineStr">
        <is>
          <t>2024-07-19</t>
        </is>
      </c>
      <c r="D535" t="n">
        <v>4</v>
      </c>
      <c r="E535" t="inlineStr">
        <is>
          <t>BBG01MXWC7H6</t>
        </is>
      </c>
    </row>
    <row r="536">
      <c r="A536" t="inlineStr">
        <is>
          <t>BBG01NGZ0C06 Equity</t>
        </is>
      </c>
      <c r="B536" t="inlineStr">
        <is>
          <t>TSLL US 07/19/24 P4.5</t>
        </is>
      </c>
      <c r="C536" t="inlineStr">
        <is>
          <t>2024-07-19</t>
        </is>
      </c>
      <c r="D536" t="n">
        <v>4.5</v>
      </c>
      <c r="E536" t="inlineStr">
        <is>
          <t>BBG01NGZ0C06</t>
        </is>
      </c>
    </row>
    <row r="537">
      <c r="A537" t="inlineStr">
        <is>
          <t>BBG01MXWC8L9 Equity</t>
        </is>
      </c>
      <c r="B537" t="inlineStr">
        <is>
          <t>TSLL US 07/19/24 P5</t>
        </is>
      </c>
      <c r="C537" t="inlineStr">
        <is>
          <t>2024-07-19</t>
        </is>
      </c>
      <c r="D537" t="n">
        <v>5</v>
      </c>
      <c r="E537" t="inlineStr">
        <is>
          <t>BBG01MXWC8L9</t>
        </is>
      </c>
    </row>
    <row r="538">
      <c r="A538" t="inlineStr">
        <is>
          <t>BBG01NGZ0D31 Equity</t>
        </is>
      </c>
      <c r="B538" t="inlineStr">
        <is>
          <t>TSLL US 07/19/24 P5.5</t>
        </is>
      </c>
      <c r="C538" t="inlineStr">
        <is>
          <t>2024-07-19</t>
        </is>
      </c>
      <c r="D538" t="n">
        <v>5.5</v>
      </c>
      <c r="E538" t="inlineStr">
        <is>
          <t>BBG01NGZ0D31</t>
        </is>
      </c>
    </row>
    <row r="539">
      <c r="A539" t="inlineStr">
        <is>
          <t>BBG01MXWC9Q2 Equity</t>
        </is>
      </c>
      <c r="B539" t="inlineStr">
        <is>
          <t>TSLL US 07/19/24 P6</t>
        </is>
      </c>
      <c r="C539" t="inlineStr">
        <is>
          <t>2024-07-19</t>
        </is>
      </c>
      <c r="D539" t="n">
        <v>6</v>
      </c>
      <c r="E539" t="inlineStr">
        <is>
          <t>BBG01MXWC9Q2</t>
        </is>
      </c>
    </row>
    <row r="540">
      <c r="A540" t="inlineStr">
        <is>
          <t>BBG01NGZ0F72 Equity</t>
        </is>
      </c>
      <c r="B540" t="inlineStr">
        <is>
          <t>TSLL US 07/19/24 P6.5</t>
        </is>
      </c>
      <c r="C540" t="inlineStr">
        <is>
          <t>2024-07-19</t>
        </is>
      </c>
      <c r="D540" t="n">
        <v>6.5</v>
      </c>
      <c r="E540" t="inlineStr">
        <is>
          <t>BBG01NGZ0F72</t>
        </is>
      </c>
    </row>
    <row r="541">
      <c r="A541" t="inlineStr">
        <is>
          <t>BBG01MXWCBT4 Equity</t>
        </is>
      </c>
      <c r="B541" t="inlineStr">
        <is>
          <t>TSLL US 07/19/24 P7</t>
        </is>
      </c>
      <c r="C541" t="inlineStr">
        <is>
          <t>2024-07-19</t>
        </is>
      </c>
      <c r="D541" t="n">
        <v>7</v>
      </c>
      <c r="E541" t="inlineStr">
        <is>
          <t>BBG01MXWCBT4</t>
        </is>
      </c>
    </row>
    <row r="542">
      <c r="A542" t="inlineStr">
        <is>
          <t>BBG01NGZ0GB5 Equity</t>
        </is>
      </c>
      <c r="B542" t="inlineStr">
        <is>
          <t>TSLL US 07/19/24 P7.5</t>
        </is>
      </c>
      <c r="C542" t="inlineStr">
        <is>
          <t>2024-07-19</t>
        </is>
      </c>
      <c r="D542" t="n">
        <v>7.5</v>
      </c>
      <c r="E542" t="inlineStr">
        <is>
          <t>BBG01NGZ0GB5</t>
        </is>
      </c>
    </row>
    <row r="543">
      <c r="A543" t="inlineStr">
        <is>
          <t>BBG01MXWCCX7 Equity</t>
        </is>
      </c>
      <c r="B543" t="inlineStr">
        <is>
          <t>TSLL US 07/19/24 P8</t>
        </is>
      </c>
      <c r="C543" t="inlineStr">
        <is>
          <t>2024-07-19</t>
        </is>
      </c>
      <c r="D543" t="n">
        <v>8</v>
      </c>
      <c r="E543" t="inlineStr">
        <is>
          <t>BBG01MXWCCX7</t>
        </is>
      </c>
    </row>
    <row r="544">
      <c r="A544" t="inlineStr">
        <is>
          <t>BBG01NGZ0HF9 Equity</t>
        </is>
      </c>
      <c r="B544" t="inlineStr">
        <is>
          <t>TSLL US 07/19/24 P8.5</t>
        </is>
      </c>
      <c r="C544" t="inlineStr">
        <is>
          <t>2024-07-19</t>
        </is>
      </c>
      <c r="D544" t="n">
        <v>8.5</v>
      </c>
      <c r="E544" t="inlineStr">
        <is>
          <t>BBG01NGZ0HF9</t>
        </is>
      </c>
    </row>
    <row r="545">
      <c r="A545" t="inlineStr">
        <is>
          <t>BBG01MXWCF15 Equity</t>
        </is>
      </c>
      <c r="B545" t="inlineStr">
        <is>
          <t>TSLL US 07/19/24 P9</t>
        </is>
      </c>
      <c r="C545" t="inlineStr">
        <is>
          <t>2024-07-19</t>
        </is>
      </c>
      <c r="D545" t="n">
        <v>9</v>
      </c>
      <c r="E545" t="inlineStr">
        <is>
          <t>BBG01MXWCF15</t>
        </is>
      </c>
    </row>
    <row r="546">
      <c r="A546" t="inlineStr">
        <is>
          <t>BBG01NGZ0JK9 Equity</t>
        </is>
      </c>
      <c r="B546" t="inlineStr">
        <is>
          <t>TSLL US 07/19/24 P9.5</t>
        </is>
      </c>
      <c r="C546" t="inlineStr">
        <is>
          <t>2024-07-19</t>
        </is>
      </c>
      <c r="D546" t="n">
        <v>9.5</v>
      </c>
      <c r="E546" t="inlineStr">
        <is>
          <t>BBG01NGZ0JK9</t>
        </is>
      </c>
    </row>
    <row r="547">
      <c r="A547" t="inlineStr">
        <is>
          <t>BBG01MXWCG40 Equity</t>
        </is>
      </c>
      <c r="B547" t="inlineStr">
        <is>
          <t>TSLL US 07/19/24 P10</t>
        </is>
      </c>
      <c r="C547" t="inlineStr">
        <is>
          <t>2024-07-19</t>
        </is>
      </c>
      <c r="D547" t="n">
        <v>10</v>
      </c>
      <c r="E547" t="inlineStr">
        <is>
          <t>BBG01MXWCG40</t>
        </is>
      </c>
    </row>
    <row r="548">
      <c r="A548" t="inlineStr">
        <is>
          <t>BBG01NGZ0KN3 Equity</t>
        </is>
      </c>
      <c r="B548" t="inlineStr">
        <is>
          <t>TSLL US 07/19/24 P10.5</t>
        </is>
      </c>
      <c r="C548" t="inlineStr">
        <is>
          <t>2024-07-19</t>
        </is>
      </c>
      <c r="D548" t="n">
        <v>10.5</v>
      </c>
      <c r="E548" t="inlineStr">
        <is>
          <t>BBG01NGZ0KN3</t>
        </is>
      </c>
    </row>
    <row r="549">
      <c r="A549" t="inlineStr">
        <is>
          <t>BBG01MXWCH75 Equity</t>
        </is>
      </c>
      <c r="B549" t="inlineStr">
        <is>
          <t>TSLL US 07/19/24 P11</t>
        </is>
      </c>
      <c r="C549" t="inlineStr">
        <is>
          <t>2024-07-19</t>
        </is>
      </c>
      <c r="D549" t="n">
        <v>11</v>
      </c>
      <c r="E549" t="inlineStr">
        <is>
          <t>BBG01MXWCH75</t>
        </is>
      </c>
    </row>
    <row r="550">
      <c r="A550" t="inlineStr">
        <is>
          <t>BBG01NGZ0LS6 Equity</t>
        </is>
      </c>
      <c r="B550" t="inlineStr">
        <is>
          <t>TSLL US 07/19/24 P11.5</t>
        </is>
      </c>
      <c r="C550" t="inlineStr">
        <is>
          <t>2024-07-19</t>
        </is>
      </c>
      <c r="D550" t="n">
        <v>11.5</v>
      </c>
      <c r="E550" t="inlineStr">
        <is>
          <t>BBG01NGZ0LS6</t>
        </is>
      </c>
    </row>
    <row r="551">
      <c r="A551" t="inlineStr">
        <is>
          <t>BBG01MXWCJC5 Equity</t>
        </is>
      </c>
      <c r="B551" t="inlineStr">
        <is>
          <t>TSLL US 07/19/24 P12</t>
        </is>
      </c>
      <c r="C551" t="inlineStr">
        <is>
          <t>2024-07-19</t>
        </is>
      </c>
      <c r="D551" t="n">
        <v>12</v>
      </c>
      <c r="E551" t="inlineStr">
        <is>
          <t>BBG01MXWCJC5</t>
        </is>
      </c>
    </row>
    <row r="552">
      <c r="A552" t="inlineStr">
        <is>
          <t>BBG01NGZ0MW9 Equity</t>
        </is>
      </c>
      <c r="B552" t="inlineStr">
        <is>
          <t>TSLL US 07/19/24 P12.5</t>
        </is>
      </c>
      <c r="C552" t="inlineStr">
        <is>
          <t>2024-07-19</t>
        </is>
      </c>
      <c r="D552" t="n">
        <v>12.5</v>
      </c>
      <c r="E552" t="inlineStr">
        <is>
          <t>BBG01NGZ0MW9</t>
        </is>
      </c>
    </row>
    <row r="553">
      <c r="A553" t="inlineStr">
        <is>
          <t>BBG01MXWCKG8 Equity</t>
        </is>
      </c>
      <c r="B553" t="inlineStr">
        <is>
          <t>TSLL US 07/19/24 P13</t>
        </is>
      </c>
      <c r="C553" t="inlineStr">
        <is>
          <t>2024-07-19</t>
        </is>
      </c>
      <c r="D553" t="n">
        <v>13</v>
      </c>
      <c r="E553" t="inlineStr">
        <is>
          <t>BBG01MXWCKG8</t>
        </is>
      </c>
    </row>
    <row r="554">
      <c r="A554" t="inlineStr">
        <is>
          <t>BBG01NGZ0NZ4 Equity</t>
        </is>
      </c>
      <c r="B554" t="inlineStr">
        <is>
          <t>TSLL US 07/19/24 P13.5</t>
        </is>
      </c>
      <c r="C554" t="inlineStr">
        <is>
          <t>2024-07-19</t>
        </is>
      </c>
      <c r="D554" t="n">
        <v>13.5</v>
      </c>
      <c r="E554" t="inlineStr">
        <is>
          <t>BBG01NGZ0NZ4</t>
        </is>
      </c>
    </row>
    <row r="555">
      <c r="A555" t="inlineStr">
        <is>
          <t>BBG01MXWCLK1 Equity</t>
        </is>
      </c>
      <c r="B555" t="inlineStr">
        <is>
          <t>TSLL US 07/19/24 P14</t>
        </is>
      </c>
      <c r="C555" t="inlineStr">
        <is>
          <t>2024-07-19</t>
        </is>
      </c>
      <c r="D555" t="n">
        <v>14</v>
      </c>
      <c r="E555" t="inlineStr">
        <is>
          <t>BBG01MXWCLK1</t>
        </is>
      </c>
    </row>
    <row r="556">
      <c r="A556" t="inlineStr">
        <is>
          <t>BBG01MXWCMR2 Equity</t>
        </is>
      </c>
      <c r="B556" t="inlineStr">
        <is>
          <t>TSLL US 07/19/24 P15</t>
        </is>
      </c>
      <c r="C556" t="inlineStr">
        <is>
          <t>2024-07-19</t>
        </is>
      </c>
      <c r="D556" t="n">
        <v>15</v>
      </c>
      <c r="E556" t="inlineStr">
        <is>
          <t>BBG01MXWCMR2</t>
        </is>
      </c>
    </row>
    <row r="557">
      <c r="A557" t="inlineStr">
        <is>
          <t>BBG01NHWPS55 Equity</t>
        </is>
      </c>
      <c r="B557" t="inlineStr">
        <is>
          <t>TSLL US 07/19/24 P16</t>
        </is>
      </c>
      <c r="C557" t="inlineStr">
        <is>
          <t>2024-07-19</t>
        </is>
      </c>
      <c r="D557" t="n">
        <v>16</v>
      </c>
      <c r="E557" t="inlineStr">
        <is>
          <t>BBG01NHWPS55</t>
        </is>
      </c>
    </row>
    <row r="558">
      <c r="A558" t="inlineStr">
        <is>
          <t>BBG01NFB9KH5 Equity</t>
        </is>
      </c>
      <c r="B558" t="inlineStr">
        <is>
          <t>TSLL US 08/16/24 P1</t>
        </is>
      </c>
      <c r="C558" t="inlineStr">
        <is>
          <t>2024-08-16</t>
        </is>
      </c>
      <c r="D558" t="n">
        <v>1</v>
      </c>
      <c r="E558" t="inlineStr">
        <is>
          <t>BBG01NFB9KH5</t>
        </is>
      </c>
    </row>
    <row r="559">
      <c r="A559" t="inlineStr">
        <is>
          <t>BBG01NFB9LR2 Equity</t>
        </is>
      </c>
      <c r="B559" t="inlineStr">
        <is>
          <t>TSLL US 08/16/24 P2</t>
        </is>
      </c>
      <c r="C559" t="inlineStr">
        <is>
          <t>2024-08-16</t>
        </is>
      </c>
      <c r="D559" t="n">
        <v>2</v>
      </c>
      <c r="E559" t="inlineStr">
        <is>
          <t>BBG01NFB9LR2</t>
        </is>
      </c>
    </row>
    <row r="560">
      <c r="A560" t="inlineStr">
        <is>
          <t>BBG01NFB9MV5 Equity</t>
        </is>
      </c>
      <c r="B560" t="inlineStr">
        <is>
          <t>TSLL US 08/16/24 P3</t>
        </is>
      </c>
      <c r="C560" t="inlineStr">
        <is>
          <t>2024-08-16</t>
        </is>
      </c>
      <c r="D560" t="n">
        <v>3</v>
      </c>
      <c r="E560" t="inlineStr">
        <is>
          <t>BBG01NFB9MV5</t>
        </is>
      </c>
    </row>
    <row r="561">
      <c r="A561" t="inlineStr">
        <is>
          <t>BBG01NFB9NY0 Equity</t>
        </is>
      </c>
      <c r="B561" t="inlineStr">
        <is>
          <t>TSLL US 08/16/24 P4</t>
        </is>
      </c>
      <c r="C561" t="inlineStr">
        <is>
          <t>2024-08-16</t>
        </is>
      </c>
      <c r="D561" t="n">
        <v>4</v>
      </c>
      <c r="E561" t="inlineStr">
        <is>
          <t>BBG01NFB9NY0</t>
        </is>
      </c>
    </row>
    <row r="562">
      <c r="A562" t="inlineStr">
        <is>
          <t>BBG01NFB9Q37 Equity</t>
        </is>
      </c>
      <c r="B562" t="inlineStr">
        <is>
          <t>TSLL US 08/16/24 P5</t>
        </is>
      </c>
      <c r="C562" t="inlineStr">
        <is>
          <t>2024-08-16</t>
        </is>
      </c>
      <c r="D562" t="n">
        <v>5</v>
      </c>
      <c r="E562" t="inlineStr">
        <is>
          <t>BBG01NFB9Q37</t>
        </is>
      </c>
    </row>
    <row r="563">
      <c r="A563" t="inlineStr">
        <is>
          <t>BBG01NFB9R62 Equity</t>
        </is>
      </c>
      <c r="B563" t="inlineStr">
        <is>
          <t>TSLL US 08/16/24 P6</t>
        </is>
      </c>
      <c r="C563" t="inlineStr">
        <is>
          <t>2024-08-16</t>
        </is>
      </c>
      <c r="D563" t="n">
        <v>6</v>
      </c>
      <c r="E563" t="inlineStr">
        <is>
          <t>BBG01NFB9R62</t>
        </is>
      </c>
    </row>
    <row r="564">
      <c r="A564" t="inlineStr">
        <is>
          <t>BBG01NFB9S97 Equity</t>
        </is>
      </c>
      <c r="B564" t="inlineStr">
        <is>
          <t>TSLL US 08/16/24 P7</t>
        </is>
      </c>
      <c r="C564" t="inlineStr">
        <is>
          <t>2024-08-16</t>
        </is>
      </c>
      <c r="D564" t="n">
        <v>7</v>
      </c>
      <c r="E564" t="inlineStr">
        <is>
          <t>BBG01NFB9S97</t>
        </is>
      </c>
    </row>
    <row r="565">
      <c r="A565" t="inlineStr">
        <is>
          <t>BBG01NFB9TG7 Equity</t>
        </is>
      </c>
      <c r="B565" t="inlineStr">
        <is>
          <t>TSLL US 08/16/24 P8</t>
        </is>
      </c>
      <c r="C565" t="inlineStr">
        <is>
          <t>2024-08-16</t>
        </is>
      </c>
      <c r="D565" t="n">
        <v>8</v>
      </c>
      <c r="E565" t="inlineStr">
        <is>
          <t>BBG01NFB9TG7</t>
        </is>
      </c>
    </row>
    <row r="566">
      <c r="A566" t="inlineStr">
        <is>
          <t>BBG01NFB9VK7 Equity</t>
        </is>
      </c>
      <c r="B566" t="inlineStr">
        <is>
          <t>TSLL US 08/16/24 P9</t>
        </is>
      </c>
      <c r="C566" t="inlineStr">
        <is>
          <t>2024-08-16</t>
        </is>
      </c>
      <c r="D566" t="n">
        <v>9</v>
      </c>
      <c r="E566" t="inlineStr">
        <is>
          <t>BBG01NFB9VK7</t>
        </is>
      </c>
    </row>
    <row r="567">
      <c r="A567" t="inlineStr">
        <is>
          <t>BBG01NFB9WQ9 Equity</t>
        </is>
      </c>
      <c r="B567" t="inlineStr">
        <is>
          <t>TSLL US 08/16/24 P10</t>
        </is>
      </c>
      <c r="C567" t="inlineStr">
        <is>
          <t>2024-08-16</t>
        </is>
      </c>
      <c r="D567" t="n">
        <v>10</v>
      </c>
      <c r="E567" t="inlineStr">
        <is>
          <t>BBG01NFB9WQ9</t>
        </is>
      </c>
    </row>
    <row r="568">
      <c r="A568" t="inlineStr">
        <is>
          <t>BBG01NFB9XT4 Equity</t>
        </is>
      </c>
      <c r="B568" t="inlineStr">
        <is>
          <t>TSLL US 08/16/24 P11</t>
        </is>
      </c>
      <c r="C568" t="inlineStr">
        <is>
          <t>2024-08-16</t>
        </is>
      </c>
      <c r="D568" t="n">
        <v>11</v>
      </c>
      <c r="E568" t="inlineStr">
        <is>
          <t>BBG01NFB9XT4</t>
        </is>
      </c>
    </row>
    <row r="569">
      <c r="A569" t="inlineStr">
        <is>
          <t>BBG01NFB9YX7 Equity</t>
        </is>
      </c>
      <c r="B569" t="inlineStr">
        <is>
          <t>TSLL US 08/16/24 P12</t>
        </is>
      </c>
      <c r="C569" t="inlineStr">
        <is>
          <t>2024-08-16</t>
        </is>
      </c>
      <c r="D569" t="n">
        <v>12</v>
      </c>
      <c r="E569" t="inlineStr">
        <is>
          <t>BBG01NFB9YX7</t>
        </is>
      </c>
    </row>
    <row r="570">
      <c r="A570" t="inlineStr">
        <is>
          <t>BBG01NFBB022 Equity</t>
        </is>
      </c>
      <c r="B570" t="inlineStr">
        <is>
          <t>TSLL US 08/16/24 P13</t>
        </is>
      </c>
      <c r="C570" t="inlineStr">
        <is>
          <t>2024-08-16</t>
        </is>
      </c>
      <c r="D570" t="n">
        <v>13</v>
      </c>
      <c r="E570" t="inlineStr">
        <is>
          <t>BBG01NFBB022</t>
        </is>
      </c>
    </row>
    <row r="571">
      <c r="A571" t="inlineStr">
        <is>
          <t>BBG01NFBB157 Equity</t>
        </is>
      </c>
      <c r="B571" t="inlineStr">
        <is>
          <t>TSLL US 08/16/24 P14</t>
        </is>
      </c>
      <c r="C571" t="inlineStr">
        <is>
          <t>2024-08-16</t>
        </is>
      </c>
      <c r="D571" t="n">
        <v>14</v>
      </c>
      <c r="E571" t="inlineStr">
        <is>
          <t>BBG01NFBB157</t>
        </is>
      </c>
    </row>
    <row r="572">
      <c r="A572" t="inlineStr">
        <is>
          <t>BBG01NFBB282 Equity</t>
        </is>
      </c>
      <c r="B572" t="inlineStr">
        <is>
          <t>TSLL US 08/16/24 P15</t>
        </is>
      </c>
      <c r="C572" t="inlineStr">
        <is>
          <t>2024-08-16</t>
        </is>
      </c>
      <c r="D572" t="n">
        <v>15</v>
      </c>
      <c r="E572" t="inlineStr">
        <is>
          <t>BBG01NFBB282</t>
        </is>
      </c>
    </row>
    <row r="573">
      <c r="A573" t="inlineStr">
        <is>
          <t>BBG01NFBB3D4 Equity</t>
        </is>
      </c>
      <c r="B573" t="inlineStr">
        <is>
          <t>TSLL US 08/16/24 P16</t>
        </is>
      </c>
      <c r="C573" t="inlineStr">
        <is>
          <t>2024-08-16</t>
        </is>
      </c>
      <c r="D573" t="n">
        <v>16</v>
      </c>
      <c r="E573" t="inlineStr">
        <is>
          <t>BBG01NFBB3D4</t>
        </is>
      </c>
    </row>
    <row r="574">
      <c r="A574" t="inlineStr">
        <is>
          <t>BBG01L4NTDZ9 Equity</t>
        </is>
      </c>
      <c r="B574" t="inlineStr">
        <is>
          <t>TSLL US 09/20/24 P1</t>
        </is>
      </c>
      <c r="C574" t="inlineStr">
        <is>
          <t>2024-09-20</t>
        </is>
      </c>
      <c r="D574" t="n">
        <v>1</v>
      </c>
      <c r="E574" t="inlineStr">
        <is>
          <t>BBG01L4NTDZ9</t>
        </is>
      </c>
    </row>
    <row r="575">
      <c r="A575" t="inlineStr">
        <is>
          <t>BBG01L2X8ZD7 Equity</t>
        </is>
      </c>
      <c r="B575" t="inlineStr">
        <is>
          <t>TSLL US 09/20/24 P2</t>
        </is>
      </c>
      <c r="C575" t="inlineStr">
        <is>
          <t>2024-09-20</t>
        </is>
      </c>
      <c r="D575" t="n">
        <v>2</v>
      </c>
      <c r="E575" t="inlineStr">
        <is>
          <t>BBG01L2X8ZD7</t>
        </is>
      </c>
    </row>
    <row r="576">
      <c r="A576" t="inlineStr">
        <is>
          <t>BBG01L2X90J7 Equity</t>
        </is>
      </c>
      <c r="B576" t="inlineStr">
        <is>
          <t>TSLL US 09/20/24 P3</t>
        </is>
      </c>
      <c r="C576" t="inlineStr">
        <is>
          <t>2024-09-20</t>
        </is>
      </c>
      <c r="D576" t="n">
        <v>3</v>
      </c>
      <c r="E576" t="inlineStr">
        <is>
          <t>BBG01L2X90J7</t>
        </is>
      </c>
    </row>
    <row r="577">
      <c r="A577" t="inlineStr">
        <is>
          <t>BBG01L2X91M1 Equity</t>
        </is>
      </c>
      <c r="B577" t="inlineStr">
        <is>
          <t>TSLL US 09/20/24 P4</t>
        </is>
      </c>
      <c r="C577" t="inlineStr">
        <is>
          <t>2024-09-20</t>
        </is>
      </c>
      <c r="D577" t="n">
        <v>4</v>
      </c>
      <c r="E577" t="inlineStr">
        <is>
          <t>BBG01L2X91M1</t>
        </is>
      </c>
    </row>
    <row r="578">
      <c r="A578" t="inlineStr">
        <is>
          <t>BBG01L2X92Q5 Equity</t>
        </is>
      </c>
      <c r="B578" t="inlineStr">
        <is>
          <t>TSLL US 09/20/24 P5</t>
        </is>
      </c>
      <c r="C578" t="inlineStr">
        <is>
          <t>2024-09-20</t>
        </is>
      </c>
      <c r="D578" t="n">
        <v>5</v>
      </c>
      <c r="E578" t="inlineStr">
        <is>
          <t>BBG01L2X92Q5</t>
        </is>
      </c>
    </row>
    <row r="579">
      <c r="A579" t="inlineStr">
        <is>
          <t>BBG01L2X93V7 Equity</t>
        </is>
      </c>
      <c r="B579" t="inlineStr">
        <is>
          <t>TSLL US 09/20/24 P6</t>
        </is>
      </c>
      <c r="C579" t="inlineStr">
        <is>
          <t>2024-09-20</t>
        </is>
      </c>
      <c r="D579" t="n">
        <v>6</v>
      </c>
      <c r="E579" t="inlineStr">
        <is>
          <t>BBG01L2X93V7</t>
        </is>
      </c>
    </row>
    <row r="580">
      <c r="A580" t="inlineStr">
        <is>
          <t>BBG01L2X94Y2 Equity</t>
        </is>
      </c>
      <c r="B580" t="inlineStr">
        <is>
          <t>TSLL US 09/20/24 P7</t>
        </is>
      </c>
      <c r="C580" t="inlineStr">
        <is>
          <t>2024-09-20</t>
        </is>
      </c>
      <c r="D580" t="n">
        <v>7</v>
      </c>
      <c r="E580" t="inlineStr">
        <is>
          <t>BBG01L2X94Y2</t>
        </is>
      </c>
    </row>
    <row r="581">
      <c r="A581" t="inlineStr">
        <is>
          <t>BBG01L2X9613 Equity</t>
        </is>
      </c>
      <c r="B581" t="inlineStr">
        <is>
          <t>TSLL US 09/20/24 P8</t>
        </is>
      </c>
      <c r="C581" t="inlineStr">
        <is>
          <t>2024-09-20</t>
        </is>
      </c>
      <c r="D581" t="n">
        <v>8</v>
      </c>
      <c r="E581" t="inlineStr">
        <is>
          <t>BBG01L2X9613</t>
        </is>
      </c>
    </row>
    <row r="582">
      <c r="A582" t="inlineStr">
        <is>
          <t>BBG01L2X9757 Equity</t>
        </is>
      </c>
      <c r="B582" t="inlineStr">
        <is>
          <t>TSLL US 09/20/24 P9</t>
        </is>
      </c>
      <c r="C582" t="inlineStr">
        <is>
          <t>2024-09-20</t>
        </is>
      </c>
      <c r="D582" t="n">
        <v>9</v>
      </c>
      <c r="E582" t="inlineStr">
        <is>
          <t>BBG01L2X9757</t>
        </is>
      </c>
    </row>
    <row r="583">
      <c r="A583" t="inlineStr">
        <is>
          <t>BBG01L2X9882 Equity</t>
        </is>
      </c>
      <c r="B583" t="inlineStr">
        <is>
          <t>TSLL US 09/20/24 P10</t>
        </is>
      </c>
      <c r="C583" t="inlineStr">
        <is>
          <t>2024-09-20</t>
        </is>
      </c>
      <c r="D583" t="n">
        <v>10</v>
      </c>
      <c r="E583" t="inlineStr">
        <is>
          <t>BBG01L2X9882</t>
        </is>
      </c>
    </row>
    <row r="584">
      <c r="A584" t="inlineStr">
        <is>
          <t>BBG01L2X99C5 Equity</t>
        </is>
      </c>
      <c r="B584" t="inlineStr">
        <is>
          <t>TSLL US 09/20/24 P11</t>
        </is>
      </c>
      <c r="C584" t="inlineStr">
        <is>
          <t>2024-09-20</t>
        </is>
      </c>
      <c r="D584" t="n">
        <v>11</v>
      </c>
      <c r="E584" t="inlineStr">
        <is>
          <t>BBG01L2X99C5</t>
        </is>
      </c>
    </row>
    <row r="585">
      <c r="A585" t="inlineStr">
        <is>
          <t>BBG01L2X9BH5 Equity</t>
        </is>
      </c>
      <c r="B585" t="inlineStr">
        <is>
          <t>TSLL US 09/20/24 P12</t>
        </is>
      </c>
      <c r="C585" t="inlineStr">
        <is>
          <t>2024-09-20</t>
        </is>
      </c>
      <c r="D585" t="n">
        <v>12</v>
      </c>
      <c r="E585" t="inlineStr">
        <is>
          <t>BBG01L2X9BH5</t>
        </is>
      </c>
    </row>
    <row r="586">
      <c r="A586" t="inlineStr">
        <is>
          <t>BBG01L2X9CL8 Equity</t>
        </is>
      </c>
      <c r="B586" t="inlineStr">
        <is>
          <t>TSLL US 09/20/24 P13</t>
        </is>
      </c>
      <c r="C586" t="inlineStr">
        <is>
          <t>2024-09-20</t>
        </is>
      </c>
      <c r="D586" t="n">
        <v>13</v>
      </c>
      <c r="E586" t="inlineStr">
        <is>
          <t>BBG01L2X9CL8</t>
        </is>
      </c>
    </row>
    <row r="587">
      <c r="A587" t="inlineStr">
        <is>
          <t>BBG01L2X9DP2 Equity</t>
        </is>
      </c>
      <c r="B587" t="inlineStr">
        <is>
          <t>TSLL US 09/20/24 P14</t>
        </is>
      </c>
      <c r="C587" t="inlineStr">
        <is>
          <t>2024-09-20</t>
        </is>
      </c>
      <c r="D587" t="n">
        <v>14</v>
      </c>
      <c r="E587" t="inlineStr">
        <is>
          <t>BBG01L2X9DP2</t>
        </is>
      </c>
    </row>
    <row r="588">
      <c r="A588" t="inlineStr">
        <is>
          <t>BBG01L2X9FT3 Equity</t>
        </is>
      </c>
      <c r="B588" t="inlineStr">
        <is>
          <t>TSLL US 09/20/24 P15</t>
        </is>
      </c>
      <c r="C588" t="inlineStr">
        <is>
          <t>2024-09-20</t>
        </is>
      </c>
      <c r="D588" t="n">
        <v>15</v>
      </c>
      <c r="E588" t="inlineStr">
        <is>
          <t>BBG01L2X9FT3</t>
        </is>
      </c>
    </row>
    <row r="589">
      <c r="A589" t="inlineStr">
        <is>
          <t>BBG01L2X9GX6 Equity</t>
        </is>
      </c>
      <c r="B589" t="inlineStr">
        <is>
          <t>TSLL US 09/20/24 P16</t>
        </is>
      </c>
      <c r="C589" t="inlineStr">
        <is>
          <t>2024-09-20</t>
        </is>
      </c>
      <c r="D589" t="n">
        <v>16</v>
      </c>
      <c r="E589" t="inlineStr">
        <is>
          <t>BBG01L2X9GX6</t>
        </is>
      </c>
    </row>
    <row r="590">
      <c r="A590" t="inlineStr">
        <is>
          <t>BBG01L2X9J06 Equity</t>
        </is>
      </c>
      <c r="B590" t="inlineStr">
        <is>
          <t>TSLL US 09/20/24 P17</t>
        </is>
      </c>
      <c r="C590" t="inlineStr">
        <is>
          <t>2024-09-20</t>
        </is>
      </c>
      <c r="D590" t="n">
        <v>17</v>
      </c>
      <c r="E590" t="inlineStr">
        <is>
          <t>BBG01L2X9J06</t>
        </is>
      </c>
    </row>
    <row r="591">
      <c r="A591" t="inlineStr">
        <is>
          <t>BBG01L2X9K49 Equity</t>
        </is>
      </c>
      <c r="B591" t="inlineStr">
        <is>
          <t>TSLL US 09/20/24 P18</t>
        </is>
      </c>
      <c r="C591" t="inlineStr">
        <is>
          <t>2024-09-20</t>
        </is>
      </c>
      <c r="D591" t="n">
        <v>18</v>
      </c>
      <c r="E591" t="inlineStr">
        <is>
          <t>BBG01L2X9K49</t>
        </is>
      </c>
    </row>
    <row r="592">
      <c r="A592" t="inlineStr">
        <is>
          <t>BBG01L2X9L74 Equity</t>
        </is>
      </c>
      <c r="B592" t="inlineStr">
        <is>
          <t>TSLL US 09/20/24 P19</t>
        </is>
      </c>
      <c r="C592" t="inlineStr">
        <is>
          <t>2024-09-20</t>
        </is>
      </c>
      <c r="D592" t="n">
        <v>19</v>
      </c>
      <c r="E592" t="inlineStr">
        <is>
          <t>BBG01L2X9L74</t>
        </is>
      </c>
    </row>
    <row r="593">
      <c r="A593" t="inlineStr">
        <is>
          <t>BBG01L2X9MB7 Equity</t>
        </is>
      </c>
      <c r="B593" t="inlineStr">
        <is>
          <t>TSLL US 09/20/24 P20</t>
        </is>
      </c>
      <c r="C593" t="inlineStr">
        <is>
          <t>2024-09-20</t>
        </is>
      </c>
      <c r="D593" t="n">
        <v>20</v>
      </c>
      <c r="E593" t="inlineStr">
        <is>
          <t>BBG01L2X9MB7</t>
        </is>
      </c>
    </row>
    <row r="594">
      <c r="A594" t="inlineStr">
        <is>
          <t>BBG01L2X9NG0 Equity</t>
        </is>
      </c>
      <c r="B594" t="inlineStr">
        <is>
          <t>TSLL US 09/20/24 P21</t>
        </is>
      </c>
      <c r="C594" t="inlineStr">
        <is>
          <t>2024-09-20</t>
        </is>
      </c>
      <c r="D594" t="n">
        <v>21</v>
      </c>
      <c r="E594" t="inlineStr">
        <is>
          <t>BBG01L2X9NG0</t>
        </is>
      </c>
    </row>
    <row r="595">
      <c r="A595" t="inlineStr">
        <is>
          <t>BBG01L2X9PK0 Equity</t>
        </is>
      </c>
      <c r="B595" t="inlineStr">
        <is>
          <t>TSLL US 09/20/24 P22</t>
        </is>
      </c>
      <c r="C595" t="inlineStr">
        <is>
          <t>2024-09-20</t>
        </is>
      </c>
      <c r="D595" t="n">
        <v>22</v>
      </c>
      <c r="E595" t="inlineStr">
        <is>
          <t>BBG01L2X9PK0</t>
        </is>
      </c>
    </row>
    <row r="596">
      <c r="A596" t="inlineStr">
        <is>
          <t>BBG01PB1M316 Equity</t>
        </is>
      </c>
      <c r="B596" t="inlineStr">
        <is>
          <t>TSLL US 10/18/24 P1</t>
        </is>
      </c>
      <c r="C596" t="inlineStr">
        <is>
          <t>2024-10-18</t>
        </is>
      </c>
      <c r="D596" t="n">
        <v>1</v>
      </c>
      <c r="E596" t="inlineStr">
        <is>
          <t>BBG01PB1M316</t>
        </is>
      </c>
    </row>
    <row r="597">
      <c r="A597" t="inlineStr">
        <is>
          <t>BBG01PB1LLY1 Equity</t>
        </is>
      </c>
      <c r="B597" t="inlineStr">
        <is>
          <t>TSLL US 10/18/24 P2</t>
        </is>
      </c>
      <c r="C597" t="inlineStr">
        <is>
          <t>2024-10-18</t>
        </is>
      </c>
      <c r="D597" t="n">
        <v>2</v>
      </c>
      <c r="E597" t="inlineStr">
        <is>
          <t>BBG01PB1LLY1</t>
        </is>
      </c>
    </row>
    <row r="598">
      <c r="A598" t="inlineStr">
        <is>
          <t>BBG01PB1LKV6 Equity</t>
        </is>
      </c>
      <c r="B598" t="inlineStr">
        <is>
          <t>TSLL US 10/18/24 P3</t>
        </is>
      </c>
      <c r="C598" t="inlineStr">
        <is>
          <t>2024-10-18</t>
        </is>
      </c>
      <c r="D598" t="n">
        <v>3</v>
      </c>
      <c r="E598" t="inlineStr">
        <is>
          <t>BBG01PB1LKV6</t>
        </is>
      </c>
    </row>
    <row r="599">
      <c r="A599" t="inlineStr">
        <is>
          <t>BBG01PB1KS31 Equity</t>
        </is>
      </c>
      <c r="B599" t="inlineStr">
        <is>
          <t>TSLL US 10/18/24 P4</t>
        </is>
      </c>
      <c r="C599" t="inlineStr">
        <is>
          <t>2024-10-18</t>
        </is>
      </c>
      <c r="D599" t="n">
        <v>4</v>
      </c>
      <c r="E599" t="inlineStr">
        <is>
          <t>BBG01PB1KS31</t>
        </is>
      </c>
    </row>
    <row r="600">
      <c r="A600" t="inlineStr">
        <is>
          <t>BBG01PB1MNL0 Equity</t>
        </is>
      </c>
      <c r="B600" t="inlineStr">
        <is>
          <t>TSLL US 10/18/24 P5</t>
        </is>
      </c>
      <c r="C600" t="inlineStr">
        <is>
          <t>2024-10-18</t>
        </is>
      </c>
      <c r="D600" t="n">
        <v>5</v>
      </c>
      <c r="E600" t="inlineStr">
        <is>
          <t>BBG01PB1MNL0</t>
        </is>
      </c>
    </row>
    <row r="601">
      <c r="A601" t="inlineStr">
        <is>
          <t>BBG01PB1M986 Equity</t>
        </is>
      </c>
      <c r="B601" t="inlineStr">
        <is>
          <t>TSLL US 10/18/24 P6</t>
        </is>
      </c>
      <c r="C601" t="inlineStr">
        <is>
          <t>2024-10-18</t>
        </is>
      </c>
      <c r="D601" t="n">
        <v>6</v>
      </c>
      <c r="E601" t="inlineStr">
        <is>
          <t>BBG01PB1M986</t>
        </is>
      </c>
    </row>
    <row r="602">
      <c r="A602" t="inlineStr">
        <is>
          <t>BBG01PZFD5G8 Equity</t>
        </is>
      </c>
      <c r="B602" t="inlineStr">
        <is>
          <t>TSLL US 10/18/24 P6.5</t>
        </is>
      </c>
      <c r="C602" t="inlineStr">
        <is>
          <t>2024-10-18</t>
        </is>
      </c>
      <c r="D602" t="n">
        <v>6.5</v>
      </c>
      <c r="E602" t="inlineStr">
        <is>
          <t>BBG01PZFD5G8</t>
        </is>
      </c>
    </row>
    <row r="603">
      <c r="A603" t="inlineStr">
        <is>
          <t>BBG01PB1MLY0 Equity</t>
        </is>
      </c>
      <c r="B603" t="inlineStr">
        <is>
          <t>TSLL US 10/18/24 P7</t>
        </is>
      </c>
      <c r="C603" t="inlineStr">
        <is>
          <t>2024-10-18</t>
        </is>
      </c>
      <c r="D603" t="n">
        <v>7</v>
      </c>
      <c r="E603" t="inlineStr">
        <is>
          <t>BBG01PB1MLY0</t>
        </is>
      </c>
    </row>
    <row r="604">
      <c r="A604" t="inlineStr">
        <is>
          <t>BBG01PZFFT01 Equity</t>
        </is>
      </c>
      <c r="B604" t="inlineStr">
        <is>
          <t>TSLL US 10/18/24 P7.5</t>
        </is>
      </c>
      <c r="C604" t="inlineStr">
        <is>
          <t>2024-10-18</t>
        </is>
      </c>
      <c r="D604" t="n">
        <v>7.5</v>
      </c>
      <c r="E604" t="inlineStr">
        <is>
          <t>BBG01PZFFT01</t>
        </is>
      </c>
    </row>
    <row r="605">
      <c r="A605" t="inlineStr">
        <is>
          <t>BBG01PB1M8Q8 Equity</t>
        </is>
      </c>
      <c r="B605" t="inlineStr">
        <is>
          <t>TSLL US 10/18/24 P8</t>
        </is>
      </c>
      <c r="C605" t="inlineStr">
        <is>
          <t>2024-10-18</t>
        </is>
      </c>
      <c r="D605" t="n">
        <v>8</v>
      </c>
      <c r="E605" t="inlineStr">
        <is>
          <t>BBG01PB1M8Q8</t>
        </is>
      </c>
    </row>
    <row r="606">
      <c r="A606" t="inlineStr">
        <is>
          <t>BBG01PZFFV79 Equity</t>
        </is>
      </c>
      <c r="B606" t="inlineStr">
        <is>
          <t>TSLL US 10/18/24 P8.5</t>
        </is>
      </c>
      <c r="C606" t="inlineStr">
        <is>
          <t>2024-10-18</t>
        </is>
      </c>
      <c r="D606" t="n">
        <v>8.5</v>
      </c>
      <c r="E606" t="inlineStr">
        <is>
          <t>BBG01PZFFV79</t>
        </is>
      </c>
    </row>
    <row r="607">
      <c r="A607" t="inlineStr">
        <is>
          <t>BBG01PB1LZ07 Equity</t>
        </is>
      </c>
      <c r="B607" t="inlineStr">
        <is>
          <t>TSLL US 10/18/24 P9</t>
        </is>
      </c>
      <c r="C607" t="inlineStr">
        <is>
          <t>2024-10-18</t>
        </is>
      </c>
      <c r="D607" t="n">
        <v>9</v>
      </c>
      <c r="E607" t="inlineStr">
        <is>
          <t>BBG01PB1LZ07</t>
        </is>
      </c>
    </row>
    <row r="608">
      <c r="A608" t="inlineStr">
        <is>
          <t>BBG01PZFGH24 Equity</t>
        </is>
      </c>
      <c r="B608" t="inlineStr">
        <is>
          <t>TSLL US 10/18/24 P9.5</t>
        </is>
      </c>
      <c r="C608" t="inlineStr">
        <is>
          <t>2024-10-18</t>
        </is>
      </c>
      <c r="D608" t="n">
        <v>9.5</v>
      </c>
      <c r="E608" t="inlineStr">
        <is>
          <t>BBG01PZFGH24</t>
        </is>
      </c>
    </row>
    <row r="609">
      <c r="A609" t="inlineStr">
        <is>
          <t>BBG01PB1MMH7 Equity</t>
        </is>
      </c>
      <c r="B609" t="inlineStr">
        <is>
          <t>TSLL US 10/18/24 P10</t>
        </is>
      </c>
      <c r="C609" t="inlineStr">
        <is>
          <t>2024-10-18</t>
        </is>
      </c>
      <c r="D609" t="n">
        <v>10</v>
      </c>
      <c r="E609" t="inlineStr">
        <is>
          <t>BBG01PB1MMH7</t>
        </is>
      </c>
    </row>
    <row r="610">
      <c r="A610" t="inlineStr">
        <is>
          <t>BBG01PZFFTM7 Equity</t>
        </is>
      </c>
      <c r="B610" t="inlineStr">
        <is>
          <t>TSLL US 10/18/24 P10.5</t>
        </is>
      </c>
      <c r="C610" t="inlineStr">
        <is>
          <t>2024-10-18</t>
        </is>
      </c>
      <c r="D610" t="n">
        <v>10.5</v>
      </c>
      <c r="E610" t="inlineStr">
        <is>
          <t>BBG01PZFFTM7</t>
        </is>
      </c>
    </row>
    <row r="611">
      <c r="A611" t="inlineStr">
        <is>
          <t>BBG01PB1MN12 Equity</t>
        </is>
      </c>
      <c r="B611" t="inlineStr">
        <is>
          <t>TSLL US 10/18/24 P11</t>
        </is>
      </c>
      <c r="C611" t="inlineStr">
        <is>
          <t>2024-10-18</t>
        </is>
      </c>
      <c r="D611" t="n">
        <v>11</v>
      </c>
      <c r="E611" t="inlineStr">
        <is>
          <t>BBG01PB1MN12</t>
        </is>
      </c>
    </row>
    <row r="612">
      <c r="A612" t="inlineStr">
        <is>
          <t>BBG01PZFGJX6 Equity</t>
        </is>
      </c>
      <c r="B612" t="inlineStr">
        <is>
          <t>TSLL US 10/18/24 P11.5</t>
        </is>
      </c>
      <c r="C612" t="inlineStr">
        <is>
          <t>2024-10-18</t>
        </is>
      </c>
      <c r="D612" t="n">
        <v>11.5</v>
      </c>
      <c r="E612" t="inlineStr">
        <is>
          <t>BBG01PZFGJX6</t>
        </is>
      </c>
    </row>
    <row r="613">
      <c r="A613" t="inlineStr">
        <is>
          <t>BBG01PB1LYG3 Equity</t>
        </is>
      </c>
      <c r="B613" t="inlineStr">
        <is>
          <t>TSLL US 10/18/24 P12</t>
        </is>
      </c>
      <c r="C613" t="inlineStr">
        <is>
          <t>2024-10-18</t>
        </is>
      </c>
      <c r="D613" t="n">
        <v>12</v>
      </c>
      <c r="E613" t="inlineStr">
        <is>
          <t>BBG01PB1LYG3</t>
        </is>
      </c>
    </row>
    <row r="614">
      <c r="A614" t="inlineStr">
        <is>
          <t>BBG01PZFGLG0 Equity</t>
        </is>
      </c>
      <c r="B614" t="inlineStr">
        <is>
          <t>TSLL US 10/18/24 P12.5</t>
        </is>
      </c>
      <c r="C614" t="inlineStr">
        <is>
          <t>2024-10-18</t>
        </is>
      </c>
      <c r="D614" t="n">
        <v>12.5</v>
      </c>
      <c r="E614" t="inlineStr">
        <is>
          <t>BBG01PZFGLG0</t>
        </is>
      </c>
    </row>
    <row r="615">
      <c r="A615" t="inlineStr">
        <is>
          <t>BBG01PB1LLD4 Equity</t>
        </is>
      </c>
      <c r="B615" t="inlineStr">
        <is>
          <t>TSLL US 10/18/24 P13</t>
        </is>
      </c>
      <c r="C615" t="inlineStr">
        <is>
          <t>2024-10-18</t>
        </is>
      </c>
      <c r="D615" t="n">
        <v>13</v>
      </c>
      <c r="E615" t="inlineStr">
        <is>
          <t>BBG01PB1LLD4</t>
        </is>
      </c>
    </row>
    <row r="616">
      <c r="A616" t="inlineStr">
        <is>
          <t>BBG01PZFGHP9 Equity</t>
        </is>
      </c>
      <c r="B616" t="inlineStr">
        <is>
          <t>TSLL US 10/18/24 P13.5</t>
        </is>
      </c>
      <c r="C616" t="inlineStr">
        <is>
          <t>2024-10-18</t>
        </is>
      </c>
      <c r="D616" t="n">
        <v>13.5</v>
      </c>
      <c r="E616" t="inlineStr">
        <is>
          <t>BBG01PZFGHP9</t>
        </is>
      </c>
    </row>
    <row r="617">
      <c r="A617" t="inlineStr">
        <is>
          <t>BBG01PB1KRK4 Equity</t>
        </is>
      </c>
      <c r="B617" t="inlineStr">
        <is>
          <t>TSLL US 10/18/24 P14</t>
        </is>
      </c>
      <c r="C617" t="inlineStr">
        <is>
          <t>2024-10-18</t>
        </is>
      </c>
      <c r="D617" t="n">
        <v>14</v>
      </c>
      <c r="E617" t="inlineStr">
        <is>
          <t>BBG01PB1KRK4</t>
        </is>
      </c>
    </row>
    <row r="618">
      <c r="A618" t="inlineStr">
        <is>
          <t>BBG01PZFGM23 Equity</t>
        </is>
      </c>
      <c r="B618" t="inlineStr">
        <is>
          <t>TSLL US 10/18/24 P14.5</t>
        </is>
      </c>
      <c r="C618" t="inlineStr">
        <is>
          <t>2024-10-18</t>
        </is>
      </c>
      <c r="D618" t="n">
        <v>14.5</v>
      </c>
      <c r="E618" t="inlineStr">
        <is>
          <t>BBG01PZFGM23</t>
        </is>
      </c>
    </row>
    <row r="619">
      <c r="A619" t="inlineStr">
        <is>
          <t>BBG01PB1MLD3 Equity</t>
        </is>
      </c>
      <c r="B619" t="inlineStr">
        <is>
          <t>TSLL US 10/18/24 P15</t>
        </is>
      </c>
      <c r="C619" t="inlineStr">
        <is>
          <t>2024-10-18</t>
        </is>
      </c>
      <c r="D619" t="n">
        <v>15</v>
      </c>
      <c r="E619" t="inlineStr">
        <is>
          <t>BBG01PB1MLD3</t>
        </is>
      </c>
    </row>
    <row r="620">
      <c r="A620" t="inlineStr">
        <is>
          <t>BBG01PZFGJ93 Equity</t>
        </is>
      </c>
      <c r="B620" t="inlineStr">
        <is>
          <t>TSLL US 10/18/24 P15.5</t>
        </is>
      </c>
      <c r="C620" t="inlineStr">
        <is>
          <t>2024-10-18</t>
        </is>
      </c>
      <c r="D620" t="n">
        <v>15.5</v>
      </c>
      <c r="E620" t="inlineStr">
        <is>
          <t>BBG01PZFGJ93</t>
        </is>
      </c>
    </row>
    <row r="621">
      <c r="A621" t="inlineStr">
        <is>
          <t>BBG01PB1M7V4 Equity</t>
        </is>
      </c>
      <c r="B621" t="inlineStr">
        <is>
          <t>TSLL US 10/18/24 P16</t>
        </is>
      </c>
      <c r="C621" t="inlineStr">
        <is>
          <t>2024-10-18</t>
        </is>
      </c>
      <c r="D621" t="n">
        <v>16</v>
      </c>
      <c r="E621" t="inlineStr">
        <is>
          <t>BBG01PB1M7V4</t>
        </is>
      </c>
    </row>
    <row r="622">
      <c r="A622" t="inlineStr">
        <is>
          <t>BBG01PB1KR06 Equity</t>
        </is>
      </c>
      <c r="B622" t="inlineStr">
        <is>
          <t>TSLL US 10/18/24 P17</t>
        </is>
      </c>
      <c r="C622" t="inlineStr">
        <is>
          <t>2024-10-18</t>
        </is>
      </c>
      <c r="D622" t="n">
        <v>17</v>
      </c>
      <c r="E622" t="inlineStr">
        <is>
          <t>BBG01PB1KR06</t>
        </is>
      </c>
    </row>
    <row r="623">
      <c r="A623" t="inlineStr">
        <is>
          <t>BBG01PB1M851 Equity</t>
        </is>
      </c>
      <c r="B623" t="inlineStr">
        <is>
          <t>TSLL US 10/18/24 P18</t>
        </is>
      </c>
      <c r="C623" t="inlineStr">
        <is>
          <t>2024-10-18</t>
        </is>
      </c>
      <c r="D623" t="n">
        <v>18</v>
      </c>
      <c r="E623" t="inlineStr">
        <is>
          <t>BBG01PB1M851</t>
        </is>
      </c>
    </row>
    <row r="624">
      <c r="A624" t="inlineStr">
        <is>
          <t>BBG01PCSZHD8 Equity</t>
        </is>
      </c>
      <c r="B624" t="inlineStr">
        <is>
          <t>TSLL US 10/18/24 P19</t>
        </is>
      </c>
      <c r="C624" t="inlineStr">
        <is>
          <t>2024-10-18</t>
        </is>
      </c>
      <c r="D624" t="n">
        <v>19</v>
      </c>
      <c r="E624" t="inlineStr">
        <is>
          <t>BBG01PCSZHD8</t>
        </is>
      </c>
    </row>
    <row r="625">
      <c r="A625" t="inlineStr">
        <is>
          <t>BBG01PCSZHY5 Equity</t>
        </is>
      </c>
      <c r="B625" t="inlineStr">
        <is>
          <t>TSLL US 10/18/24 P20</t>
        </is>
      </c>
      <c r="C625" t="inlineStr">
        <is>
          <t>2024-10-18</t>
        </is>
      </c>
      <c r="D625" t="n">
        <v>20</v>
      </c>
      <c r="E625" t="inlineStr">
        <is>
          <t>BBG01PCSZHY5</t>
        </is>
      </c>
    </row>
    <row r="626">
      <c r="A626" t="inlineStr">
        <is>
          <t>BBG01PMGGMS7 Equity</t>
        </is>
      </c>
      <c r="B626" t="inlineStr">
        <is>
          <t>TSLL US 10/18/24 P21</t>
        </is>
      </c>
      <c r="C626" t="inlineStr">
        <is>
          <t>2024-10-18</t>
        </is>
      </c>
      <c r="D626" t="n">
        <v>21</v>
      </c>
      <c r="E626" t="inlineStr">
        <is>
          <t>BBG01PMGGMS7</t>
        </is>
      </c>
    </row>
    <row r="627">
      <c r="A627" t="inlineStr">
        <is>
          <t>BBG01PMGGM61 Equity</t>
        </is>
      </c>
      <c r="B627" t="inlineStr">
        <is>
          <t>TSLL US 10/18/24 P22</t>
        </is>
      </c>
      <c r="C627" t="inlineStr">
        <is>
          <t>2024-10-18</t>
        </is>
      </c>
      <c r="D627" t="n">
        <v>22</v>
      </c>
      <c r="E627" t="inlineStr">
        <is>
          <t>BBG01PMGGM61</t>
        </is>
      </c>
    </row>
    <row r="628">
      <c r="A628" t="inlineStr">
        <is>
          <t>BBG01PYDT9F0 Equity</t>
        </is>
      </c>
      <c r="B628" t="inlineStr">
        <is>
          <t>TSLL US 10/18/24 P23</t>
        </is>
      </c>
      <c r="C628" t="inlineStr">
        <is>
          <t>2024-10-18</t>
        </is>
      </c>
      <c r="D628" t="n">
        <v>23</v>
      </c>
      <c r="E628" t="inlineStr">
        <is>
          <t>BBG01PYDT9F0</t>
        </is>
      </c>
    </row>
    <row r="629">
      <c r="A629" t="inlineStr">
        <is>
          <t>BBG01Q0LG4P1 Equity</t>
        </is>
      </c>
      <c r="B629" t="inlineStr">
        <is>
          <t>TSLL US 10/18/24 P25</t>
        </is>
      </c>
      <c r="C629" t="inlineStr">
        <is>
          <t>2024-10-18</t>
        </is>
      </c>
      <c r="D629" t="n">
        <v>25</v>
      </c>
      <c r="E629" t="inlineStr">
        <is>
          <t>BBG01Q0LG4P1</t>
        </is>
      </c>
    </row>
    <row r="630">
      <c r="A630" t="inlineStr">
        <is>
          <t>BBG01PX6LZH4 Equity</t>
        </is>
      </c>
      <c r="B630" t="inlineStr">
        <is>
          <t>TSLL US 11/15/24 P1</t>
        </is>
      </c>
      <c r="C630" t="inlineStr">
        <is>
          <t>2024-11-15</t>
        </is>
      </c>
      <c r="D630" t="n">
        <v>1</v>
      </c>
      <c r="E630" t="inlineStr">
        <is>
          <t>BBG01PX6LZH4</t>
        </is>
      </c>
    </row>
    <row r="631">
      <c r="A631" t="inlineStr">
        <is>
          <t>BBG01PX6M5L4 Equity</t>
        </is>
      </c>
      <c r="B631" t="inlineStr">
        <is>
          <t>TSLL US 11/15/24 P2</t>
        </is>
      </c>
      <c r="C631" t="inlineStr">
        <is>
          <t>2024-11-15</t>
        </is>
      </c>
      <c r="D631" t="n">
        <v>2</v>
      </c>
      <c r="E631" t="inlineStr">
        <is>
          <t>BBG01PX6M5L4</t>
        </is>
      </c>
    </row>
    <row r="632">
      <c r="A632" t="inlineStr">
        <is>
          <t>BBG01PX6MKR5 Equity</t>
        </is>
      </c>
      <c r="B632" t="inlineStr">
        <is>
          <t>TSLL US 11/15/24 P3</t>
        </is>
      </c>
      <c r="C632" t="inlineStr">
        <is>
          <t>2024-11-15</t>
        </is>
      </c>
      <c r="D632" t="n">
        <v>3</v>
      </c>
      <c r="E632" t="inlineStr">
        <is>
          <t>BBG01PX6MKR5</t>
        </is>
      </c>
    </row>
    <row r="633">
      <c r="A633" t="inlineStr">
        <is>
          <t>BBG01PX6M9B7 Equity</t>
        </is>
      </c>
      <c r="B633" t="inlineStr">
        <is>
          <t>TSLL US 11/15/24 P4</t>
        </is>
      </c>
      <c r="C633" t="inlineStr">
        <is>
          <t>2024-11-15</t>
        </is>
      </c>
      <c r="D633" t="n">
        <v>4</v>
      </c>
      <c r="E633" t="inlineStr">
        <is>
          <t>BBG01PX6M9B7</t>
        </is>
      </c>
    </row>
    <row r="634">
      <c r="A634" t="inlineStr">
        <is>
          <t>BBG01PX6LCW8 Equity</t>
        </is>
      </c>
      <c r="B634" t="inlineStr">
        <is>
          <t>TSLL US 11/15/24 P5</t>
        </is>
      </c>
      <c r="C634" t="inlineStr">
        <is>
          <t>2024-11-15</t>
        </is>
      </c>
      <c r="D634" t="n">
        <v>5</v>
      </c>
      <c r="E634" t="inlineStr">
        <is>
          <t>BBG01PX6LCW8</t>
        </is>
      </c>
    </row>
    <row r="635">
      <c r="A635" t="inlineStr">
        <is>
          <t>BBG01PX6LKP8 Equity</t>
        </is>
      </c>
      <c r="B635" t="inlineStr">
        <is>
          <t>TSLL US 11/15/24 P6</t>
        </is>
      </c>
      <c r="C635" t="inlineStr">
        <is>
          <t>2024-11-15</t>
        </is>
      </c>
      <c r="D635" t="n">
        <v>6</v>
      </c>
      <c r="E635" t="inlineStr">
        <is>
          <t>BBG01PX6LKP8</t>
        </is>
      </c>
    </row>
    <row r="636">
      <c r="A636" t="inlineStr">
        <is>
          <t>BBG01PX6LK23 Equity</t>
        </is>
      </c>
      <c r="B636" t="inlineStr">
        <is>
          <t>TSLL US 11/15/24 P7</t>
        </is>
      </c>
      <c r="C636" t="inlineStr">
        <is>
          <t>2024-11-15</t>
        </is>
      </c>
      <c r="D636" t="n">
        <v>7</v>
      </c>
      <c r="E636" t="inlineStr">
        <is>
          <t>BBG01PX6LK23</t>
        </is>
      </c>
    </row>
    <row r="637">
      <c r="A637" t="inlineStr">
        <is>
          <t>BBG01PX6M6T4 Equity</t>
        </is>
      </c>
      <c r="B637" t="inlineStr">
        <is>
          <t>TSLL US 11/15/24 P8</t>
        </is>
      </c>
      <c r="C637" t="inlineStr">
        <is>
          <t>2024-11-15</t>
        </is>
      </c>
      <c r="D637" t="n">
        <v>8</v>
      </c>
      <c r="E637" t="inlineStr">
        <is>
          <t>BBG01PX6M6T4</t>
        </is>
      </c>
    </row>
    <row r="638">
      <c r="A638" t="inlineStr">
        <is>
          <t>BBG01PX6KNY3 Equity</t>
        </is>
      </c>
      <c r="B638" t="inlineStr">
        <is>
          <t>TSLL US 11/15/24 P9</t>
        </is>
      </c>
      <c r="C638" t="inlineStr">
        <is>
          <t>2024-11-15</t>
        </is>
      </c>
      <c r="D638" t="n">
        <v>9</v>
      </c>
      <c r="E638" t="inlineStr">
        <is>
          <t>BBG01PX6KNY3</t>
        </is>
      </c>
    </row>
    <row r="639">
      <c r="A639" t="inlineStr">
        <is>
          <t>BBG01PX6KK15 Equity</t>
        </is>
      </c>
      <c r="B639" t="inlineStr">
        <is>
          <t>TSLL US 11/15/24 P10</t>
        </is>
      </c>
      <c r="C639" t="inlineStr">
        <is>
          <t>2024-11-15</t>
        </is>
      </c>
      <c r="D639" t="n">
        <v>10</v>
      </c>
      <c r="E639" t="inlineStr">
        <is>
          <t>BBG01PX6KK15</t>
        </is>
      </c>
    </row>
    <row r="640">
      <c r="A640" t="inlineStr">
        <is>
          <t>BBG01PX6LY87 Equity</t>
        </is>
      </c>
      <c r="B640" t="inlineStr">
        <is>
          <t>TSLL US 11/15/24 P11</t>
        </is>
      </c>
      <c r="C640" t="inlineStr">
        <is>
          <t>2024-11-15</t>
        </is>
      </c>
      <c r="D640" t="n">
        <v>11</v>
      </c>
      <c r="E640" t="inlineStr">
        <is>
          <t>BBG01PX6LY87</t>
        </is>
      </c>
    </row>
    <row r="641">
      <c r="A641" t="inlineStr">
        <is>
          <t>BBG01PX6M8Q3 Equity</t>
        </is>
      </c>
      <c r="B641" t="inlineStr">
        <is>
          <t>TSLL US 11/15/24 P12</t>
        </is>
      </c>
      <c r="C641" t="inlineStr">
        <is>
          <t>2024-11-15</t>
        </is>
      </c>
      <c r="D641" t="n">
        <v>12</v>
      </c>
      <c r="E641" t="inlineStr">
        <is>
          <t>BBG01PX6M8Q3</t>
        </is>
      </c>
    </row>
    <row r="642">
      <c r="A642" t="inlineStr">
        <is>
          <t>BBG01PX6MLC9 Equity</t>
        </is>
      </c>
      <c r="B642" t="inlineStr">
        <is>
          <t>TSLL US 11/15/24 P13</t>
        </is>
      </c>
      <c r="C642" t="inlineStr">
        <is>
          <t>2024-11-15</t>
        </is>
      </c>
      <c r="D642" t="n">
        <v>13</v>
      </c>
      <c r="E642" t="inlineStr">
        <is>
          <t>BBG01PX6MLC9</t>
        </is>
      </c>
    </row>
    <row r="643">
      <c r="A643" t="inlineStr">
        <is>
          <t>BBG01PX6M838 Equity</t>
        </is>
      </c>
      <c r="B643" t="inlineStr">
        <is>
          <t>TSLL US 11/15/24 P14</t>
        </is>
      </c>
      <c r="C643" t="inlineStr">
        <is>
          <t>2024-11-15</t>
        </is>
      </c>
      <c r="D643" t="n">
        <v>14</v>
      </c>
      <c r="E643" t="inlineStr">
        <is>
          <t>BBG01PX6M838</t>
        </is>
      </c>
    </row>
    <row r="644">
      <c r="A644" t="inlineStr">
        <is>
          <t>BBG01PX6LYW0 Equity</t>
        </is>
      </c>
      <c r="B644" t="inlineStr">
        <is>
          <t>TSLL US 11/15/24 P15</t>
        </is>
      </c>
      <c r="C644" t="inlineStr">
        <is>
          <t>2024-11-15</t>
        </is>
      </c>
      <c r="D644" t="n">
        <v>15</v>
      </c>
      <c r="E644" t="inlineStr">
        <is>
          <t>BBG01PX6LYW0</t>
        </is>
      </c>
    </row>
    <row r="645">
      <c r="A645" t="inlineStr">
        <is>
          <t>BBG01PX6KKN1 Equity</t>
        </is>
      </c>
      <c r="B645" t="inlineStr">
        <is>
          <t>TSLL US 11/15/24 P16</t>
        </is>
      </c>
      <c r="C645" t="inlineStr">
        <is>
          <t>2024-11-15</t>
        </is>
      </c>
      <c r="D645" t="n">
        <v>16</v>
      </c>
      <c r="E645" t="inlineStr">
        <is>
          <t>BBG01PX6KKN1</t>
        </is>
      </c>
    </row>
    <row r="646">
      <c r="A646" t="inlineStr">
        <is>
          <t>BBG01PX6M7F7 Equity</t>
        </is>
      </c>
      <c r="B646" t="inlineStr">
        <is>
          <t>TSLL US 11/15/24 P17</t>
        </is>
      </c>
      <c r="C646" t="inlineStr">
        <is>
          <t>2024-11-15</t>
        </is>
      </c>
      <c r="D646" t="n">
        <v>17</v>
      </c>
      <c r="E646" t="inlineStr">
        <is>
          <t>BBG01PX6M7F7</t>
        </is>
      </c>
    </row>
    <row r="647">
      <c r="A647" t="inlineStr">
        <is>
          <t>BBG01PX6M669 Equity</t>
        </is>
      </c>
      <c r="B647" t="inlineStr">
        <is>
          <t>TSLL US 11/15/24 P18</t>
        </is>
      </c>
      <c r="C647" t="inlineStr">
        <is>
          <t>2024-11-15</t>
        </is>
      </c>
      <c r="D647" t="n">
        <v>18</v>
      </c>
      <c r="E647" t="inlineStr">
        <is>
          <t>BBG01PX6M669</t>
        </is>
      </c>
    </row>
    <row r="648">
      <c r="A648" t="inlineStr">
        <is>
          <t>BBG01PX6KNB8 Equity</t>
        </is>
      </c>
      <c r="B648" t="inlineStr">
        <is>
          <t>TSLL US 11/15/24 P19</t>
        </is>
      </c>
      <c r="C648" t="inlineStr">
        <is>
          <t>2024-11-15</t>
        </is>
      </c>
      <c r="D648" t="n">
        <v>19</v>
      </c>
      <c r="E648" t="inlineStr">
        <is>
          <t>BBG01PX6KNB8</t>
        </is>
      </c>
    </row>
    <row r="649">
      <c r="A649" t="inlineStr">
        <is>
          <t>BBG01PX6LJG1 Equity</t>
        </is>
      </c>
      <c r="B649" t="inlineStr">
        <is>
          <t>TSLL US 11/15/24 P20</t>
        </is>
      </c>
      <c r="C649" t="inlineStr">
        <is>
          <t>2024-11-15</t>
        </is>
      </c>
      <c r="D649" t="n">
        <v>20</v>
      </c>
      <c r="E649" t="inlineStr">
        <is>
          <t>BBG01PX6LJG1</t>
        </is>
      </c>
    </row>
    <row r="650">
      <c r="A650" t="inlineStr">
        <is>
          <t>BBG01PX6LDH3 Equity</t>
        </is>
      </c>
      <c r="B650" t="inlineStr">
        <is>
          <t>TSLL US 11/15/24 P21</t>
        </is>
      </c>
      <c r="C650" t="inlineStr">
        <is>
          <t>2024-11-15</t>
        </is>
      </c>
      <c r="D650" t="n">
        <v>21</v>
      </c>
      <c r="E650" t="inlineStr">
        <is>
          <t>BBG01PX6LDH3</t>
        </is>
      </c>
    </row>
    <row r="651">
      <c r="A651" t="inlineStr">
        <is>
          <t>BBG01PYDSSM1 Equity</t>
        </is>
      </c>
      <c r="B651" t="inlineStr">
        <is>
          <t>TSLL US 11/15/24 P22</t>
        </is>
      </c>
      <c r="C651" t="inlineStr">
        <is>
          <t>2024-11-15</t>
        </is>
      </c>
      <c r="D651" t="n">
        <v>22</v>
      </c>
      <c r="E651" t="inlineStr">
        <is>
          <t>BBG01PYDSSM1</t>
        </is>
      </c>
    </row>
    <row r="652">
      <c r="A652" t="inlineStr">
        <is>
          <t>BBG01PYDST76 Equity</t>
        </is>
      </c>
      <c r="B652" t="inlineStr">
        <is>
          <t>TSLL US 11/15/24 P23</t>
        </is>
      </c>
      <c r="C652" t="inlineStr">
        <is>
          <t>2024-11-15</t>
        </is>
      </c>
      <c r="D652" t="n">
        <v>23</v>
      </c>
      <c r="E652" t="inlineStr">
        <is>
          <t>BBG01PYDST76</t>
        </is>
      </c>
    </row>
    <row r="653">
      <c r="A653" t="inlineStr">
        <is>
          <t>BBG01Q04R4P7 Equity</t>
        </is>
      </c>
      <c r="B653" t="inlineStr">
        <is>
          <t>TSLL US 11/15/24 P25</t>
        </is>
      </c>
      <c r="C653" t="inlineStr">
        <is>
          <t>2024-11-15</t>
        </is>
      </c>
      <c r="D653" t="n">
        <v>25</v>
      </c>
      <c r="E653" t="inlineStr">
        <is>
          <t>BBG01Q04R4P7</t>
        </is>
      </c>
    </row>
    <row r="654">
      <c r="A654" t="inlineStr">
        <is>
          <t>BBG01MJ2XWD4 Equity</t>
        </is>
      </c>
      <c r="B654" t="inlineStr">
        <is>
          <t>TSLL US 12/20/24 P0.7</t>
        </is>
      </c>
      <c r="C654" t="inlineStr">
        <is>
          <t>2024-12-20</t>
        </is>
      </c>
      <c r="D654" t="n">
        <v>0.7</v>
      </c>
      <c r="E654" t="inlineStr">
        <is>
          <t>BBG01MJ2XWD4</t>
        </is>
      </c>
    </row>
    <row r="655">
      <c r="A655" t="inlineStr">
        <is>
          <t>BBG01MJ2XXH8 Equity</t>
        </is>
      </c>
      <c r="B655" t="inlineStr">
        <is>
          <t>TSLL US 12/20/24 P1.7</t>
        </is>
      </c>
      <c r="C655" t="inlineStr">
        <is>
          <t>2024-12-20</t>
        </is>
      </c>
      <c r="D655" t="n">
        <v>1.7</v>
      </c>
      <c r="E655" t="inlineStr">
        <is>
          <t>BBG01MJ2XXH8</t>
        </is>
      </c>
    </row>
    <row r="656">
      <c r="A656" t="inlineStr">
        <is>
          <t>BBG01MJ2XYM0 Equity</t>
        </is>
      </c>
      <c r="B656" t="inlineStr">
        <is>
          <t>TSLL US 12/20/24 P2.7</t>
        </is>
      </c>
      <c r="C656" t="inlineStr">
        <is>
          <t>2024-12-20</t>
        </is>
      </c>
      <c r="D656" t="n">
        <v>2.7</v>
      </c>
      <c r="E656" t="inlineStr">
        <is>
          <t>BBG01MJ2XYM0</t>
        </is>
      </c>
    </row>
    <row r="657">
      <c r="A657" t="inlineStr">
        <is>
          <t>BBG01MJ2XZQ3 Equity</t>
        </is>
      </c>
      <c r="B657" t="inlineStr">
        <is>
          <t>TSLL US 12/20/24 P3.7</t>
        </is>
      </c>
      <c r="C657" t="inlineStr">
        <is>
          <t>2024-12-20</t>
        </is>
      </c>
      <c r="D657" t="n">
        <v>3.7</v>
      </c>
      <c r="E657" t="inlineStr">
        <is>
          <t>BBG01MJ2XZQ3</t>
        </is>
      </c>
    </row>
    <row r="658">
      <c r="A658" t="inlineStr">
        <is>
          <t>BBG01MJ2Y0T6 Equity</t>
        </is>
      </c>
      <c r="B658" t="inlineStr">
        <is>
          <t>TSLL US 12/20/24 P4.7</t>
        </is>
      </c>
      <c r="C658" t="inlineStr">
        <is>
          <t>2024-12-20</t>
        </is>
      </c>
      <c r="D658" t="n">
        <v>4.7</v>
      </c>
      <c r="E658" t="inlineStr">
        <is>
          <t>BBG01MJ2Y0T6</t>
        </is>
      </c>
    </row>
    <row r="659">
      <c r="A659" t="inlineStr">
        <is>
          <t>BBG01MJ2Y1Z7 Equity</t>
        </is>
      </c>
      <c r="B659" t="inlineStr">
        <is>
          <t>TSLL US 12/20/24 P5.7</t>
        </is>
      </c>
      <c r="C659" t="inlineStr">
        <is>
          <t>2024-12-20</t>
        </is>
      </c>
      <c r="D659" t="n">
        <v>5.7</v>
      </c>
      <c r="E659" t="inlineStr">
        <is>
          <t>BBG01MJ2Y1Z7</t>
        </is>
      </c>
    </row>
    <row r="660">
      <c r="A660" t="inlineStr">
        <is>
          <t>BBG01MJ2Y329 Equity</t>
        </is>
      </c>
      <c r="B660" t="inlineStr">
        <is>
          <t>TSLL US 12/20/24 P6.7</t>
        </is>
      </c>
      <c r="C660" t="inlineStr">
        <is>
          <t>2024-12-20</t>
        </is>
      </c>
      <c r="D660" t="n">
        <v>6.7</v>
      </c>
      <c r="E660" t="inlineStr">
        <is>
          <t>BBG01MJ2Y329</t>
        </is>
      </c>
    </row>
    <row r="661">
      <c r="A661" t="inlineStr">
        <is>
          <t>BBG01MJ2Y454 Equity</t>
        </is>
      </c>
      <c r="B661" t="inlineStr">
        <is>
          <t>TSLL US 12/20/24 P7.7</t>
        </is>
      </c>
      <c r="C661" t="inlineStr">
        <is>
          <t>2024-12-20</t>
        </is>
      </c>
      <c r="D661" t="n">
        <v>7.7</v>
      </c>
      <c r="E661" t="inlineStr">
        <is>
          <t>BBG01MJ2Y454</t>
        </is>
      </c>
    </row>
    <row r="662">
      <c r="A662" t="inlineStr">
        <is>
          <t>BBG01MJ2Y597 Equity</t>
        </is>
      </c>
      <c r="B662" t="inlineStr">
        <is>
          <t>TSLL US 12/20/24 P8.7</t>
        </is>
      </c>
      <c r="C662" t="inlineStr">
        <is>
          <t>2024-12-20</t>
        </is>
      </c>
      <c r="D662" t="n">
        <v>8.699999999999999</v>
      </c>
      <c r="E662" t="inlineStr">
        <is>
          <t>BBG01MJ2Y597</t>
        </is>
      </c>
    </row>
    <row r="663">
      <c r="A663" t="inlineStr">
        <is>
          <t>BBG01MJ2Y6D0 Equity</t>
        </is>
      </c>
      <c r="B663" t="inlineStr">
        <is>
          <t>TSLL US 12/20/24 P9.7</t>
        </is>
      </c>
      <c r="C663" t="inlineStr">
        <is>
          <t>2024-12-20</t>
        </is>
      </c>
      <c r="D663" t="n">
        <v>9.699999999999999</v>
      </c>
      <c r="E663" t="inlineStr">
        <is>
          <t>BBG01MJ2Y6D0</t>
        </is>
      </c>
    </row>
    <row r="664">
      <c r="A664" t="inlineStr">
        <is>
          <t>BBG01MJ2Y7H4 Equity</t>
        </is>
      </c>
      <c r="B664" t="inlineStr">
        <is>
          <t>TSLL US 12/20/24 P10.7</t>
        </is>
      </c>
      <c r="C664" t="inlineStr">
        <is>
          <t>2024-12-20</t>
        </is>
      </c>
      <c r="D664" t="n">
        <v>10.7</v>
      </c>
      <c r="E664" t="inlineStr">
        <is>
          <t>BBG01MJ2Y7H4</t>
        </is>
      </c>
    </row>
    <row r="665">
      <c r="A665" t="inlineStr">
        <is>
          <t>BBG01MJ2Y8M6 Equity</t>
        </is>
      </c>
      <c r="B665" t="inlineStr">
        <is>
          <t>TSLL US 12/20/24 P11.7</t>
        </is>
      </c>
      <c r="C665" t="inlineStr">
        <is>
          <t>2024-12-20</t>
        </is>
      </c>
      <c r="D665" t="n">
        <v>11.7</v>
      </c>
      <c r="E665" t="inlineStr">
        <is>
          <t>BBG01MJ2Y8M6</t>
        </is>
      </c>
    </row>
    <row r="666">
      <c r="A666" t="inlineStr">
        <is>
          <t>BBG01MP8ZK48 Equity</t>
        </is>
      </c>
      <c r="B666" t="inlineStr">
        <is>
          <t>TSLL US 12/20/24 P12.7</t>
        </is>
      </c>
      <c r="C666" t="inlineStr">
        <is>
          <t>2024-12-20</t>
        </is>
      </c>
      <c r="D666" t="n">
        <v>12.7</v>
      </c>
      <c r="E666" t="inlineStr">
        <is>
          <t>BBG01MP8ZK48</t>
        </is>
      </c>
    </row>
    <row r="667">
      <c r="A667" t="inlineStr">
        <is>
          <t>BBG01MP8ZL73 Equity</t>
        </is>
      </c>
      <c r="B667" t="inlineStr">
        <is>
          <t>TSLL US 12/20/24 P13.7</t>
        </is>
      </c>
      <c r="C667" t="inlineStr">
        <is>
          <t>2024-12-20</t>
        </is>
      </c>
      <c r="D667" t="n">
        <v>13.7</v>
      </c>
      <c r="E667" t="inlineStr">
        <is>
          <t>BBG01MP8ZL73</t>
        </is>
      </c>
    </row>
    <row r="668">
      <c r="A668" t="inlineStr">
        <is>
          <t>BBG01MP8ZMB6 Equity</t>
        </is>
      </c>
      <c r="B668" t="inlineStr">
        <is>
          <t>TSLL US 12/20/24 P14.7</t>
        </is>
      </c>
      <c r="C668" t="inlineStr">
        <is>
          <t>2024-12-20</t>
        </is>
      </c>
      <c r="D668" t="n">
        <v>14.7</v>
      </c>
      <c r="E668" t="inlineStr">
        <is>
          <t>BBG01MP8ZMB6</t>
        </is>
      </c>
    </row>
    <row r="669">
      <c r="A669" t="inlineStr">
        <is>
          <t>BBG01MP8ZNG9 Equity</t>
        </is>
      </c>
      <c r="B669" t="inlineStr">
        <is>
          <t>TSLL US 12/20/24 P15.7</t>
        </is>
      </c>
      <c r="C669" t="inlineStr">
        <is>
          <t>2024-12-20</t>
        </is>
      </c>
      <c r="D669" t="n">
        <v>15.7</v>
      </c>
      <c r="E669" t="inlineStr">
        <is>
          <t>BBG01MP8ZNG9</t>
        </is>
      </c>
    </row>
    <row r="670">
      <c r="A670" t="inlineStr">
        <is>
          <t>BBG01MP8ZPK9 Equity</t>
        </is>
      </c>
      <c r="B670" t="inlineStr">
        <is>
          <t>TSLL US 12/20/24 P16.7</t>
        </is>
      </c>
      <c r="C670" t="inlineStr">
        <is>
          <t>2024-12-20</t>
        </is>
      </c>
      <c r="D670" t="n">
        <v>16.7</v>
      </c>
      <c r="E670" t="inlineStr">
        <is>
          <t>BBG01MP8ZPK9</t>
        </is>
      </c>
    </row>
    <row r="671">
      <c r="A671" t="inlineStr">
        <is>
          <t>BBG01NMLMGB5 Equity</t>
        </is>
      </c>
      <c r="B671" t="inlineStr">
        <is>
          <t>TSLL US 12/20/24 P17.7</t>
        </is>
      </c>
      <c r="C671" t="inlineStr">
        <is>
          <t>2024-12-20</t>
        </is>
      </c>
      <c r="D671" t="n">
        <v>17.7</v>
      </c>
      <c r="E671" t="inlineStr">
        <is>
          <t>BBG01NMLMGB5</t>
        </is>
      </c>
    </row>
    <row r="672">
      <c r="A672" t="inlineStr">
        <is>
          <t>BBG01NMLN6J8 Equity</t>
        </is>
      </c>
      <c r="B672" t="inlineStr">
        <is>
          <t>TSLL US 12/20/24 P18.7</t>
        </is>
      </c>
      <c r="C672" t="inlineStr">
        <is>
          <t>2024-12-20</t>
        </is>
      </c>
      <c r="D672" t="n">
        <v>18.7</v>
      </c>
      <c r="E672" t="inlineStr">
        <is>
          <t>BBG01NMLN6J8</t>
        </is>
      </c>
    </row>
    <row r="673">
      <c r="A673" t="inlineStr">
        <is>
          <t>BBG01NMLMFS9 Equity</t>
        </is>
      </c>
      <c r="B673" t="inlineStr">
        <is>
          <t>TSLL US 12/20/24 P19.7</t>
        </is>
      </c>
      <c r="C673" t="inlineStr">
        <is>
          <t>2024-12-20</t>
        </is>
      </c>
      <c r="D673" t="n">
        <v>19.7</v>
      </c>
      <c r="E673" t="inlineStr">
        <is>
          <t>BBG01NMLMFS9</t>
        </is>
      </c>
    </row>
    <row r="674">
      <c r="A674" t="inlineStr">
        <is>
          <t>BBG01NNBR3K0 Equity</t>
        </is>
      </c>
      <c r="B674" t="inlineStr">
        <is>
          <t>TSLL US 12/20/24 P20.7</t>
        </is>
      </c>
      <c r="C674" t="inlineStr">
        <is>
          <t>2024-12-20</t>
        </is>
      </c>
      <c r="D674" t="n">
        <v>20.7</v>
      </c>
      <c r="E674" t="inlineStr">
        <is>
          <t>BBG01NNBR3K0</t>
        </is>
      </c>
    </row>
    <row r="675">
      <c r="A675" t="inlineStr">
        <is>
          <t>BBG01NNBR437 Equity</t>
        </is>
      </c>
      <c r="B675" t="inlineStr">
        <is>
          <t>TSLL US 12/20/24 P21.7</t>
        </is>
      </c>
      <c r="C675" t="inlineStr">
        <is>
          <t>2024-12-20</t>
        </is>
      </c>
      <c r="D675" t="n">
        <v>21.7</v>
      </c>
      <c r="E675" t="inlineStr">
        <is>
          <t>BBG01NNBR437</t>
        </is>
      </c>
    </row>
    <row r="676">
      <c r="A676" t="inlineStr">
        <is>
          <t>BBG01NNBR302 Equity</t>
        </is>
      </c>
      <c r="B676" t="inlineStr">
        <is>
          <t>TSLL US 12/20/24 P22.7</t>
        </is>
      </c>
      <c r="C676" t="inlineStr">
        <is>
          <t>2024-12-20</t>
        </is>
      </c>
      <c r="D676" t="n">
        <v>22.7</v>
      </c>
      <c r="E676" t="inlineStr">
        <is>
          <t>BBG01NNBR302</t>
        </is>
      </c>
    </row>
    <row r="677">
      <c r="A677" t="inlineStr">
        <is>
          <t>BBG01NQ2C341 Equity</t>
        </is>
      </c>
      <c r="B677" t="inlineStr">
        <is>
          <t>TSLL US 12/20/24 P24.7</t>
        </is>
      </c>
      <c r="C677" t="inlineStr">
        <is>
          <t>2024-12-20</t>
        </is>
      </c>
      <c r="D677" t="n">
        <v>24.7</v>
      </c>
      <c r="E677" t="inlineStr">
        <is>
          <t>BBG01NQ2C341</t>
        </is>
      </c>
    </row>
    <row r="678">
      <c r="A678" t="inlineStr">
        <is>
          <t>BBG01NQ2C3P8 Equity</t>
        </is>
      </c>
      <c r="B678" t="inlineStr">
        <is>
          <t>TSLL US 12/20/24 P29.7</t>
        </is>
      </c>
      <c r="C678" t="inlineStr">
        <is>
          <t>2024-12-20</t>
        </is>
      </c>
      <c r="D678" t="n">
        <v>29.7</v>
      </c>
      <c r="E678" t="inlineStr">
        <is>
          <t>BBG01NQ2C3P8</t>
        </is>
      </c>
    </row>
    <row r="679">
      <c r="A679" t="inlineStr">
        <is>
          <t>BBG01JWHK2L4 Equity</t>
        </is>
      </c>
      <c r="B679" t="inlineStr">
        <is>
          <t>TSLL US 01/17/25 P0.43</t>
        </is>
      </c>
      <c r="C679" t="inlineStr">
        <is>
          <t>2025-01-17</t>
        </is>
      </c>
      <c r="D679" t="n">
        <v>0.43</v>
      </c>
      <c r="E679" t="inlineStr">
        <is>
          <t>BBG01JWHK2L4</t>
        </is>
      </c>
    </row>
    <row r="680">
      <c r="A680" t="inlineStr">
        <is>
          <t>BBG01JWHK3K3 Equity</t>
        </is>
      </c>
      <c r="B680" t="inlineStr">
        <is>
          <t>TSLL US 01/17/25 P1.43</t>
        </is>
      </c>
      <c r="C680" t="inlineStr">
        <is>
          <t>2025-01-17</t>
        </is>
      </c>
      <c r="D680" t="n">
        <v>1.43</v>
      </c>
      <c r="E680" t="inlineStr">
        <is>
          <t>BBG01JWHK3K3</t>
        </is>
      </c>
    </row>
    <row r="681">
      <c r="A681" t="inlineStr">
        <is>
          <t>BBG01JWHK4K1 Equity</t>
        </is>
      </c>
      <c r="B681" t="inlineStr">
        <is>
          <t>TSLL US 01/17/25 P2.43</t>
        </is>
      </c>
      <c r="C681" t="inlineStr">
        <is>
          <t>2025-01-17</t>
        </is>
      </c>
      <c r="D681" t="n">
        <v>2.43</v>
      </c>
      <c r="E681" t="inlineStr">
        <is>
          <t>BBG01JWHK4K1</t>
        </is>
      </c>
    </row>
    <row r="682">
      <c r="A682" t="inlineStr">
        <is>
          <t>BBG01JWHK5J0 Equity</t>
        </is>
      </c>
      <c r="B682" t="inlineStr">
        <is>
          <t>TSLL US 01/17/25 P3.43</t>
        </is>
      </c>
      <c r="C682" t="inlineStr">
        <is>
          <t>2025-01-17</t>
        </is>
      </c>
      <c r="D682" t="n">
        <v>3.43</v>
      </c>
      <c r="E682" t="inlineStr">
        <is>
          <t>BBG01JWHK5J0</t>
        </is>
      </c>
    </row>
    <row r="683">
      <c r="A683" t="inlineStr">
        <is>
          <t>BBG01J9PCTK3 Equity</t>
        </is>
      </c>
      <c r="B683" t="inlineStr">
        <is>
          <t>TSLL US 01/17/25 P4.43</t>
        </is>
      </c>
      <c r="C683" t="inlineStr">
        <is>
          <t>2025-01-17</t>
        </is>
      </c>
      <c r="D683" t="n">
        <v>4.43</v>
      </c>
      <c r="E683" t="inlineStr">
        <is>
          <t>BBG01J9PCTK3</t>
        </is>
      </c>
    </row>
    <row r="684">
      <c r="A684" t="inlineStr">
        <is>
          <t>BBG01JWHK6H0 Equity</t>
        </is>
      </c>
      <c r="B684" t="inlineStr">
        <is>
          <t>TSLL US 01/17/25 P5.43</t>
        </is>
      </c>
      <c r="C684" t="inlineStr">
        <is>
          <t>2025-01-17</t>
        </is>
      </c>
      <c r="D684" t="n">
        <v>5.43</v>
      </c>
      <c r="E684" t="inlineStr">
        <is>
          <t>BBG01JWHK6H0</t>
        </is>
      </c>
    </row>
    <row r="685">
      <c r="A685" t="inlineStr">
        <is>
          <t>BBG01JWHK7H8 Equity</t>
        </is>
      </c>
      <c r="B685" t="inlineStr">
        <is>
          <t>TSLL US 01/17/25 P6.43</t>
        </is>
      </c>
      <c r="C685" t="inlineStr">
        <is>
          <t>2025-01-17</t>
        </is>
      </c>
      <c r="D685" t="n">
        <v>6.43</v>
      </c>
      <c r="E685" t="inlineStr">
        <is>
          <t>BBG01JWHK7H8</t>
        </is>
      </c>
    </row>
    <row r="686">
      <c r="A686" t="inlineStr">
        <is>
          <t>BBG01JWHK8G7 Equity</t>
        </is>
      </c>
      <c r="B686" t="inlineStr">
        <is>
          <t>TSLL US 01/17/25 P7.43</t>
        </is>
      </c>
      <c r="C686" t="inlineStr">
        <is>
          <t>2025-01-17</t>
        </is>
      </c>
      <c r="D686" t="n">
        <v>7.43</v>
      </c>
      <c r="E686" t="inlineStr">
        <is>
          <t>BBG01JWHK8G7</t>
        </is>
      </c>
    </row>
    <row r="687">
      <c r="A687" t="inlineStr">
        <is>
          <t>BBG01JWHK9F6 Equity</t>
        </is>
      </c>
      <c r="B687" t="inlineStr">
        <is>
          <t>TSLL US 01/17/25 P8.43</t>
        </is>
      </c>
      <c r="C687" t="inlineStr">
        <is>
          <t>2025-01-17</t>
        </is>
      </c>
      <c r="D687" t="n">
        <v>8.43</v>
      </c>
      <c r="E687" t="inlineStr">
        <is>
          <t>BBG01JWHK9F6</t>
        </is>
      </c>
    </row>
    <row r="688">
      <c r="A688" t="inlineStr">
        <is>
          <t>BBG01J9PCVJ0 Equity</t>
        </is>
      </c>
      <c r="B688" t="inlineStr">
        <is>
          <t>TSLL US 01/17/25 P9.43</t>
        </is>
      </c>
      <c r="C688" t="inlineStr">
        <is>
          <t>2025-01-17</t>
        </is>
      </c>
      <c r="D688" t="n">
        <v>9.43</v>
      </c>
      <c r="E688" t="inlineStr">
        <is>
          <t>BBG01J9PCVJ0</t>
        </is>
      </c>
    </row>
    <row r="689">
      <c r="A689" t="inlineStr">
        <is>
          <t>BBG01JWHKBF1 Equity</t>
        </is>
      </c>
      <c r="B689" t="inlineStr">
        <is>
          <t>TSLL US 01/17/25 P10.43</t>
        </is>
      </c>
      <c r="C689" t="inlineStr">
        <is>
          <t>2025-01-17</t>
        </is>
      </c>
      <c r="D689" t="n">
        <v>10.43</v>
      </c>
      <c r="E689" t="inlineStr">
        <is>
          <t>BBG01JWHKBF1</t>
        </is>
      </c>
    </row>
    <row r="690">
      <c r="A690" t="inlineStr">
        <is>
          <t>BBG01JWHKCD1 Equity</t>
        </is>
      </c>
      <c r="B690" t="inlineStr">
        <is>
          <t>TSLL US 01/17/25 P11.43</t>
        </is>
      </c>
      <c r="C690" t="inlineStr">
        <is>
          <t>2025-01-17</t>
        </is>
      </c>
      <c r="D690" t="n">
        <v>11.43</v>
      </c>
      <c r="E690" t="inlineStr">
        <is>
          <t>BBG01JWHKCD1</t>
        </is>
      </c>
    </row>
    <row r="691">
      <c r="A691" t="inlineStr">
        <is>
          <t>BBG01JWHKDC0 Equity</t>
        </is>
      </c>
      <c r="B691" t="inlineStr">
        <is>
          <t>TSLL US 01/17/25 P12.43</t>
        </is>
      </c>
      <c r="C691" t="inlineStr">
        <is>
          <t>2025-01-17</t>
        </is>
      </c>
      <c r="D691" t="n">
        <v>12.43</v>
      </c>
      <c r="E691" t="inlineStr">
        <is>
          <t>BBG01JWHKDC0</t>
        </is>
      </c>
    </row>
    <row r="692">
      <c r="A692" t="inlineStr">
        <is>
          <t>BBG01J9FKWX5 Equity</t>
        </is>
      </c>
      <c r="B692" t="inlineStr">
        <is>
          <t>TSLL US 01/17/25 P13.43</t>
        </is>
      </c>
      <c r="C692" t="inlineStr">
        <is>
          <t>2025-01-17</t>
        </is>
      </c>
      <c r="D692" t="n">
        <v>13.43</v>
      </c>
      <c r="E692" t="inlineStr">
        <is>
          <t>BBG01J9FKWX5</t>
        </is>
      </c>
    </row>
    <row r="693">
      <c r="A693" t="inlineStr">
        <is>
          <t>BBG01J9FKXW4 Equity</t>
        </is>
      </c>
      <c r="B693" t="inlineStr">
        <is>
          <t>TSLL US 01/17/25 P14.43</t>
        </is>
      </c>
      <c r="C693" t="inlineStr">
        <is>
          <t>2025-01-17</t>
        </is>
      </c>
      <c r="D693" t="n">
        <v>14.43</v>
      </c>
      <c r="E693" t="inlineStr">
        <is>
          <t>BBG01J9FKXW4</t>
        </is>
      </c>
    </row>
    <row r="694">
      <c r="A694" t="inlineStr">
        <is>
          <t>BBG01J9FKYV3 Equity</t>
        </is>
      </c>
      <c r="B694" t="inlineStr">
        <is>
          <t>TSLL US 01/17/25 P15.43</t>
        </is>
      </c>
      <c r="C694" t="inlineStr">
        <is>
          <t>2025-01-17</t>
        </is>
      </c>
      <c r="D694" t="n">
        <v>15.43</v>
      </c>
      <c r="E694" t="inlineStr">
        <is>
          <t>BBG01J9FKYV3</t>
        </is>
      </c>
    </row>
    <row r="695">
      <c r="A695" t="inlineStr">
        <is>
          <t>BBG01J9FKZV0 Equity</t>
        </is>
      </c>
      <c r="B695" t="inlineStr">
        <is>
          <t>TSLL US 01/17/25 P16.43</t>
        </is>
      </c>
      <c r="C695" t="inlineStr">
        <is>
          <t>2025-01-17</t>
        </is>
      </c>
      <c r="D695" t="n">
        <v>16.43</v>
      </c>
      <c r="E695" t="inlineStr">
        <is>
          <t>BBG01J9FKZV0</t>
        </is>
      </c>
    </row>
    <row r="696">
      <c r="A696" t="inlineStr">
        <is>
          <t>BBG01J9FL0T9 Equity</t>
        </is>
      </c>
      <c r="B696" t="inlineStr">
        <is>
          <t>TSLL US 01/17/25 P17.43</t>
        </is>
      </c>
      <c r="C696" t="inlineStr">
        <is>
          <t>2025-01-17</t>
        </is>
      </c>
      <c r="D696" t="n">
        <v>17.43</v>
      </c>
      <c r="E696" t="inlineStr">
        <is>
          <t>BBG01J9FL0T9</t>
        </is>
      </c>
    </row>
    <row r="697">
      <c r="A697" t="inlineStr">
        <is>
          <t>BBG01JWHKFB6 Equity</t>
        </is>
      </c>
      <c r="B697" t="inlineStr">
        <is>
          <t>TSLL US 01/17/25 P18.43</t>
        </is>
      </c>
      <c r="C697" t="inlineStr">
        <is>
          <t>2025-01-17</t>
        </is>
      </c>
      <c r="D697" t="n">
        <v>18.43</v>
      </c>
      <c r="E697" t="inlineStr">
        <is>
          <t>BBG01JWHKFB6</t>
        </is>
      </c>
    </row>
    <row r="698">
      <c r="A698" t="inlineStr">
        <is>
          <t>BBG01J9PCWH0 Equity</t>
        </is>
      </c>
      <c r="B698" t="inlineStr">
        <is>
          <t>TSLL US 01/17/25 P19.43</t>
        </is>
      </c>
      <c r="C698" t="inlineStr">
        <is>
          <t>2025-01-17</t>
        </is>
      </c>
      <c r="D698" t="n">
        <v>19.43</v>
      </c>
      <c r="E698" t="inlineStr">
        <is>
          <t>BBG01J9PCWH0</t>
        </is>
      </c>
    </row>
    <row r="699">
      <c r="A699" t="inlineStr">
        <is>
          <t>BBG01JWHKGB4 Equity</t>
        </is>
      </c>
      <c r="B699" t="inlineStr">
        <is>
          <t>TSLL US 01/17/25 P20.43</t>
        </is>
      </c>
      <c r="C699" t="inlineStr">
        <is>
          <t>2025-01-17</t>
        </is>
      </c>
      <c r="D699" t="n">
        <v>20.43</v>
      </c>
      <c r="E699" t="inlineStr">
        <is>
          <t>BBG01JWHKGB4</t>
        </is>
      </c>
    </row>
    <row r="700">
      <c r="A700" t="inlineStr">
        <is>
          <t>BBG01JWHKH95 Equity</t>
        </is>
      </c>
      <c r="B700" t="inlineStr">
        <is>
          <t>TSLL US 01/17/25 P21.43</t>
        </is>
      </c>
      <c r="C700" t="inlineStr">
        <is>
          <t>2025-01-17</t>
        </is>
      </c>
      <c r="D700" t="n">
        <v>21.43</v>
      </c>
      <c r="E700" t="inlineStr">
        <is>
          <t>BBG01JWHKH95</t>
        </is>
      </c>
    </row>
    <row r="701">
      <c r="A701" t="inlineStr">
        <is>
          <t>BBG01JWHKJ82 Equity</t>
        </is>
      </c>
      <c r="B701" t="inlineStr">
        <is>
          <t>TSLL US 01/17/25 P22.43</t>
        </is>
      </c>
      <c r="C701" t="inlineStr">
        <is>
          <t>2025-01-17</t>
        </is>
      </c>
      <c r="D701" t="n">
        <v>22.43</v>
      </c>
      <c r="E701" t="inlineStr">
        <is>
          <t>BBG01JWHKJ82</t>
        </is>
      </c>
    </row>
    <row r="702">
      <c r="A702" t="inlineStr">
        <is>
          <t>BBG01JWHKK89 Equity</t>
        </is>
      </c>
      <c r="B702" t="inlineStr">
        <is>
          <t>TSLL US 01/17/25 P23.43</t>
        </is>
      </c>
      <c r="C702" t="inlineStr">
        <is>
          <t>2025-01-17</t>
        </is>
      </c>
      <c r="D702" t="n">
        <v>23.43</v>
      </c>
      <c r="E702" t="inlineStr">
        <is>
          <t>BBG01JWHKK89</t>
        </is>
      </c>
    </row>
    <row r="703">
      <c r="A703" t="inlineStr">
        <is>
          <t>BBG01J9PCXH8 Equity</t>
        </is>
      </c>
      <c r="B703" t="inlineStr">
        <is>
          <t>TSLL US 01/17/25 P24.43</t>
        </is>
      </c>
      <c r="C703" t="inlineStr">
        <is>
          <t>2025-01-17</t>
        </is>
      </c>
      <c r="D703" t="n">
        <v>24.43</v>
      </c>
      <c r="E703" t="inlineStr">
        <is>
          <t>BBG01J9PCXH8</t>
        </is>
      </c>
    </row>
    <row r="704">
      <c r="A704" t="inlineStr">
        <is>
          <t>BBG01QVGV9B5 Equity</t>
        </is>
      </c>
      <c r="B704" t="inlineStr">
        <is>
          <t>TSLL US 01/17/25 P25.7</t>
        </is>
      </c>
      <c r="C704" t="inlineStr">
        <is>
          <t>2025-01-17</t>
        </is>
      </c>
      <c r="D704" t="n">
        <v>25.7</v>
      </c>
      <c r="E704" t="inlineStr">
        <is>
          <t>BBG01QVGV9B5</t>
        </is>
      </c>
    </row>
    <row r="705">
      <c r="A705" t="inlineStr">
        <is>
          <t>BBG01QVGV9Y0 Equity</t>
        </is>
      </c>
      <c r="B705" t="inlineStr">
        <is>
          <t>TSLL US 01/17/25 P26.7</t>
        </is>
      </c>
      <c r="C705" t="inlineStr">
        <is>
          <t>2025-01-17</t>
        </is>
      </c>
      <c r="D705" t="n">
        <v>26.7</v>
      </c>
      <c r="E705" t="inlineStr">
        <is>
          <t>BBG01QVGV9Y0</t>
        </is>
      </c>
    </row>
    <row r="706">
      <c r="A706" t="inlineStr">
        <is>
          <t>BBG01QVGV8Q1 Equity</t>
        </is>
      </c>
      <c r="B706" t="inlineStr">
        <is>
          <t>TSLL US 01/17/25 P27.7</t>
        </is>
      </c>
      <c r="C706" t="inlineStr">
        <is>
          <t>2025-01-17</t>
        </is>
      </c>
      <c r="D706" t="n">
        <v>27.7</v>
      </c>
      <c r="E706" t="inlineStr">
        <is>
          <t>BBG01QVGV8Q1</t>
        </is>
      </c>
    </row>
    <row r="707">
      <c r="A707" t="inlineStr">
        <is>
          <t>BBG01J9PCYG7 Equity</t>
        </is>
      </c>
      <c r="B707" t="inlineStr">
        <is>
          <t>TSLL US 01/17/25 P29.43</t>
        </is>
      </c>
      <c r="C707" t="inlineStr">
        <is>
          <t>2025-01-17</t>
        </is>
      </c>
      <c r="D707" t="n">
        <v>29.43</v>
      </c>
      <c r="E707" t="inlineStr">
        <is>
          <t>BBG01J9PCYG7</t>
        </is>
      </c>
    </row>
    <row r="708">
      <c r="A708" t="inlineStr">
        <is>
          <t>BBG01R6BM655 Equity</t>
        </is>
      </c>
      <c r="B708" t="inlineStr">
        <is>
          <t>TSLL US 01/17/25 P30.7</t>
        </is>
      </c>
      <c r="C708" t="inlineStr">
        <is>
          <t>2025-01-17</t>
        </is>
      </c>
      <c r="D708" t="n">
        <v>30.7</v>
      </c>
      <c r="E708" t="inlineStr">
        <is>
          <t>BBG01R6BM655</t>
        </is>
      </c>
    </row>
    <row r="709">
      <c r="A709" t="inlineStr">
        <is>
          <t>BBG01R6BM6S0 Equity</t>
        </is>
      </c>
      <c r="B709" t="inlineStr">
        <is>
          <t>TSLL US 01/17/25 P31.7</t>
        </is>
      </c>
      <c r="C709" t="inlineStr">
        <is>
          <t>2025-01-17</t>
        </is>
      </c>
      <c r="D709" t="n">
        <v>31.7</v>
      </c>
      <c r="E709" t="inlineStr">
        <is>
          <t>BBG01R6BM6S0</t>
        </is>
      </c>
    </row>
    <row r="710">
      <c r="A710" t="inlineStr">
        <is>
          <t>BBG01R6BM806 Equity</t>
        </is>
      </c>
      <c r="B710" t="inlineStr">
        <is>
          <t>TSLL US 01/17/25 P32.7</t>
        </is>
      </c>
      <c r="C710" t="inlineStr">
        <is>
          <t>2025-01-17</t>
        </is>
      </c>
      <c r="D710" t="n">
        <v>32.7</v>
      </c>
      <c r="E710" t="inlineStr">
        <is>
          <t>BBG01R6BM806</t>
        </is>
      </c>
    </row>
    <row r="711">
      <c r="A711" t="inlineStr">
        <is>
          <t>BBG01R6BM7D4 Equity</t>
        </is>
      </c>
      <c r="B711" t="inlineStr">
        <is>
          <t>TSLL US 01/17/25 P33.7</t>
        </is>
      </c>
      <c r="C711" t="inlineStr">
        <is>
          <t>2025-01-17</t>
        </is>
      </c>
      <c r="D711" t="n">
        <v>33.7</v>
      </c>
      <c r="E711" t="inlineStr">
        <is>
          <t>BBG01R6BM7D4</t>
        </is>
      </c>
    </row>
    <row r="712">
      <c r="A712" t="inlineStr">
        <is>
          <t>BBG01J9PCZF5 Equity</t>
        </is>
      </c>
      <c r="B712" t="inlineStr">
        <is>
          <t>TSLL US 01/17/25 P34.43</t>
        </is>
      </c>
      <c r="C712" t="inlineStr">
        <is>
          <t>2025-01-17</t>
        </is>
      </c>
      <c r="D712" t="n">
        <v>34.43</v>
      </c>
      <c r="E712" t="inlineStr">
        <is>
          <t>BBG01J9PCZF5</t>
        </is>
      </c>
    </row>
    <row r="713">
      <c r="A713" t="inlineStr">
        <is>
          <t>BBG01R6BMJY5 Equity</t>
        </is>
      </c>
      <c r="B713" t="inlineStr">
        <is>
          <t>TSLL US 01/17/25 P34.7</t>
        </is>
      </c>
      <c r="C713" t="inlineStr">
        <is>
          <t>2025-01-17</t>
        </is>
      </c>
      <c r="D713" t="n">
        <v>34.7</v>
      </c>
      <c r="E713" t="inlineStr">
        <is>
          <t>BBG01R6BMJY5</t>
        </is>
      </c>
    </row>
    <row r="714">
      <c r="A714" t="inlineStr">
        <is>
          <t>BBG01R6BL095 Equity</t>
        </is>
      </c>
      <c r="B714" t="inlineStr">
        <is>
          <t>TSLL US 01/17/25 P35.7</t>
        </is>
      </c>
      <c r="C714" t="inlineStr">
        <is>
          <t>2025-01-17</t>
        </is>
      </c>
      <c r="D714" t="n">
        <v>35.7</v>
      </c>
      <c r="E714" t="inlineStr">
        <is>
          <t>BBG01R6BL095</t>
        </is>
      </c>
    </row>
    <row r="715">
      <c r="A715" t="inlineStr">
        <is>
          <t>BBG01R8RV033 Equity</t>
        </is>
      </c>
      <c r="B715" t="inlineStr">
        <is>
          <t>TSLL US 01/17/25 P36</t>
        </is>
      </c>
      <c r="C715" t="inlineStr">
        <is>
          <t>2025-01-17</t>
        </is>
      </c>
      <c r="D715" t="n">
        <v>36</v>
      </c>
      <c r="E715" t="inlineStr">
        <is>
          <t>BBG01R8RV033</t>
        </is>
      </c>
    </row>
    <row r="716">
      <c r="A716" t="inlineStr">
        <is>
          <t>BBG01R6BMJB0 Equity</t>
        </is>
      </c>
      <c r="B716" t="inlineStr">
        <is>
          <t>TSLL US 01/17/25 P36.7</t>
        </is>
      </c>
      <c r="C716" t="inlineStr">
        <is>
          <t>2025-01-17</t>
        </is>
      </c>
      <c r="D716" t="n">
        <v>36.7</v>
      </c>
      <c r="E716" t="inlineStr">
        <is>
          <t>BBG01R6BMJB0</t>
        </is>
      </c>
    </row>
    <row r="717">
      <c r="A717" t="inlineStr">
        <is>
          <t>BBG01R8RTYD1 Equity</t>
        </is>
      </c>
      <c r="B717" t="inlineStr">
        <is>
          <t>TSLL US 01/17/25 P37</t>
        </is>
      </c>
      <c r="C717" t="inlineStr">
        <is>
          <t>2025-01-17</t>
        </is>
      </c>
      <c r="D717" t="n">
        <v>37</v>
      </c>
      <c r="E717" t="inlineStr">
        <is>
          <t>BBG01R8RTYD1</t>
        </is>
      </c>
    </row>
    <row r="718">
      <c r="A718" t="inlineStr">
        <is>
          <t>BBG01R6BKHX2 Equity</t>
        </is>
      </c>
      <c r="B718" t="inlineStr">
        <is>
          <t>TSLL US 01/17/25 P37.7</t>
        </is>
      </c>
      <c r="C718" t="inlineStr">
        <is>
          <t>2025-01-17</t>
        </is>
      </c>
      <c r="D718" t="n">
        <v>37.7</v>
      </c>
      <c r="E718" t="inlineStr">
        <is>
          <t>BBG01R6BKHX2</t>
        </is>
      </c>
    </row>
    <row r="719">
      <c r="A719" t="inlineStr">
        <is>
          <t>BBG01R8RTTZ8 Equity</t>
        </is>
      </c>
      <c r="B719" t="inlineStr">
        <is>
          <t>TSLL US 01/17/25 P38</t>
        </is>
      </c>
      <c r="C719" t="inlineStr">
        <is>
          <t>2025-01-17</t>
        </is>
      </c>
      <c r="D719" t="n">
        <v>38</v>
      </c>
      <c r="E719" t="inlineStr">
        <is>
          <t>BBG01R8RTTZ8</t>
        </is>
      </c>
    </row>
    <row r="720">
      <c r="A720" t="inlineStr">
        <is>
          <t>BBG01R6BL0X8 Equity</t>
        </is>
      </c>
      <c r="B720" t="inlineStr">
        <is>
          <t>TSLL US 01/17/25 P38.7</t>
        </is>
      </c>
      <c r="C720" t="inlineStr">
        <is>
          <t>2025-01-17</t>
        </is>
      </c>
      <c r="D720" t="n">
        <v>38.7</v>
      </c>
      <c r="E720" t="inlineStr">
        <is>
          <t>BBG01R6BL0X8</t>
        </is>
      </c>
    </row>
    <row r="721">
      <c r="A721" t="inlineStr">
        <is>
          <t>BBG01R8RV0L3 Equity</t>
        </is>
      </c>
      <c r="B721" t="inlineStr">
        <is>
          <t>TSLL US 01/17/25 P39</t>
        </is>
      </c>
      <c r="C721" t="inlineStr">
        <is>
          <t>2025-01-17</t>
        </is>
      </c>
      <c r="D721" t="n">
        <v>39</v>
      </c>
      <c r="E721" t="inlineStr">
        <is>
          <t>BBG01R8RV0L3</t>
        </is>
      </c>
    </row>
    <row r="722">
      <c r="A722" t="inlineStr">
        <is>
          <t>BBG01R6BMHQ8 Equity</t>
        </is>
      </c>
      <c r="B722" t="inlineStr">
        <is>
          <t>TSLL US 01/17/25 P39.7</t>
        </is>
      </c>
      <c r="C722" t="inlineStr">
        <is>
          <t>2025-01-17</t>
        </is>
      </c>
      <c r="D722" t="n">
        <v>39.7</v>
      </c>
      <c r="E722" t="inlineStr">
        <is>
          <t>BBG01R6BMHQ8</t>
        </is>
      </c>
    </row>
    <row r="723">
      <c r="A723" t="inlineStr">
        <is>
          <t>BBG01R8RV1M0 Equity</t>
        </is>
      </c>
      <c r="B723" t="inlineStr">
        <is>
          <t>TSLL US 01/17/25 P40</t>
        </is>
      </c>
      <c r="C723" t="inlineStr">
        <is>
          <t>2025-01-17</t>
        </is>
      </c>
      <c r="D723" t="n">
        <v>40</v>
      </c>
      <c r="E723" t="inlineStr">
        <is>
          <t>BBG01R8RV1M0</t>
        </is>
      </c>
    </row>
    <row r="724">
      <c r="A724" t="inlineStr">
        <is>
          <t>BBG01R8RTCY6 Equity</t>
        </is>
      </c>
      <c r="B724" t="inlineStr">
        <is>
          <t>TSLL US 01/17/25 P41</t>
        </is>
      </c>
      <c r="C724" t="inlineStr">
        <is>
          <t>2025-01-17</t>
        </is>
      </c>
      <c r="D724" t="n">
        <v>41</v>
      </c>
      <c r="E724" t="inlineStr">
        <is>
          <t>BBG01R8RTCY6</t>
        </is>
      </c>
    </row>
    <row r="725">
      <c r="A725" t="inlineStr">
        <is>
          <t>BBG01R8RTW63 Equity</t>
        </is>
      </c>
      <c r="B725" t="inlineStr">
        <is>
          <t>TSLL US 01/17/25 P42</t>
        </is>
      </c>
      <c r="C725" t="inlineStr">
        <is>
          <t>2025-01-17</t>
        </is>
      </c>
      <c r="D725" t="n">
        <v>42</v>
      </c>
      <c r="E725" t="inlineStr">
        <is>
          <t>BBG01R8RTW63</t>
        </is>
      </c>
    </row>
    <row r="726">
      <c r="A726" t="inlineStr">
        <is>
          <t>BBG01R8RTZ02 Equity</t>
        </is>
      </c>
      <c r="B726" t="inlineStr">
        <is>
          <t>TSLL US 01/17/25 P43</t>
        </is>
      </c>
      <c r="C726" t="inlineStr">
        <is>
          <t>2025-01-17</t>
        </is>
      </c>
      <c r="D726" t="n">
        <v>43</v>
      </c>
      <c r="E726" t="inlineStr">
        <is>
          <t>BBG01R8RTZ02</t>
        </is>
      </c>
    </row>
    <row r="727">
      <c r="A727" t="inlineStr">
        <is>
          <t>BBG01R8RTZM8 Equity</t>
        </is>
      </c>
      <c r="B727" t="inlineStr">
        <is>
          <t>TSLL US 01/17/25 P44</t>
        </is>
      </c>
      <c r="C727" t="inlineStr">
        <is>
          <t>2025-01-17</t>
        </is>
      </c>
      <c r="D727" t="n">
        <v>44</v>
      </c>
      <c r="E727" t="inlineStr">
        <is>
          <t>BBG01R8RTZM8</t>
        </is>
      </c>
    </row>
    <row r="728">
      <c r="A728" t="inlineStr">
        <is>
          <t>BBG01R8RV275 Equity</t>
        </is>
      </c>
      <c r="B728" t="inlineStr">
        <is>
          <t>TSLL US 01/17/25 P45</t>
        </is>
      </c>
      <c r="C728" t="inlineStr">
        <is>
          <t>2025-01-17</t>
        </is>
      </c>
      <c r="D728" t="n">
        <v>45</v>
      </c>
      <c r="E728" t="inlineStr">
        <is>
          <t>BBG01R8RV275</t>
        </is>
      </c>
    </row>
    <row r="729">
      <c r="A729" t="inlineStr">
        <is>
          <t>BBG01R8RSKX0 Equity</t>
        </is>
      </c>
      <c r="B729" t="inlineStr">
        <is>
          <t>TSLL US 01/17/25 P46</t>
        </is>
      </c>
      <c r="C729" t="inlineStr">
        <is>
          <t>2025-01-17</t>
        </is>
      </c>
      <c r="D729" t="n">
        <v>46</v>
      </c>
      <c r="E729" t="inlineStr">
        <is>
          <t>BBG01R8RSKX0</t>
        </is>
      </c>
    </row>
    <row r="730">
      <c r="A730" t="inlineStr">
        <is>
          <t>BBG01R8RTDK9 Equity</t>
        </is>
      </c>
      <c r="B730" t="inlineStr">
        <is>
          <t>TSLL US 01/17/25 P47</t>
        </is>
      </c>
      <c r="C730" t="inlineStr">
        <is>
          <t>2025-01-17</t>
        </is>
      </c>
      <c r="D730" t="n">
        <v>47</v>
      </c>
      <c r="E730" t="inlineStr">
        <is>
          <t>BBG01R8RTDK9</t>
        </is>
      </c>
    </row>
    <row r="731">
      <c r="A731" t="inlineStr">
        <is>
          <t>BBG01R8RTVL8 Equity</t>
        </is>
      </c>
      <c r="B731" t="inlineStr">
        <is>
          <t>TSLL US 01/17/25 P48</t>
        </is>
      </c>
      <c r="C731" t="inlineStr">
        <is>
          <t>2025-01-17</t>
        </is>
      </c>
      <c r="D731" t="n">
        <v>48</v>
      </c>
      <c r="E731" t="inlineStr">
        <is>
          <t>BBG01R8RTVL8</t>
        </is>
      </c>
    </row>
    <row r="732">
      <c r="A732" t="inlineStr">
        <is>
          <t>BBG01R97QK38 Equity</t>
        </is>
      </c>
      <c r="B732" t="inlineStr">
        <is>
          <t>TSLL US 01/17/25 P49</t>
        </is>
      </c>
      <c r="C732" t="inlineStr">
        <is>
          <t>2025-01-17</t>
        </is>
      </c>
      <c r="D732" t="n">
        <v>49</v>
      </c>
      <c r="E732" t="inlineStr">
        <is>
          <t>BBG01R97QK38</t>
        </is>
      </c>
    </row>
    <row r="733">
      <c r="A733" t="inlineStr">
        <is>
          <t>BBG01R9PVBJ5 Equity</t>
        </is>
      </c>
      <c r="B733" t="inlineStr">
        <is>
          <t>TSLL US 01/17/25 P50</t>
        </is>
      </c>
      <c r="C733" t="inlineStr">
        <is>
          <t>2025-01-17</t>
        </is>
      </c>
      <c r="D733" t="n">
        <v>50</v>
      </c>
      <c r="E733" t="inlineStr">
        <is>
          <t>BBG01R9PVBJ5</t>
        </is>
      </c>
    </row>
    <row r="734">
      <c r="A734" t="inlineStr">
        <is>
          <t>BBG01R9PSRB2 Equity</t>
        </is>
      </c>
      <c r="B734" t="inlineStr">
        <is>
          <t>TSLL US 01/17/25 P51</t>
        </is>
      </c>
      <c r="C734" t="inlineStr">
        <is>
          <t>2025-01-17</t>
        </is>
      </c>
      <c r="D734" t="n">
        <v>51</v>
      </c>
      <c r="E734" t="inlineStr">
        <is>
          <t>BBG01R9PSRB2</t>
        </is>
      </c>
    </row>
    <row r="735">
      <c r="A735" t="inlineStr">
        <is>
          <t>BBG01R9PVDC8 Equity</t>
        </is>
      </c>
      <c r="B735" t="inlineStr">
        <is>
          <t>TSLL US 01/17/25 P52</t>
        </is>
      </c>
      <c r="C735" t="inlineStr">
        <is>
          <t>2025-01-17</t>
        </is>
      </c>
      <c r="D735" t="n">
        <v>52</v>
      </c>
      <c r="E735" t="inlineStr">
        <is>
          <t>BBG01R9PVDC8</t>
        </is>
      </c>
    </row>
    <row r="736">
      <c r="A736" t="inlineStr">
        <is>
          <t>BBG01R9PTRM9 Equity</t>
        </is>
      </c>
      <c r="B736" t="inlineStr">
        <is>
          <t>TSLL US 01/17/25 P53</t>
        </is>
      </c>
      <c r="C736" t="inlineStr">
        <is>
          <t>2025-01-17</t>
        </is>
      </c>
      <c r="D736" t="n">
        <v>53</v>
      </c>
      <c r="E736" t="inlineStr">
        <is>
          <t>BBG01R9PTRM9</t>
        </is>
      </c>
    </row>
    <row r="737">
      <c r="A737" t="inlineStr">
        <is>
          <t>BBG01R9PVCR4 Equity</t>
        </is>
      </c>
      <c r="B737" t="inlineStr">
        <is>
          <t>TSLL US 01/17/25 P54</t>
        </is>
      </c>
      <c r="C737" t="inlineStr">
        <is>
          <t>2025-01-17</t>
        </is>
      </c>
      <c r="D737" t="n">
        <v>54</v>
      </c>
      <c r="E737" t="inlineStr">
        <is>
          <t>BBG01R9PVCR4</t>
        </is>
      </c>
    </row>
    <row r="738">
      <c r="A738" t="inlineStr">
        <is>
          <t>BBG01R9PTS74 Equity</t>
        </is>
      </c>
      <c r="B738" t="inlineStr">
        <is>
          <t>TSLL US 01/17/25 P55</t>
        </is>
      </c>
      <c r="C738" t="inlineStr">
        <is>
          <t>2025-01-17</t>
        </is>
      </c>
      <c r="D738" t="n">
        <v>55</v>
      </c>
      <c r="E738" t="inlineStr">
        <is>
          <t>BBG01R9PTS74</t>
        </is>
      </c>
    </row>
    <row r="739">
      <c r="A739" t="inlineStr">
        <is>
          <t>BBG01R9PVC49 Equity</t>
        </is>
      </c>
      <c r="B739" t="inlineStr">
        <is>
          <t>TSLL US 01/17/25 P56</t>
        </is>
      </c>
      <c r="C739" t="inlineStr">
        <is>
          <t>2025-01-17</t>
        </is>
      </c>
      <c r="D739" t="n">
        <v>56</v>
      </c>
      <c r="E739" t="inlineStr">
        <is>
          <t>BBG01R9PVC49</t>
        </is>
      </c>
    </row>
    <row r="740">
      <c r="A740" t="inlineStr">
        <is>
          <t>BBG01RB3BCF5 Equity</t>
        </is>
      </c>
      <c r="B740" t="inlineStr">
        <is>
          <t>TSLL US 01/17/25 P57</t>
        </is>
      </c>
      <c r="C740" t="inlineStr">
        <is>
          <t>2025-01-17</t>
        </is>
      </c>
      <c r="D740" t="n">
        <v>57</v>
      </c>
      <c r="E740" t="inlineStr">
        <is>
          <t>BBG01RB3BCF5</t>
        </is>
      </c>
    </row>
    <row r="741">
      <c r="A741" t="inlineStr">
        <is>
          <t>BBG01RB3B9L5 Equity</t>
        </is>
      </c>
      <c r="B741" t="inlineStr">
        <is>
          <t>TSLL US 01/17/25 P58</t>
        </is>
      </c>
      <c r="C741" t="inlineStr">
        <is>
          <t>2025-01-17</t>
        </is>
      </c>
      <c r="D741" t="n">
        <v>58</v>
      </c>
      <c r="E741" t="inlineStr">
        <is>
          <t>BBG01RB3B9L5</t>
        </is>
      </c>
    </row>
    <row r="742">
      <c r="A742" t="inlineStr">
        <is>
          <t>BBG01RB3BBT2 Equity</t>
        </is>
      </c>
      <c r="B742" t="inlineStr">
        <is>
          <t>TSLL US 01/17/25 P59</t>
        </is>
      </c>
      <c r="C742" t="inlineStr">
        <is>
          <t>2025-01-17</t>
        </is>
      </c>
      <c r="D742" t="n">
        <v>59</v>
      </c>
      <c r="E742" t="inlineStr">
        <is>
          <t>BBG01RB3BBT2</t>
        </is>
      </c>
    </row>
    <row r="743">
      <c r="A743" t="inlineStr">
        <is>
          <t>BBG01RB39K60 Equity</t>
        </is>
      </c>
      <c r="B743" t="inlineStr">
        <is>
          <t>TSLL US 01/17/25 P60</t>
        </is>
      </c>
      <c r="C743" t="inlineStr">
        <is>
          <t>2025-01-17</t>
        </is>
      </c>
      <c r="D743" t="n">
        <v>60</v>
      </c>
      <c r="E743" t="inlineStr">
        <is>
          <t>BBG01RB39K60</t>
        </is>
      </c>
    </row>
    <row r="744">
      <c r="A744" t="inlineStr">
        <is>
          <t>BBG01RB3BB67 Equity</t>
        </is>
      </c>
      <c r="B744" t="inlineStr">
        <is>
          <t>TSLL US 01/17/25 P61</t>
        </is>
      </c>
      <c r="C744" t="inlineStr">
        <is>
          <t>2025-01-17</t>
        </is>
      </c>
      <c r="D744" t="n">
        <v>61</v>
      </c>
      <c r="E744" t="inlineStr">
        <is>
          <t>BBG01RB3BB67</t>
        </is>
      </c>
    </row>
    <row r="745">
      <c r="A745" t="inlineStr">
        <is>
          <t>BBG01RFSR804 Equity</t>
        </is>
      </c>
      <c r="B745" t="inlineStr">
        <is>
          <t>TSLL US 02/21/25 P16</t>
        </is>
      </c>
      <c r="C745" t="inlineStr">
        <is>
          <t>2025-02-21</t>
        </is>
      </c>
      <c r="D745" t="n">
        <v>16</v>
      </c>
      <c r="E745" t="inlineStr">
        <is>
          <t>BBG01RFSR804</t>
        </is>
      </c>
    </row>
    <row r="746">
      <c r="A746" t="inlineStr">
        <is>
          <t>BBG01RFSRV21 Equity</t>
        </is>
      </c>
      <c r="B746" t="inlineStr">
        <is>
          <t>TSLL US 02/21/25 P17</t>
        </is>
      </c>
      <c r="C746" t="inlineStr">
        <is>
          <t>2025-02-21</t>
        </is>
      </c>
      <c r="D746" t="n">
        <v>17</v>
      </c>
      <c r="E746" t="inlineStr">
        <is>
          <t>BBG01RFSRV21</t>
        </is>
      </c>
    </row>
    <row r="747">
      <c r="A747" t="inlineStr">
        <is>
          <t>BBG01RFSRWX5 Equity</t>
        </is>
      </c>
      <c r="B747" t="inlineStr">
        <is>
          <t>TSLL US 02/21/25 P18</t>
        </is>
      </c>
      <c r="C747" t="inlineStr">
        <is>
          <t>2025-02-21</t>
        </is>
      </c>
      <c r="D747" t="n">
        <v>18</v>
      </c>
      <c r="E747" t="inlineStr">
        <is>
          <t>BBG01RFSRWX5</t>
        </is>
      </c>
    </row>
    <row r="748">
      <c r="A748" t="inlineStr">
        <is>
          <t>BBG01RFSRXJ9 Equity</t>
        </is>
      </c>
      <c r="B748" t="inlineStr">
        <is>
          <t>TSLL US 02/21/25 P19</t>
        </is>
      </c>
      <c r="C748" t="inlineStr">
        <is>
          <t>2025-02-21</t>
        </is>
      </c>
      <c r="D748" t="n">
        <v>19</v>
      </c>
      <c r="E748" t="inlineStr">
        <is>
          <t>BBG01RFSRXJ9</t>
        </is>
      </c>
    </row>
    <row r="749">
      <c r="A749" t="inlineStr">
        <is>
          <t>BBG01RFSR8M0 Equity</t>
        </is>
      </c>
      <c r="B749" t="inlineStr">
        <is>
          <t>TSLL US 02/21/25 P20</t>
        </is>
      </c>
      <c r="C749" t="inlineStr">
        <is>
          <t>2025-02-21</t>
        </is>
      </c>
      <c r="D749" t="n">
        <v>20</v>
      </c>
      <c r="E749" t="inlineStr">
        <is>
          <t>BBG01RFSR8M0</t>
        </is>
      </c>
    </row>
    <row r="750">
      <c r="A750" t="inlineStr">
        <is>
          <t>BBG01RFSS6G0 Equity</t>
        </is>
      </c>
      <c r="B750" t="inlineStr">
        <is>
          <t>TSLL US 02/21/25 P21</t>
        </is>
      </c>
      <c r="C750" t="inlineStr">
        <is>
          <t>2025-02-21</t>
        </is>
      </c>
      <c r="D750" t="n">
        <v>21</v>
      </c>
      <c r="E750" t="inlineStr">
        <is>
          <t>BBG01RFSS6G0</t>
        </is>
      </c>
    </row>
    <row r="751">
      <c r="A751" t="inlineStr">
        <is>
          <t>BBG01RFSS5V5 Equity</t>
        </is>
      </c>
      <c r="B751" t="inlineStr">
        <is>
          <t>TSLL US 02/21/25 P22</t>
        </is>
      </c>
      <c r="C751" t="inlineStr">
        <is>
          <t>2025-02-21</t>
        </is>
      </c>
      <c r="D751" t="n">
        <v>22</v>
      </c>
      <c r="E751" t="inlineStr">
        <is>
          <t>BBG01RFSS5V5</t>
        </is>
      </c>
    </row>
    <row r="752">
      <c r="A752" t="inlineStr">
        <is>
          <t>BBG01RFSRW92 Equity</t>
        </is>
      </c>
      <c r="B752" t="inlineStr">
        <is>
          <t>TSLL US 02/21/25 P23</t>
        </is>
      </c>
      <c r="C752" t="inlineStr">
        <is>
          <t>2025-02-21</t>
        </is>
      </c>
      <c r="D752" t="n">
        <v>23</v>
      </c>
      <c r="E752" t="inlineStr">
        <is>
          <t>BBG01RFSRW92</t>
        </is>
      </c>
    </row>
    <row r="753">
      <c r="A753" t="inlineStr">
        <is>
          <t>BBG01RFSRYB5 Equity</t>
        </is>
      </c>
      <c r="B753" t="inlineStr">
        <is>
          <t>TSLL US 02/21/25 P24</t>
        </is>
      </c>
      <c r="C753" t="inlineStr">
        <is>
          <t>2025-02-21</t>
        </is>
      </c>
      <c r="D753" t="n">
        <v>24</v>
      </c>
      <c r="E753" t="inlineStr">
        <is>
          <t>BBG01RFSRYB5</t>
        </is>
      </c>
    </row>
    <row r="754">
      <c r="A754" t="inlineStr">
        <is>
          <t>BBG01RFSR7D2 Equity</t>
        </is>
      </c>
      <c r="B754" t="inlineStr">
        <is>
          <t>TSLL US 02/21/25 P25</t>
        </is>
      </c>
      <c r="C754" t="inlineStr">
        <is>
          <t>2025-02-21</t>
        </is>
      </c>
      <c r="D754" t="n">
        <v>25</v>
      </c>
      <c r="E754" t="inlineStr">
        <is>
          <t>BBG01RFSR7D2</t>
        </is>
      </c>
    </row>
    <row r="755">
      <c r="A755" t="inlineStr">
        <is>
          <t>BBG01RFSRXQ1 Equity</t>
        </is>
      </c>
      <c r="B755" t="inlineStr">
        <is>
          <t>TSLL US 02/21/25 P26</t>
        </is>
      </c>
      <c r="C755" t="inlineStr">
        <is>
          <t>2025-02-21</t>
        </is>
      </c>
      <c r="D755" t="n">
        <v>26</v>
      </c>
      <c r="E755" t="inlineStr">
        <is>
          <t>BBG01RFSRXQ1</t>
        </is>
      </c>
    </row>
    <row r="756">
      <c r="A756" t="inlineStr">
        <is>
          <t>BBG01RFSRVP6 Equity</t>
        </is>
      </c>
      <c r="B756" t="inlineStr">
        <is>
          <t>TSLL US 02/21/25 P27</t>
        </is>
      </c>
      <c r="C756" t="inlineStr">
        <is>
          <t>2025-02-21</t>
        </is>
      </c>
      <c r="D756" t="n">
        <v>27</v>
      </c>
      <c r="E756" t="inlineStr">
        <is>
          <t>BBG01RFSRVP6</t>
        </is>
      </c>
    </row>
    <row r="757">
      <c r="A757" t="inlineStr">
        <is>
          <t>BBG01RFSS572 Equity</t>
        </is>
      </c>
      <c r="B757" t="inlineStr">
        <is>
          <t>TSLL US 02/21/25 P28</t>
        </is>
      </c>
      <c r="C757" t="inlineStr">
        <is>
          <t>2025-02-21</t>
        </is>
      </c>
      <c r="D757" t="n">
        <v>28</v>
      </c>
      <c r="E757" t="inlineStr">
        <is>
          <t>BBG01RFSS572</t>
        </is>
      </c>
    </row>
    <row r="758">
      <c r="A758" t="inlineStr">
        <is>
          <t>BBG01RDP8KF0 Equity</t>
        </is>
      </c>
      <c r="B758" t="inlineStr">
        <is>
          <t>TSLL US 02/21/25 P29</t>
        </is>
      </c>
      <c r="C758" t="inlineStr">
        <is>
          <t>2025-02-21</t>
        </is>
      </c>
      <c r="D758" t="n">
        <v>29</v>
      </c>
      <c r="E758" t="inlineStr">
        <is>
          <t>BBG01RDP8KF0</t>
        </is>
      </c>
    </row>
    <row r="759">
      <c r="A759" t="inlineStr">
        <is>
          <t>BBG01RDP8956 Equity</t>
        </is>
      </c>
      <c r="B759" t="inlineStr">
        <is>
          <t>TSLL US 02/21/25 P30</t>
        </is>
      </c>
      <c r="C759" t="inlineStr">
        <is>
          <t>2025-02-21</t>
        </is>
      </c>
      <c r="D759" t="n">
        <v>30</v>
      </c>
      <c r="E759" t="inlineStr">
        <is>
          <t>BBG01RDP8956</t>
        </is>
      </c>
    </row>
    <row r="760">
      <c r="A760" t="inlineStr">
        <is>
          <t>BBG01RDP9VT0 Equity</t>
        </is>
      </c>
      <c r="B760" t="inlineStr">
        <is>
          <t>TSLL US 02/21/25 P31</t>
        </is>
      </c>
      <c r="C760" t="inlineStr">
        <is>
          <t>2025-02-21</t>
        </is>
      </c>
      <c r="D760" t="n">
        <v>31</v>
      </c>
      <c r="E760" t="inlineStr">
        <is>
          <t>BBG01RDP9VT0</t>
        </is>
      </c>
    </row>
    <row r="761">
      <c r="A761" t="inlineStr">
        <is>
          <t>BBG01RDP8L13 Equity</t>
        </is>
      </c>
      <c r="B761" t="inlineStr">
        <is>
          <t>TSLL US 02/21/25 P32</t>
        </is>
      </c>
      <c r="C761" t="inlineStr">
        <is>
          <t>2025-02-21</t>
        </is>
      </c>
      <c r="D761" t="n">
        <v>32</v>
      </c>
      <c r="E761" t="inlineStr">
        <is>
          <t>BBG01RDP8L13</t>
        </is>
      </c>
    </row>
    <row r="762">
      <c r="A762" t="inlineStr">
        <is>
          <t>BBG01RDP9LR4 Equity</t>
        </is>
      </c>
      <c r="B762" t="inlineStr">
        <is>
          <t>TSLL US 02/21/25 P33</t>
        </is>
      </c>
      <c r="C762" t="inlineStr">
        <is>
          <t>2025-02-21</t>
        </is>
      </c>
      <c r="D762" t="n">
        <v>33</v>
      </c>
      <c r="E762" t="inlineStr">
        <is>
          <t>BBG01RDP9LR4</t>
        </is>
      </c>
    </row>
    <row r="763">
      <c r="A763" t="inlineStr">
        <is>
          <t>BBG01RDP87Y8 Equity</t>
        </is>
      </c>
      <c r="B763" t="inlineStr">
        <is>
          <t>TSLL US 02/21/25 P34</t>
        </is>
      </c>
      <c r="C763" t="inlineStr">
        <is>
          <t>2025-02-21</t>
        </is>
      </c>
      <c r="D763" t="n">
        <v>34</v>
      </c>
      <c r="E763" t="inlineStr">
        <is>
          <t>BBG01RDP87Y8</t>
        </is>
      </c>
    </row>
    <row r="764">
      <c r="A764" t="inlineStr">
        <is>
          <t>BBG01RDP87B3 Equity</t>
        </is>
      </c>
      <c r="B764" t="inlineStr">
        <is>
          <t>TSLL US 02/21/25 P35</t>
        </is>
      </c>
      <c r="C764" t="inlineStr">
        <is>
          <t>2025-02-21</t>
        </is>
      </c>
      <c r="D764" t="n">
        <v>35</v>
      </c>
      <c r="E764" t="inlineStr">
        <is>
          <t>BBG01RDP87B3</t>
        </is>
      </c>
    </row>
    <row r="765">
      <c r="A765" t="inlineStr">
        <is>
          <t>BBG01RDP9TL3 Equity</t>
        </is>
      </c>
      <c r="B765" t="inlineStr">
        <is>
          <t>TSLL US 02/21/25 P36</t>
        </is>
      </c>
      <c r="C765" t="inlineStr">
        <is>
          <t>2025-02-21</t>
        </is>
      </c>
      <c r="D765" t="n">
        <v>36</v>
      </c>
      <c r="E765" t="inlineStr">
        <is>
          <t>BBG01RDP9TL3</t>
        </is>
      </c>
    </row>
    <row r="766">
      <c r="A766" t="inlineStr">
        <is>
          <t>BBG01RDP9L49 Equity</t>
        </is>
      </c>
      <c r="B766" t="inlineStr">
        <is>
          <t>TSLL US 02/21/25 P37</t>
        </is>
      </c>
      <c r="C766" t="inlineStr">
        <is>
          <t>2025-02-21</t>
        </is>
      </c>
      <c r="D766" t="n">
        <v>37</v>
      </c>
      <c r="E766" t="inlineStr">
        <is>
          <t>BBG01RDP9L49</t>
        </is>
      </c>
    </row>
    <row r="767">
      <c r="A767" t="inlineStr">
        <is>
          <t>BBG01RDP9MC8 Equity</t>
        </is>
      </c>
      <c r="B767" t="inlineStr">
        <is>
          <t>TSLL US 02/21/25 P38</t>
        </is>
      </c>
      <c r="C767" t="inlineStr">
        <is>
          <t>2025-02-21</t>
        </is>
      </c>
      <c r="D767" t="n">
        <v>38</v>
      </c>
      <c r="E767" t="inlineStr">
        <is>
          <t>BBG01RDP9MC8</t>
        </is>
      </c>
    </row>
    <row r="768">
      <c r="A768" t="inlineStr">
        <is>
          <t>BBG01RDP9V65 Equity</t>
        </is>
      </c>
      <c r="B768" t="inlineStr">
        <is>
          <t>TSLL US 02/21/25 P39</t>
        </is>
      </c>
      <c r="C768" t="inlineStr">
        <is>
          <t>2025-02-21</t>
        </is>
      </c>
      <c r="D768" t="n">
        <v>39</v>
      </c>
      <c r="E768" t="inlineStr">
        <is>
          <t>BBG01RDP9V65</t>
        </is>
      </c>
    </row>
    <row r="769">
      <c r="A769" t="inlineStr">
        <is>
          <t>BBG01RDP9SZ0 Equity</t>
        </is>
      </c>
      <c r="B769" t="inlineStr">
        <is>
          <t>TSLL US 02/21/25 P40</t>
        </is>
      </c>
      <c r="C769" t="inlineStr">
        <is>
          <t>2025-02-21</t>
        </is>
      </c>
      <c r="D769" t="n">
        <v>40</v>
      </c>
      <c r="E769" t="inlineStr">
        <is>
          <t>BBG01RDP9SZ0</t>
        </is>
      </c>
    </row>
    <row r="770">
      <c r="A770" t="inlineStr">
        <is>
          <t>BBG01RDPB3J0 Equity</t>
        </is>
      </c>
      <c r="B770" t="inlineStr">
        <is>
          <t>TSLL US 02/21/25 P41</t>
        </is>
      </c>
      <c r="C770" t="inlineStr">
        <is>
          <t>2025-02-21</t>
        </is>
      </c>
      <c r="D770" t="n">
        <v>41</v>
      </c>
      <c r="E770" t="inlineStr">
        <is>
          <t>BBG01RDPB3J0</t>
        </is>
      </c>
    </row>
    <row r="771">
      <c r="A771" t="inlineStr">
        <is>
          <t>BBG01RDP8LN9 Equity</t>
        </is>
      </c>
      <c r="B771" t="inlineStr">
        <is>
          <t>TSLL US 02/21/25 P42</t>
        </is>
      </c>
      <c r="C771" t="inlineStr">
        <is>
          <t>2025-02-21</t>
        </is>
      </c>
      <c r="D771" t="n">
        <v>42</v>
      </c>
      <c r="E771" t="inlineStr">
        <is>
          <t>BBG01RDP8LN9</t>
        </is>
      </c>
    </row>
    <row r="772">
      <c r="A772" t="inlineStr">
        <is>
          <t>BBG01RDP89S1 Equity</t>
        </is>
      </c>
      <c r="B772" t="inlineStr">
        <is>
          <t>TSLL US 02/21/25 P43</t>
        </is>
      </c>
      <c r="C772" t="inlineStr">
        <is>
          <t>2025-02-21</t>
        </is>
      </c>
      <c r="D772" t="n">
        <v>43</v>
      </c>
      <c r="E772" t="inlineStr">
        <is>
          <t>BBG01RDP89S1</t>
        </is>
      </c>
    </row>
    <row r="773">
      <c r="A773" t="inlineStr">
        <is>
          <t>BBG01RDP88K1 Equity</t>
        </is>
      </c>
      <c r="B773" t="inlineStr">
        <is>
          <t>TSLL US 02/21/25 P44</t>
        </is>
      </c>
      <c r="C773" t="inlineStr">
        <is>
          <t>2025-02-21</t>
        </is>
      </c>
      <c r="D773" t="n">
        <v>44</v>
      </c>
      <c r="E773" t="inlineStr">
        <is>
          <t>BBG01RDP88K1</t>
        </is>
      </c>
    </row>
    <row r="774">
      <c r="A774" t="inlineStr">
        <is>
          <t>BBG01RDP9WF3 Equity</t>
        </is>
      </c>
      <c r="B774" t="inlineStr">
        <is>
          <t>TSLL US 02/21/25 P45</t>
        </is>
      </c>
      <c r="C774" t="inlineStr">
        <is>
          <t>2025-02-21</t>
        </is>
      </c>
      <c r="D774" t="n">
        <v>45</v>
      </c>
      <c r="E774" t="inlineStr">
        <is>
          <t>BBG01RDP9WF3</t>
        </is>
      </c>
    </row>
    <row r="775">
      <c r="A775" t="inlineStr">
        <is>
          <t>BBG01RDP8M84 Equity</t>
        </is>
      </c>
      <c r="B775" t="inlineStr">
        <is>
          <t>TSLL US 02/21/25 P46</t>
        </is>
      </c>
      <c r="C775" t="inlineStr">
        <is>
          <t>2025-02-21</t>
        </is>
      </c>
      <c r="D775" t="n">
        <v>46</v>
      </c>
      <c r="E775" t="inlineStr">
        <is>
          <t>BBG01RDP8M84</t>
        </is>
      </c>
    </row>
    <row r="776">
      <c r="A776" t="inlineStr">
        <is>
          <t>BBG01RDP9MZ3 Equity</t>
        </is>
      </c>
      <c r="B776" t="inlineStr">
        <is>
          <t>TSLL US 02/21/25 P47</t>
        </is>
      </c>
      <c r="C776" t="inlineStr">
        <is>
          <t>2025-02-21</t>
        </is>
      </c>
      <c r="D776" t="n">
        <v>47</v>
      </c>
      <c r="E776" t="inlineStr">
        <is>
          <t>BBG01RDP9MZ3</t>
        </is>
      </c>
    </row>
    <row r="777">
      <c r="A777" t="inlineStr">
        <is>
          <t>BBG01RDP9NL6 Equity</t>
        </is>
      </c>
      <c r="B777" t="inlineStr">
        <is>
          <t>TSLL US 02/21/25 P48</t>
        </is>
      </c>
      <c r="C777" t="inlineStr">
        <is>
          <t>2025-02-21</t>
        </is>
      </c>
      <c r="D777" t="n">
        <v>48</v>
      </c>
      <c r="E777" t="inlineStr">
        <is>
          <t>BBG01RDP9NL6</t>
        </is>
      </c>
    </row>
    <row r="778">
      <c r="A778" t="inlineStr">
        <is>
          <t>BBG01RDPB033 Equity</t>
        </is>
      </c>
      <c r="B778" t="inlineStr">
        <is>
          <t>TSLL US 02/21/25 P49</t>
        </is>
      </c>
      <c r="C778" t="inlineStr">
        <is>
          <t>2025-02-21</t>
        </is>
      </c>
      <c r="D778" t="n">
        <v>49</v>
      </c>
      <c r="E778" t="inlineStr">
        <is>
          <t>BBG01RDPB033</t>
        </is>
      </c>
    </row>
    <row r="779">
      <c r="A779" t="inlineStr">
        <is>
          <t>BBG01P09VZX5 Equity</t>
        </is>
      </c>
      <c r="B779" t="inlineStr">
        <is>
          <t>TSLL US 03/21/25 P0.7</t>
        </is>
      </c>
      <c r="C779" t="inlineStr">
        <is>
          <t>2025-03-21</t>
        </is>
      </c>
      <c r="D779" t="n">
        <v>0.7</v>
      </c>
      <c r="E779" t="inlineStr">
        <is>
          <t>BBG01P09VZX5</t>
        </is>
      </c>
    </row>
    <row r="780">
      <c r="A780" t="inlineStr">
        <is>
          <t>BBG01P09W0G0 Equity</t>
        </is>
      </c>
      <c r="B780" t="inlineStr">
        <is>
          <t>TSLL US 03/21/25 P1.7</t>
        </is>
      </c>
      <c r="C780" t="inlineStr">
        <is>
          <t>2025-03-21</t>
        </is>
      </c>
      <c r="D780" t="n">
        <v>1.7</v>
      </c>
      <c r="E780" t="inlineStr">
        <is>
          <t>BBG01P09W0G0</t>
        </is>
      </c>
    </row>
    <row r="781">
      <c r="A781" t="inlineStr">
        <is>
          <t>BBG01P09VZC8 Equity</t>
        </is>
      </c>
      <c r="B781" t="inlineStr">
        <is>
          <t>TSLL US 03/21/25 P2.7</t>
        </is>
      </c>
      <c r="C781" t="inlineStr">
        <is>
          <t>2025-03-21</t>
        </is>
      </c>
      <c r="D781" t="n">
        <v>2.7</v>
      </c>
      <c r="E781" t="inlineStr">
        <is>
          <t>BBG01P09VZC8</t>
        </is>
      </c>
    </row>
    <row r="782">
      <c r="A782" t="inlineStr">
        <is>
          <t>BBG01P09VYT3 Equity</t>
        </is>
      </c>
      <c r="B782" t="inlineStr">
        <is>
          <t>TSLL US 03/21/25 P3.7</t>
        </is>
      </c>
      <c r="C782" t="inlineStr">
        <is>
          <t>2025-03-21</t>
        </is>
      </c>
      <c r="D782" t="n">
        <v>3.7</v>
      </c>
      <c r="E782" t="inlineStr">
        <is>
          <t>BBG01P09VYT3</t>
        </is>
      </c>
    </row>
    <row r="783">
      <c r="A783" t="inlineStr">
        <is>
          <t>BBG01NWB9PC0 Equity</t>
        </is>
      </c>
      <c r="B783" t="inlineStr">
        <is>
          <t>TSLL US 03/21/25 P4.7</t>
        </is>
      </c>
      <c r="C783" t="inlineStr">
        <is>
          <t>2025-03-21</t>
        </is>
      </c>
      <c r="D783" t="n">
        <v>4.7</v>
      </c>
      <c r="E783" t="inlineStr">
        <is>
          <t>BBG01NWB9PC0</t>
        </is>
      </c>
    </row>
    <row r="784">
      <c r="A784" t="inlineStr">
        <is>
          <t>BBG01NWBC2R1 Equity</t>
        </is>
      </c>
      <c r="B784" t="inlineStr">
        <is>
          <t>TSLL US 03/21/25 P5.7</t>
        </is>
      </c>
      <c r="C784" t="inlineStr">
        <is>
          <t>2025-03-21</t>
        </is>
      </c>
      <c r="D784" t="n">
        <v>5.7</v>
      </c>
      <c r="E784" t="inlineStr">
        <is>
          <t>BBG01NWBC2R1</t>
        </is>
      </c>
    </row>
    <row r="785">
      <c r="A785" t="inlineStr">
        <is>
          <t>BBG01NWBBTM8 Equity</t>
        </is>
      </c>
      <c r="B785" t="inlineStr">
        <is>
          <t>TSLL US 03/21/25 P6.7</t>
        </is>
      </c>
      <c r="C785" t="inlineStr">
        <is>
          <t>2025-03-21</t>
        </is>
      </c>
      <c r="D785" t="n">
        <v>6.7</v>
      </c>
      <c r="E785" t="inlineStr">
        <is>
          <t>BBG01NWBBTM8</t>
        </is>
      </c>
    </row>
    <row r="786">
      <c r="A786" t="inlineStr">
        <is>
          <t>BBG01NWB9NT7 Equity</t>
        </is>
      </c>
      <c r="B786" t="inlineStr">
        <is>
          <t>TSLL US 03/21/25 P7.7</t>
        </is>
      </c>
      <c r="C786" t="inlineStr">
        <is>
          <t>2025-03-21</t>
        </is>
      </c>
      <c r="D786" t="n">
        <v>7.7</v>
      </c>
      <c r="E786" t="inlineStr">
        <is>
          <t>BBG01NWB9NT7</t>
        </is>
      </c>
    </row>
    <row r="787">
      <c r="A787" t="inlineStr">
        <is>
          <t>BBG01NWBC692 Equity</t>
        </is>
      </c>
      <c r="B787" t="inlineStr">
        <is>
          <t>TSLL US 03/21/25 P8.7</t>
        </is>
      </c>
      <c r="C787" t="inlineStr">
        <is>
          <t>2025-03-21</t>
        </is>
      </c>
      <c r="D787" t="n">
        <v>8.699999999999999</v>
      </c>
      <c r="E787" t="inlineStr">
        <is>
          <t>BBG01NWBC692</t>
        </is>
      </c>
    </row>
    <row r="788">
      <c r="A788" t="inlineStr">
        <is>
          <t>BBG01NWBC1N7 Equity</t>
        </is>
      </c>
      <c r="B788" t="inlineStr">
        <is>
          <t>TSLL US 03/21/25 P9.7</t>
        </is>
      </c>
      <c r="C788" t="inlineStr">
        <is>
          <t>2025-03-21</t>
        </is>
      </c>
      <c r="D788" t="n">
        <v>9.699999999999999</v>
      </c>
      <c r="E788" t="inlineStr">
        <is>
          <t>BBG01NWBC1N7</t>
        </is>
      </c>
    </row>
    <row r="789">
      <c r="A789" t="inlineStr">
        <is>
          <t>BBG01NWB9N80 Equity</t>
        </is>
      </c>
      <c r="B789" t="inlineStr">
        <is>
          <t>TSLL US 03/21/25 P10.7</t>
        </is>
      </c>
      <c r="C789" t="inlineStr">
        <is>
          <t>2025-03-21</t>
        </is>
      </c>
      <c r="D789" t="n">
        <v>10.7</v>
      </c>
      <c r="E789" t="inlineStr">
        <is>
          <t>BBG01NWB9N80</t>
        </is>
      </c>
    </row>
    <row r="790">
      <c r="A790" t="inlineStr">
        <is>
          <t>BBG01NWBBPR1 Equity</t>
        </is>
      </c>
      <c r="B790" t="inlineStr">
        <is>
          <t>TSLL US 03/21/25 P11.7</t>
        </is>
      </c>
      <c r="C790" t="inlineStr">
        <is>
          <t>2025-03-21</t>
        </is>
      </c>
      <c r="D790" t="n">
        <v>11.7</v>
      </c>
      <c r="E790" t="inlineStr">
        <is>
          <t>BBG01NWBBPR1</t>
        </is>
      </c>
    </row>
    <row r="791">
      <c r="A791" t="inlineStr">
        <is>
          <t>BBG01NWB8R91 Equity</t>
        </is>
      </c>
      <c r="B791" t="inlineStr">
        <is>
          <t>TSLL US 03/21/25 P12.7</t>
        </is>
      </c>
      <c r="C791" t="inlineStr">
        <is>
          <t>2025-03-21</t>
        </is>
      </c>
      <c r="D791" t="n">
        <v>12.7</v>
      </c>
      <c r="E791" t="inlineStr">
        <is>
          <t>BBG01NWB8R91</t>
        </is>
      </c>
    </row>
    <row r="792">
      <c r="A792" t="inlineStr">
        <is>
          <t>BBG01NWBBNN0 Equity</t>
        </is>
      </c>
      <c r="B792" t="inlineStr">
        <is>
          <t>TSLL US 03/21/25 P13.7</t>
        </is>
      </c>
      <c r="C792" t="inlineStr">
        <is>
          <t>2025-03-21</t>
        </is>
      </c>
      <c r="D792" t="n">
        <v>13.7</v>
      </c>
      <c r="E792" t="inlineStr">
        <is>
          <t>BBG01NWBBNN0</t>
        </is>
      </c>
    </row>
    <row r="793">
      <c r="A793" t="inlineStr">
        <is>
          <t>BBG01NWBCJ67 Equity</t>
        </is>
      </c>
      <c r="B793" t="inlineStr">
        <is>
          <t>TSLL US 03/21/25 P14.7</t>
        </is>
      </c>
      <c r="C793" t="inlineStr">
        <is>
          <t>2025-03-21</t>
        </is>
      </c>
      <c r="D793" t="n">
        <v>14.7</v>
      </c>
      <c r="E793" t="inlineStr">
        <is>
          <t>BBG01NWBCJ67</t>
        </is>
      </c>
    </row>
    <row r="794">
      <c r="A794" t="inlineStr">
        <is>
          <t>BBG01NWBC264 Equity</t>
        </is>
      </c>
      <c r="B794" t="inlineStr">
        <is>
          <t>TSLL US 03/21/25 P15.7</t>
        </is>
      </c>
      <c r="C794" t="inlineStr">
        <is>
          <t>2025-03-21</t>
        </is>
      </c>
      <c r="D794" t="n">
        <v>15.7</v>
      </c>
      <c r="E794" t="inlineStr">
        <is>
          <t>BBG01NWBC264</t>
        </is>
      </c>
    </row>
    <row r="795">
      <c r="A795" t="inlineStr">
        <is>
          <t>BBG01NWBBSJ4 Equity</t>
        </is>
      </c>
      <c r="B795" t="inlineStr">
        <is>
          <t>TSLL US 03/21/25 P16.7</t>
        </is>
      </c>
      <c r="C795" t="inlineStr">
        <is>
          <t>2025-03-21</t>
        </is>
      </c>
      <c r="D795" t="n">
        <v>16.7</v>
      </c>
      <c r="E795" t="inlineStr">
        <is>
          <t>BBG01NWBBSJ4</t>
        </is>
      </c>
    </row>
    <row r="796">
      <c r="A796" t="inlineStr">
        <is>
          <t>BBG01NWBBP64 Equity</t>
        </is>
      </c>
      <c r="B796" t="inlineStr">
        <is>
          <t>TSLL US 03/21/25 P17.7</t>
        </is>
      </c>
      <c r="C796" t="inlineStr">
        <is>
          <t>2025-03-21</t>
        </is>
      </c>
      <c r="D796" t="n">
        <v>17.7</v>
      </c>
      <c r="E796" t="inlineStr">
        <is>
          <t>BBG01NWBBP64</t>
        </is>
      </c>
    </row>
    <row r="797">
      <c r="A797" t="inlineStr">
        <is>
          <t>BBG01NWBC7D5 Equity</t>
        </is>
      </c>
      <c r="B797" t="inlineStr">
        <is>
          <t>TSLL US 03/21/25 P18.7</t>
        </is>
      </c>
      <c r="C797" t="inlineStr">
        <is>
          <t>2025-03-21</t>
        </is>
      </c>
      <c r="D797" t="n">
        <v>18.7</v>
      </c>
      <c r="E797" t="inlineStr">
        <is>
          <t>BBG01NWBC7D5</t>
        </is>
      </c>
    </row>
    <row r="798">
      <c r="A798" t="inlineStr">
        <is>
          <t>BBG01NWBC6V7 Equity</t>
        </is>
      </c>
      <c r="B798" t="inlineStr">
        <is>
          <t>TSLL US 03/21/25 P19.7</t>
        </is>
      </c>
      <c r="C798" t="inlineStr">
        <is>
          <t>2025-03-21</t>
        </is>
      </c>
      <c r="D798" t="n">
        <v>19.7</v>
      </c>
      <c r="E798" t="inlineStr">
        <is>
          <t>BBG01NWBC6V7</t>
        </is>
      </c>
    </row>
    <row r="799">
      <c r="A799" t="inlineStr">
        <is>
          <t>BBG01NWBCHN2 Equity</t>
        </is>
      </c>
      <c r="B799" t="inlineStr">
        <is>
          <t>TSLL US 03/21/25 P20.7</t>
        </is>
      </c>
      <c r="C799" t="inlineStr">
        <is>
          <t>2025-03-21</t>
        </is>
      </c>
      <c r="D799" t="n">
        <v>20.7</v>
      </c>
      <c r="E799" t="inlineStr">
        <is>
          <t>BBG01NWBCHN2</t>
        </is>
      </c>
    </row>
    <row r="800">
      <c r="A800" t="inlineStr">
        <is>
          <t>BBG01NWBBT20 Equity</t>
        </is>
      </c>
      <c r="B800" t="inlineStr">
        <is>
          <t>TSLL US 03/21/25 P21.7</t>
        </is>
      </c>
      <c r="C800" t="inlineStr">
        <is>
          <t>2025-03-21</t>
        </is>
      </c>
      <c r="D800" t="n">
        <v>21.7</v>
      </c>
      <c r="E800" t="inlineStr">
        <is>
          <t>BBG01NWBBT20</t>
        </is>
      </c>
    </row>
    <row r="801">
      <c r="A801" t="inlineStr">
        <is>
          <t>BBG01NWBBN32 Equity</t>
        </is>
      </c>
      <c r="B801" t="inlineStr">
        <is>
          <t>TSLL US 03/21/25 P22.7</t>
        </is>
      </c>
      <c r="C801" t="inlineStr">
        <is>
          <t>2025-03-21</t>
        </is>
      </c>
      <c r="D801" t="n">
        <v>22.7</v>
      </c>
      <c r="E801" t="inlineStr">
        <is>
          <t>BBG01NWBBN32</t>
        </is>
      </c>
    </row>
    <row r="802">
      <c r="A802" t="inlineStr">
        <is>
          <t>BBG01NWBCJR4 Equity</t>
        </is>
      </c>
      <c r="B802" t="inlineStr">
        <is>
          <t>TSLL US 03/21/25 P23.7</t>
        </is>
      </c>
      <c r="C802" t="inlineStr">
        <is>
          <t>2025-03-21</t>
        </is>
      </c>
      <c r="D802" t="n">
        <v>23.7</v>
      </c>
      <c r="E802" t="inlineStr">
        <is>
          <t>BBG01NWBCJR4</t>
        </is>
      </c>
    </row>
    <row r="803">
      <c r="A803" t="inlineStr">
        <is>
          <t>BBG01NWBC5R4 Equity</t>
        </is>
      </c>
      <c r="B803" t="inlineStr">
        <is>
          <t>TSLL US 03/21/25 P24.7</t>
        </is>
      </c>
      <c r="C803" t="inlineStr">
        <is>
          <t>2025-03-21</t>
        </is>
      </c>
      <c r="D803" t="n">
        <v>24.7</v>
      </c>
      <c r="E803" t="inlineStr">
        <is>
          <t>BBG01NWBC5R4</t>
        </is>
      </c>
    </row>
    <row r="804">
      <c r="A804" t="inlineStr">
        <is>
          <t>BBG01QJ2MH86 Equity</t>
        </is>
      </c>
      <c r="B804" t="inlineStr">
        <is>
          <t>TSLL US 03/21/25 P25.7</t>
        </is>
      </c>
      <c r="C804" t="inlineStr">
        <is>
          <t>2025-03-21</t>
        </is>
      </c>
      <c r="D804" t="n">
        <v>25.7</v>
      </c>
      <c r="E804" t="inlineStr">
        <is>
          <t>BBG01QJ2MH86</t>
        </is>
      </c>
    </row>
    <row r="805">
      <c r="A805" t="inlineStr">
        <is>
          <t>BBG01QRV7NB3 Equity</t>
        </is>
      </c>
      <c r="B805" t="inlineStr">
        <is>
          <t>TSLL US 03/21/25 P26.7</t>
        </is>
      </c>
      <c r="C805" t="inlineStr">
        <is>
          <t>2025-03-21</t>
        </is>
      </c>
      <c r="D805" t="n">
        <v>26.7</v>
      </c>
      <c r="E805" t="inlineStr">
        <is>
          <t>BBG01QRV7NB3</t>
        </is>
      </c>
    </row>
    <row r="806">
      <c r="A806" t="inlineStr">
        <is>
          <t>BBG01QRV7RS6 Equity</t>
        </is>
      </c>
      <c r="B806" t="inlineStr">
        <is>
          <t>TSLL US 03/21/25 P27.7</t>
        </is>
      </c>
      <c r="C806" t="inlineStr">
        <is>
          <t>2025-03-21</t>
        </is>
      </c>
      <c r="D806" t="n">
        <v>27.7</v>
      </c>
      <c r="E806" t="inlineStr">
        <is>
          <t>BBG01QRV7RS6</t>
        </is>
      </c>
    </row>
    <row r="807">
      <c r="A807" t="inlineStr">
        <is>
          <t>BBG01QRV7NY8 Equity</t>
        </is>
      </c>
      <c r="B807" t="inlineStr">
        <is>
          <t>TSLL US 03/21/25 P28.7</t>
        </is>
      </c>
      <c r="C807" t="inlineStr">
        <is>
          <t>2025-03-21</t>
        </is>
      </c>
      <c r="D807" t="n">
        <v>28.7</v>
      </c>
      <c r="E807" t="inlineStr">
        <is>
          <t>BBG01QRV7NY8</t>
        </is>
      </c>
    </row>
    <row r="808">
      <c r="A808" t="inlineStr">
        <is>
          <t>BBG01QQR6TF7 Equity</t>
        </is>
      </c>
      <c r="B808" t="inlineStr">
        <is>
          <t>TSLL US 03/21/25 P29.7</t>
        </is>
      </c>
      <c r="C808" t="inlineStr">
        <is>
          <t>2025-03-21</t>
        </is>
      </c>
      <c r="D808" t="n">
        <v>29.7</v>
      </c>
      <c r="E808" t="inlineStr">
        <is>
          <t>BBG01QQR6TF7</t>
        </is>
      </c>
    </row>
    <row r="809">
      <c r="A809" t="inlineStr">
        <is>
          <t>BBG01QRV7SD0 Equity</t>
        </is>
      </c>
      <c r="B809" t="inlineStr">
        <is>
          <t>TSLL US 03/21/25 P30.7</t>
        </is>
      </c>
      <c r="C809" t="inlineStr">
        <is>
          <t>2025-03-21</t>
        </is>
      </c>
      <c r="D809" t="n">
        <v>30.7</v>
      </c>
      <c r="E809" t="inlineStr">
        <is>
          <t>BBG01QRV7SD0</t>
        </is>
      </c>
    </row>
    <row r="810">
      <c r="A810" t="inlineStr">
        <is>
          <t>BBG01QRV7QK6 Equity</t>
        </is>
      </c>
      <c r="B810" t="inlineStr">
        <is>
          <t>TSLL US 03/21/25 P31.7</t>
        </is>
      </c>
      <c r="C810" t="inlineStr">
        <is>
          <t>2025-03-21</t>
        </is>
      </c>
      <c r="D810" t="n">
        <v>31.7</v>
      </c>
      <c r="E810" t="inlineStr">
        <is>
          <t>BBG01QRV7QK6</t>
        </is>
      </c>
    </row>
    <row r="811">
      <c r="A811" t="inlineStr">
        <is>
          <t>BBG01QRV7R51 Equity</t>
        </is>
      </c>
      <c r="B811" t="inlineStr">
        <is>
          <t>TSLL US 03/21/25 P32.7</t>
        </is>
      </c>
      <c r="C811" t="inlineStr">
        <is>
          <t>2025-03-21</t>
        </is>
      </c>
      <c r="D811" t="n">
        <v>32.7</v>
      </c>
      <c r="E811" t="inlineStr">
        <is>
          <t>BBG01QRV7R51</t>
        </is>
      </c>
    </row>
    <row r="812">
      <c r="A812" t="inlineStr">
        <is>
          <t>BBG01QRV7MQ9 Equity</t>
        </is>
      </c>
      <c r="B812" t="inlineStr">
        <is>
          <t>TSLL US 03/21/25 P33.7</t>
        </is>
      </c>
      <c r="C812" t="inlineStr">
        <is>
          <t>2025-03-21</t>
        </is>
      </c>
      <c r="D812" t="n">
        <v>33.7</v>
      </c>
      <c r="E812" t="inlineStr">
        <is>
          <t>BBG01QRV7MQ9</t>
        </is>
      </c>
    </row>
    <row r="813">
      <c r="A813" t="inlineStr">
        <is>
          <t>BBG01QRV7PY3 Equity</t>
        </is>
      </c>
      <c r="B813" t="inlineStr">
        <is>
          <t>TSLL US 03/21/25 P34.7</t>
        </is>
      </c>
      <c r="C813" t="inlineStr">
        <is>
          <t>2025-03-21</t>
        </is>
      </c>
      <c r="D813" t="n">
        <v>34.7</v>
      </c>
      <c r="E813" t="inlineStr">
        <is>
          <t>BBG01QRV7PY3</t>
        </is>
      </c>
    </row>
    <row r="814">
      <c r="A814" t="inlineStr">
        <is>
          <t>BBG01R6BMV96 Equity</t>
        </is>
      </c>
      <c r="B814" t="inlineStr">
        <is>
          <t>TSLL US 03/21/25 P35.7</t>
        </is>
      </c>
      <c r="C814" t="inlineStr">
        <is>
          <t>2025-03-21</t>
        </is>
      </c>
      <c r="D814" t="n">
        <v>35.7</v>
      </c>
      <c r="E814" t="inlineStr">
        <is>
          <t>BBG01R6BMV96</t>
        </is>
      </c>
    </row>
    <row r="815">
      <c r="A815" t="inlineStr">
        <is>
          <t>BBG01R6BMWJ3 Equity</t>
        </is>
      </c>
      <c r="B815" t="inlineStr">
        <is>
          <t>TSLL US 03/21/25 P36.7</t>
        </is>
      </c>
      <c r="C815" t="inlineStr">
        <is>
          <t>2025-03-21</t>
        </is>
      </c>
      <c r="D815" t="n">
        <v>36.7</v>
      </c>
      <c r="E815" t="inlineStr">
        <is>
          <t>BBG01R6BMWJ3</t>
        </is>
      </c>
    </row>
    <row r="816">
      <c r="A816" t="inlineStr">
        <is>
          <t>BBG01R6BMVX9 Equity</t>
        </is>
      </c>
      <c r="B816" t="inlineStr">
        <is>
          <t>TSLL US 03/21/25 P37.7</t>
        </is>
      </c>
      <c r="C816" t="inlineStr">
        <is>
          <t>2025-03-21</t>
        </is>
      </c>
      <c r="D816" t="n">
        <v>37.7</v>
      </c>
      <c r="E816" t="inlineStr">
        <is>
          <t>BBG01R6BMVX9</t>
        </is>
      </c>
    </row>
    <row r="817">
      <c r="A817" t="inlineStr">
        <is>
          <t>BBG01R6BP5H1 Equity</t>
        </is>
      </c>
      <c r="B817" t="inlineStr">
        <is>
          <t>TSLL US 03/21/25 P38.7</t>
        </is>
      </c>
      <c r="C817" t="inlineStr">
        <is>
          <t>2025-03-21</t>
        </is>
      </c>
      <c r="D817" t="n">
        <v>38.7</v>
      </c>
      <c r="E817" t="inlineStr">
        <is>
          <t>BBG01R6BP5H1</t>
        </is>
      </c>
    </row>
    <row r="818">
      <c r="A818" t="inlineStr">
        <is>
          <t>BBG01R6BMX47 Equity</t>
        </is>
      </c>
      <c r="B818" t="inlineStr">
        <is>
          <t>TSLL US 03/21/25 P39.7</t>
        </is>
      </c>
      <c r="C818" t="inlineStr">
        <is>
          <t>2025-03-21</t>
        </is>
      </c>
      <c r="D818" t="n">
        <v>39.7</v>
      </c>
      <c r="E818" t="inlineStr">
        <is>
          <t>BBG01R6BMX47</t>
        </is>
      </c>
    </row>
    <row r="819">
      <c r="A819" t="inlineStr">
        <is>
          <t>BBG01R8RWVP0 Equity</t>
        </is>
      </c>
      <c r="B819" t="inlineStr">
        <is>
          <t>TSLL US 03/21/25 P40</t>
        </is>
      </c>
      <c r="C819" t="inlineStr">
        <is>
          <t>2025-03-21</t>
        </is>
      </c>
      <c r="D819" t="n">
        <v>40</v>
      </c>
      <c r="E819" t="inlineStr">
        <is>
          <t>BBG01R8RWVP0</t>
        </is>
      </c>
    </row>
    <row r="820">
      <c r="A820" t="inlineStr">
        <is>
          <t>BBG01R8RWRY9 Equity</t>
        </is>
      </c>
      <c r="B820" t="inlineStr">
        <is>
          <t>TSLL US 03/21/25 P41</t>
        </is>
      </c>
      <c r="C820" t="inlineStr">
        <is>
          <t>2025-03-21</t>
        </is>
      </c>
      <c r="D820" t="n">
        <v>41</v>
      </c>
      <c r="E820" t="inlineStr">
        <is>
          <t>BBG01R8RWRY9</t>
        </is>
      </c>
    </row>
    <row r="821">
      <c r="A821" t="inlineStr">
        <is>
          <t>BBG01R8RWRB4 Equity</t>
        </is>
      </c>
      <c r="B821" t="inlineStr">
        <is>
          <t>TSLL US 03/21/25 P42</t>
        </is>
      </c>
      <c r="C821" t="inlineStr">
        <is>
          <t>2025-03-21</t>
        </is>
      </c>
      <c r="D821" t="n">
        <v>42</v>
      </c>
      <c r="E821" t="inlineStr">
        <is>
          <t>BBG01R8RWRB4</t>
        </is>
      </c>
    </row>
    <row r="822">
      <c r="A822" t="inlineStr">
        <is>
          <t>BBG01R8RV462 Equity</t>
        </is>
      </c>
      <c r="B822" t="inlineStr">
        <is>
          <t>TSLL US 03/21/25 P43</t>
        </is>
      </c>
      <c r="C822" t="inlineStr">
        <is>
          <t>2025-03-21</t>
        </is>
      </c>
      <c r="D822" t="n">
        <v>43</v>
      </c>
      <c r="E822" t="inlineStr">
        <is>
          <t>BBG01R8RV462</t>
        </is>
      </c>
    </row>
    <row r="823">
      <c r="A823" t="inlineStr">
        <is>
          <t>BBG01R8RWTG5 Equity</t>
        </is>
      </c>
      <c r="B823" t="inlineStr">
        <is>
          <t>TSLL US 03/21/25 P44</t>
        </is>
      </c>
      <c r="C823" t="inlineStr">
        <is>
          <t>2025-03-21</t>
        </is>
      </c>
      <c r="D823" t="n">
        <v>44</v>
      </c>
      <c r="E823" t="inlineStr">
        <is>
          <t>BBG01R8RWTG5</t>
        </is>
      </c>
    </row>
    <row r="824">
      <c r="A824" t="inlineStr">
        <is>
          <t>BBG01R8RWQ35 Equity</t>
        </is>
      </c>
      <c r="B824" t="inlineStr">
        <is>
          <t>TSLL US 03/21/25 P45</t>
        </is>
      </c>
      <c r="C824" t="inlineStr">
        <is>
          <t>2025-03-21</t>
        </is>
      </c>
      <c r="D824" t="n">
        <v>45</v>
      </c>
      <c r="E824" t="inlineStr">
        <is>
          <t>BBG01R8RWQ35</t>
        </is>
      </c>
    </row>
    <row r="825">
      <c r="A825" t="inlineStr">
        <is>
          <t>BBG01R8RWSK2 Equity</t>
        </is>
      </c>
      <c r="B825" t="inlineStr">
        <is>
          <t>TSLL US 03/21/25 P46</t>
        </is>
      </c>
      <c r="C825" t="inlineStr">
        <is>
          <t>2025-03-21</t>
        </is>
      </c>
      <c r="D825" t="n">
        <v>46</v>
      </c>
      <c r="E825" t="inlineStr">
        <is>
          <t>BBG01R8RWSK2</t>
        </is>
      </c>
    </row>
    <row r="826">
      <c r="A826" t="inlineStr">
        <is>
          <t>BBG01R8RWV25 Equity</t>
        </is>
      </c>
      <c r="B826" t="inlineStr">
        <is>
          <t>TSLL US 03/21/25 P47</t>
        </is>
      </c>
      <c r="C826" t="inlineStr">
        <is>
          <t>2025-03-21</t>
        </is>
      </c>
      <c r="D826" t="n">
        <v>47</v>
      </c>
      <c r="E826" t="inlineStr">
        <is>
          <t>BBG01R8RWV25</t>
        </is>
      </c>
    </row>
    <row r="827">
      <c r="A827" t="inlineStr">
        <is>
          <t>BBG01R8RWQQ0 Equity</t>
        </is>
      </c>
      <c r="B827" t="inlineStr">
        <is>
          <t>TSLL US 03/21/25 P48</t>
        </is>
      </c>
      <c r="C827" t="inlineStr">
        <is>
          <t>2025-03-21</t>
        </is>
      </c>
      <c r="D827" t="n">
        <v>48</v>
      </c>
      <c r="E827" t="inlineStr">
        <is>
          <t>BBG01R8RWQQ0</t>
        </is>
      </c>
    </row>
    <row r="828">
      <c r="A828" t="inlineStr">
        <is>
          <t>BBG01R97Q9N1 Equity</t>
        </is>
      </c>
      <c r="B828" t="inlineStr">
        <is>
          <t>TSLL US 03/21/25 P49</t>
        </is>
      </c>
      <c r="C828" t="inlineStr">
        <is>
          <t>2025-03-21</t>
        </is>
      </c>
      <c r="D828" t="n">
        <v>49</v>
      </c>
      <c r="E828" t="inlineStr">
        <is>
          <t>BBG01R97Q9N1</t>
        </is>
      </c>
    </row>
    <row r="829">
      <c r="A829" t="inlineStr">
        <is>
          <t>BBG01R9PW3D8 Equity</t>
        </is>
      </c>
      <c r="B829" t="inlineStr">
        <is>
          <t>TSLL US 03/21/25 P50</t>
        </is>
      </c>
      <c r="C829" t="inlineStr">
        <is>
          <t>2025-03-21</t>
        </is>
      </c>
      <c r="D829" t="n">
        <v>50</v>
      </c>
      <c r="E829" t="inlineStr">
        <is>
          <t>BBG01R9PW3D8</t>
        </is>
      </c>
    </row>
    <row r="830">
      <c r="A830" t="inlineStr">
        <is>
          <t>BBG01R9PW259 Equity</t>
        </is>
      </c>
      <c r="B830" t="inlineStr">
        <is>
          <t>TSLL US 03/21/25 P51</t>
        </is>
      </c>
      <c r="C830" t="inlineStr">
        <is>
          <t>2025-03-21</t>
        </is>
      </c>
      <c r="D830" t="n">
        <v>51</v>
      </c>
      <c r="E830" t="inlineStr">
        <is>
          <t>BBG01R9PW259</t>
        </is>
      </c>
    </row>
    <row r="831">
      <c r="A831" t="inlineStr">
        <is>
          <t>BBG01R9PVP86 Equity</t>
        </is>
      </c>
      <c r="B831" t="inlineStr">
        <is>
          <t>TSLL US 03/21/25 P52</t>
        </is>
      </c>
      <c r="C831" t="inlineStr">
        <is>
          <t>2025-03-21</t>
        </is>
      </c>
      <c r="D831" t="n">
        <v>52</v>
      </c>
      <c r="E831" t="inlineStr">
        <is>
          <t>BBG01R9PVP86</t>
        </is>
      </c>
    </row>
    <row r="832">
      <c r="A832" t="inlineStr">
        <is>
          <t>BBG01R9PVNN4 Equity</t>
        </is>
      </c>
      <c r="B832" t="inlineStr">
        <is>
          <t>TSLL US 03/21/25 P53</t>
        </is>
      </c>
      <c r="C832" t="inlineStr">
        <is>
          <t>2025-03-21</t>
        </is>
      </c>
      <c r="D832" t="n">
        <v>53</v>
      </c>
      <c r="E832" t="inlineStr">
        <is>
          <t>BBG01R9PVNN4</t>
        </is>
      </c>
    </row>
    <row r="833">
      <c r="A833" t="inlineStr">
        <is>
          <t>BBG01R9PV6G9 Equity</t>
        </is>
      </c>
      <c r="B833" t="inlineStr">
        <is>
          <t>TSLL US 03/21/25 P54</t>
        </is>
      </c>
      <c r="C833" t="inlineStr">
        <is>
          <t>2025-03-21</t>
        </is>
      </c>
      <c r="D833" t="n">
        <v>54</v>
      </c>
      <c r="E833" t="inlineStr">
        <is>
          <t>BBG01R9PV6G9</t>
        </is>
      </c>
    </row>
    <row r="834">
      <c r="A834" t="inlineStr">
        <is>
          <t>BBG01R9PV5V4 Equity</t>
        </is>
      </c>
      <c r="B834" t="inlineStr">
        <is>
          <t>TSLL US 03/21/25 P55</t>
        </is>
      </c>
      <c r="C834" t="inlineStr">
        <is>
          <t>2025-03-21</t>
        </is>
      </c>
      <c r="D834" t="n">
        <v>55</v>
      </c>
      <c r="E834" t="inlineStr">
        <is>
          <t>BBG01R9PV5V4</t>
        </is>
      </c>
    </row>
    <row r="835">
      <c r="A835" t="inlineStr">
        <is>
          <t>BBG01R9PW2S4 Equity</t>
        </is>
      </c>
      <c r="B835" t="inlineStr">
        <is>
          <t>TSLL US 03/21/25 P56</t>
        </is>
      </c>
      <c r="C835" t="inlineStr">
        <is>
          <t>2025-03-21</t>
        </is>
      </c>
      <c r="D835" t="n">
        <v>56</v>
      </c>
      <c r="E835" t="inlineStr">
        <is>
          <t>BBG01R9PW2S4</t>
        </is>
      </c>
    </row>
    <row r="836">
      <c r="A836" t="inlineStr">
        <is>
          <t>BBG01RB3C765 Equity</t>
        </is>
      </c>
      <c r="B836" t="inlineStr">
        <is>
          <t>TSLL US 03/21/25 P57</t>
        </is>
      </c>
      <c r="C836" t="inlineStr">
        <is>
          <t>2025-03-21</t>
        </is>
      </c>
      <c r="D836" t="n">
        <v>57</v>
      </c>
      <c r="E836" t="inlineStr">
        <is>
          <t>BBG01RB3C765</t>
        </is>
      </c>
    </row>
    <row r="837">
      <c r="A837" t="inlineStr">
        <is>
          <t>BBG01RB3C6L0 Equity</t>
        </is>
      </c>
      <c r="B837" t="inlineStr">
        <is>
          <t>TSLL US 03/21/25 P58</t>
        </is>
      </c>
      <c r="C837" t="inlineStr">
        <is>
          <t>2025-03-21</t>
        </is>
      </c>
      <c r="D837" t="n">
        <v>58</v>
      </c>
      <c r="E837" t="inlineStr">
        <is>
          <t>BBG01RB3C6L0</t>
        </is>
      </c>
    </row>
    <row r="838">
      <c r="A838" t="inlineStr">
        <is>
          <t>BBG01RB3CHP2 Equity</t>
        </is>
      </c>
      <c r="B838" t="inlineStr">
        <is>
          <t>TSLL US 03/21/25 P59</t>
        </is>
      </c>
      <c r="C838" t="inlineStr">
        <is>
          <t>2025-03-21</t>
        </is>
      </c>
      <c r="D838" t="n">
        <v>59</v>
      </c>
      <c r="E838" t="inlineStr">
        <is>
          <t>BBG01RB3CHP2</t>
        </is>
      </c>
    </row>
    <row r="839">
      <c r="A839" t="inlineStr">
        <is>
          <t>BBG01RB3C7T0 Equity</t>
        </is>
      </c>
      <c r="B839" t="inlineStr">
        <is>
          <t>TSLL US 03/21/25 P60</t>
        </is>
      </c>
      <c r="C839" t="inlineStr">
        <is>
          <t>2025-03-21</t>
        </is>
      </c>
      <c r="D839" t="n">
        <v>60</v>
      </c>
      <c r="E839" t="inlineStr">
        <is>
          <t>BBG01RB3C7T0</t>
        </is>
      </c>
    </row>
    <row r="840">
      <c r="A840" t="inlineStr">
        <is>
          <t>BBG01RB3C5Z7 Equity</t>
        </is>
      </c>
      <c r="B840" t="inlineStr">
        <is>
          <t>TSLL US 03/21/25 P61</t>
        </is>
      </c>
      <c r="C840" t="inlineStr">
        <is>
          <t>2025-03-21</t>
        </is>
      </c>
      <c r="D840" t="n">
        <v>61</v>
      </c>
      <c r="E840" t="inlineStr">
        <is>
          <t>BBG01RB3C5Z7</t>
        </is>
      </c>
    </row>
    <row r="841">
      <c r="A841" t="inlineStr">
        <is>
          <t>BBG01SP0D0J4 Equity</t>
        </is>
      </c>
      <c r="B841" t="inlineStr">
        <is>
          <t>TSLL US 04/17/25 P1</t>
        </is>
      </c>
      <c r="C841" t="inlineStr">
        <is>
          <t>2025-04-17</t>
        </is>
      </c>
      <c r="D841" t="n">
        <v>1</v>
      </c>
      <c r="E841" t="inlineStr">
        <is>
          <t>BBG01SP0D0J4</t>
        </is>
      </c>
    </row>
    <row r="842">
      <c r="A842" t="inlineStr">
        <is>
          <t>BBG01SP0D1R3 Equity</t>
        </is>
      </c>
      <c r="B842" t="inlineStr">
        <is>
          <t>TSLL US 04/17/25 P2</t>
        </is>
      </c>
      <c r="C842" t="inlineStr">
        <is>
          <t>2025-04-17</t>
        </is>
      </c>
      <c r="D842" t="n">
        <v>2</v>
      </c>
      <c r="E842" t="inlineStr">
        <is>
          <t>BBG01SP0D1R3</t>
        </is>
      </c>
    </row>
    <row r="843">
      <c r="A843" t="inlineStr">
        <is>
          <t>BBG01SP0FJT0 Equity</t>
        </is>
      </c>
      <c r="B843" t="inlineStr">
        <is>
          <t>TSLL US 04/17/25 P3</t>
        </is>
      </c>
      <c r="C843" t="inlineStr">
        <is>
          <t>2025-04-17</t>
        </is>
      </c>
      <c r="D843" t="n">
        <v>3</v>
      </c>
      <c r="E843" t="inlineStr">
        <is>
          <t>BBG01SP0FJT0</t>
        </is>
      </c>
    </row>
    <row r="844">
      <c r="A844" t="inlineStr">
        <is>
          <t>BBG01T1K5P26 Equity</t>
        </is>
      </c>
      <c r="B844" t="inlineStr">
        <is>
          <t>TSLL US 04/17/25 P3.5</t>
        </is>
      </c>
      <c r="C844" t="inlineStr">
        <is>
          <t>2025-04-17</t>
        </is>
      </c>
      <c r="D844" t="n">
        <v>3.5</v>
      </c>
      <c r="E844" t="inlineStr">
        <is>
          <t>BBG01T1K5P26</t>
        </is>
      </c>
    </row>
    <row r="845">
      <c r="A845" t="inlineStr">
        <is>
          <t>BBG01SP0F5V7 Equity</t>
        </is>
      </c>
      <c r="B845" t="inlineStr">
        <is>
          <t>TSLL US 04/17/25 P4</t>
        </is>
      </c>
      <c r="C845" t="inlineStr">
        <is>
          <t>2025-04-17</t>
        </is>
      </c>
      <c r="D845" t="n">
        <v>4</v>
      </c>
      <c r="E845" t="inlineStr">
        <is>
          <t>BBG01SP0F5V7</t>
        </is>
      </c>
    </row>
    <row r="846">
      <c r="A846" t="inlineStr">
        <is>
          <t>BBG01T1K6M86 Equity</t>
        </is>
      </c>
      <c r="B846" t="inlineStr">
        <is>
          <t>TSLL US 04/17/25 P4.5</t>
        </is>
      </c>
      <c r="C846" t="inlineStr">
        <is>
          <t>2025-04-17</t>
        </is>
      </c>
      <c r="D846" t="n">
        <v>4.5</v>
      </c>
      <c r="E846" t="inlineStr">
        <is>
          <t>BBG01T1K6M86</t>
        </is>
      </c>
    </row>
    <row r="847">
      <c r="A847" t="inlineStr">
        <is>
          <t>BBG01SJQH3Z6 Equity</t>
        </is>
      </c>
      <c r="B847" t="inlineStr">
        <is>
          <t>TSLL US 04/17/25 P5</t>
        </is>
      </c>
      <c r="C847" t="inlineStr">
        <is>
          <t>2025-04-17</t>
        </is>
      </c>
      <c r="D847" t="n">
        <v>5</v>
      </c>
      <c r="E847" t="inlineStr">
        <is>
          <t>BBG01SJQH3Z6</t>
        </is>
      </c>
    </row>
    <row r="848">
      <c r="A848" t="inlineStr">
        <is>
          <t>BBG01T1K5NG6 Equity</t>
        </is>
      </c>
      <c r="B848" t="inlineStr">
        <is>
          <t>TSLL US 04/17/25 P5.5</t>
        </is>
      </c>
      <c r="C848" t="inlineStr">
        <is>
          <t>2025-04-17</t>
        </is>
      </c>
      <c r="D848" t="n">
        <v>5.5</v>
      </c>
      <c r="E848" t="inlineStr">
        <is>
          <t>BBG01T1K5NG6</t>
        </is>
      </c>
    </row>
    <row r="849">
      <c r="A849" t="inlineStr">
        <is>
          <t>BBG01SP0FFD5 Equity</t>
        </is>
      </c>
      <c r="B849" t="inlineStr">
        <is>
          <t>TSLL US 04/17/25 P6</t>
        </is>
      </c>
      <c r="C849" t="inlineStr">
        <is>
          <t>2025-04-17</t>
        </is>
      </c>
      <c r="D849" t="n">
        <v>6</v>
      </c>
      <c r="E849" t="inlineStr">
        <is>
          <t>BBG01SP0FFD5</t>
        </is>
      </c>
    </row>
    <row r="850">
      <c r="A850" t="inlineStr">
        <is>
          <t>BBG01T1K5TS0 Equity</t>
        </is>
      </c>
      <c r="B850" t="inlineStr">
        <is>
          <t>TSLL US 04/17/25 P6.5</t>
        </is>
      </c>
      <c r="C850" t="inlineStr">
        <is>
          <t>2025-04-17</t>
        </is>
      </c>
      <c r="D850" t="n">
        <v>6.5</v>
      </c>
      <c r="E850" t="inlineStr">
        <is>
          <t>BBG01T1K5TS0</t>
        </is>
      </c>
    </row>
    <row r="851">
      <c r="A851" t="inlineStr">
        <is>
          <t>BBG01SP0CZX2 Equity</t>
        </is>
      </c>
      <c r="B851" t="inlineStr">
        <is>
          <t>TSLL US 04/17/25 P7</t>
        </is>
      </c>
      <c r="C851" t="inlineStr">
        <is>
          <t>2025-04-17</t>
        </is>
      </c>
      <c r="D851" t="n">
        <v>7</v>
      </c>
      <c r="E851" t="inlineStr">
        <is>
          <t>BBG01SP0CZX2</t>
        </is>
      </c>
    </row>
    <row r="852">
      <c r="A852" t="inlineStr">
        <is>
          <t>BBG01T1K5R68 Equity</t>
        </is>
      </c>
      <c r="B852" t="inlineStr">
        <is>
          <t>TSLL US 04/17/25 P7.5</t>
        </is>
      </c>
      <c r="C852" t="inlineStr">
        <is>
          <t>2025-04-17</t>
        </is>
      </c>
      <c r="D852" t="n">
        <v>7.5</v>
      </c>
      <c r="E852" t="inlineStr">
        <is>
          <t>BBG01T1K5R68</t>
        </is>
      </c>
    </row>
    <row r="853">
      <c r="A853" t="inlineStr">
        <is>
          <t>BBG01SP0D148 Equity</t>
        </is>
      </c>
      <c r="B853" t="inlineStr">
        <is>
          <t>TSLL US 04/17/25 P8</t>
        </is>
      </c>
      <c r="C853" t="inlineStr">
        <is>
          <t>2025-04-17</t>
        </is>
      </c>
      <c r="D853" t="n">
        <v>8</v>
      </c>
      <c r="E853" t="inlineStr">
        <is>
          <t>BBG01SP0D148</t>
        </is>
      </c>
    </row>
    <row r="854">
      <c r="A854" t="inlineStr">
        <is>
          <t>BBG01T1K5VD1 Equity</t>
        </is>
      </c>
      <c r="B854" t="inlineStr">
        <is>
          <t>TSLL US 04/17/25 P8.5</t>
        </is>
      </c>
      <c r="C854" t="inlineStr">
        <is>
          <t>2025-04-17</t>
        </is>
      </c>
      <c r="D854" t="n">
        <v>8.5</v>
      </c>
      <c r="E854" t="inlineStr">
        <is>
          <t>BBG01T1K5VD1</t>
        </is>
      </c>
    </row>
    <row r="855">
      <c r="A855" t="inlineStr">
        <is>
          <t>BBG01SP0F6G2 Equity</t>
        </is>
      </c>
      <c r="B855" t="inlineStr">
        <is>
          <t>TSLL US 04/17/25 P9</t>
        </is>
      </c>
      <c r="C855" t="inlineStr">
        <is>
          <t>2025-04-17</t>
        </is>
      </c>
      <c r="D855" t="n">
        <v>9</v>
      </c>
      <c r="E855" t="inlineStr">
        <is>
          <t>BBG01SP0F6G2</t>
        </is>
      </c>
    </row>
    <row r="856">
      <c r="A856" t="inlineStr">
        <is>
          <t>BBG01T1K5M78 Equity</t>
        </is>
      </c>
      <c r="B856" t="inlineStr">
        <is>
          <t>TSLL US 04/17/25 P9.5</t>
        </is>
      </c>
      <c r="C856" t="inlineStr">
        <is>
          <t>2025-04-17</t>
        </is>
      </c>
      <c r="D856" t="n">
        <v>9.5</v>
      </c>
      <c r="E856" t="inlineStr">
        <is>
          <t>BBG01T1K5M78</t>
        </is>
      </c>
    </row>
    <row r="857">
      <c r="A857" t="inlineStr">
        <is>
          <t>BBG01SG2RRY9 Equity</t>
        </is>
      </c>
      <c r="B857" t="inlineStr">
        <is>
          <t>TSLL US 04/17/25 P10</t>
        </is>
      </c>
      <c r="C857" t="inlineStr">
        <is>
          <t>2025-04-17</t>
        </is>
      </c>
      <c r="D857" t="n">
        <v>10</v>
      </c>
      <c r="E857" t="inlineStr">
        <is>
          <t>BBG01SG2RRY9</t>
        </is>
      </c>
    </row>
    <row r="858">
      <c r="A858" t="inlineStr">
        <is>
          <t>BBG01T1K6NH4 Equity</t>
        </is>
      </c>
      <c r="B858" t="inlineStr">
        <is>
          <t>TSLL US 04/17/25 P10.5</t>
        </is>
      </c>
      <c r="C858" t="inlineStr">
        <is>
          <t>2025-04-17</t>
        </is>
      </c>
      <c r="D858" t="n">
        <v>10.5</v>
      </c>
      <c r="E858" t="inlineStr">
        <is>
          <t>BBG01T1K6NH4</t>
        </is>
      </c>
    </row>
    <row r="859">
      <c r="A859" t="inlineStr">
        <is>
          <t>BBG01SG2RQ35 Equity</t>
        </is>
      </c>
      <c r="B859" t="inlineStr">
        <is>
          <t>TSLL US 04/17/25 P11</t>
        </is>
      </c>
      <c r="C859" t="inlineStr">
        <is>
          <t>2025-04-17</t>
        </is>
      </c>
      <c r="D859" t="n">
        <v>11</v>
      </c>
      <c r="E859" t="inlineStr">
        <is>
          <t>BBG01SG2RQ35</t>
        </is>
      </c>
    </row>
    <row r="860">
      <c r="A860" t="inlineStr">
        <is>
          <t>BBG01T1K6QZ7 Equity</t>
        </is>
      </c>
      <c r="B860" t="inlineStr">
        <is>
          <t>TSLL US 04/17/25 P11.5</t>
        </is>
      </c>
      <c r="C860" t="inlineStr">
        <is>
          <t>2025-04-17</t>
        </is>
      </c>
      <c r="D860" t="n">
        <v>11.5</v>
      </c>
      <c r="E860" t="inlineStr">
        <is>
          <t>BBG01T1K6QZ7</t>
        </is>
      </c>
    </row>
    <row r="861">
      <c r="A861" t="inlineStr">
        <is>
          <t>BBG01SG2RLG2 Equity</t>
        </is>
      </c>
      <c r="B861" t="inlineStr">
        <is>
          <t>TSLL US 04/17/25 P12</t>
        </is>
      </c>
      <c r="C861" t="inlineStr">
        <is>
          <t>2025-04-17</t>
        </is>
      </c>
      <c r="D861" t="n">
        <v>12</v>
      </c>
      <c r="E861" t="inlineStr">
        <is>
          <t>BBG01SG2RLG2</t>
        </is>
      </c>
    </row>
    <row r="862">
      <c r="A862" t="inlineStr">
        <is>
          <t>BBG01T1K5MV1 Equity</t>
        </is>
      </c>
      <c r="B862" t="inlineStr">
        <is>
          <t>TSLL US 04/17/25 P12.5</t>
        </is>
      </c>
      <c r="C862" t="inlineStr">
        <is>
          <t>2025-04-17</t>
        </is>
      </c>
      <c r="D862" t="n">
        <v>12.5</v>
      </c>
      <c r="E862" t="inlineStr">
        <is>
          <t>BBG01T1K5MV1</t>
        </is>
      </c>
    </row>
    <row r="863">
      <c r="A863" t="inlineStr">
        <is>
          <t>BBG01SG2RN96 Equity</t>
        </is>
      </c>
      <c r="B863" t="inlineStr">
        <is>
          <t>TSLL US 04/17/25 P13</t>
        </is>
      </c>
      <c r="C863" t="inlineStr">
        <is>
          <t>2025-04-17</t>
        </is>
      </c>
      <c r="D863" t="n">
        <v>13</v>
      </c>
      <c r="E863" t="inlineStr">
        <is>
          <t>BBG01SG2RN96</t>
        </is>
      </c>
    </row>
    <row r="864">
      <c r="A864" t="inlineStr">
        <is>
          <t>BBG01T1K5RT3 Equity</t>
        </is>
      </c>
      <c r="B864" t="inlineStr">
        <is>
          <t>TSLL US 04/17/25 P13.5</t>
        </is>
      </c>
      <c r="C864" t="inlineStr">
        <is>
          <t>2025-04-17</t>
        </is>
      </c>
      <c r="D864" t="n">
        <v>13.5</v>
      </c>
      <c r="E864" t="inlineStr">
        <is>
          <t>BBG01T1K5RT3</t>
        </is>
      </c>
    </row>
    <row r="865">
      <c r="A865" t="inlineStr">
        <is>
          <t>BBG01SG2S9F9 Equity</t>
        </is>
      </c>
      <c r="B865" t="inlineStr">
        <is>
          <t>TSLL US 04/17/25 P14</t>
        </is>
      </c>
      <c r="C865" t="inlineStr">
        <is>
          <t>2025-04-17</t>
        </is>
      </c>
      <c r="D865" t="n">
        <v>14</v>
      </c>
      <c r="E865" t="inlineStr">
        <is>
          <t>BBG01SG2S9F9</t>
        </is>
      </c>
    </row>
    <row r="866">
      <c r="A866" t="inlineStr">
        <is>
          <t>BBG01T1K6MW9 Equity</t>
        </is>
      </c>
      <c r="B866" t="inlineStr">
        <is>
          <t>TSLL US 04/17/25 P14.5</t>
        </is>
      </c>
      <c r="C866" t="inlineStr">
        <is>
          <t>2025-04-17</t>
        </is>
      </c>
      <c r="D866" t="n">
        <v>14.5</v>
      </c>
      <c r="E866" t="inlineStr">
        <is>
          <t>BBG01T1K6MW9</t>
        </is>
      </c>
    </row>
    <row r="867">
      <c r="A867" t="inlineStr">
        <is>
          <t>BBG01SG2S852 Equity</t>
        </is>
      </c>
      <c r="B867" t="inlineStr">
        <is>
          <t>TSLL US 04/17/25 P15</t>
        </is>
      </c>
      <c r="C867" t="inlineStr">
        <is>
          <t>2025-04-17</t>
        </is>
      </c>
      <c r="D867" t="n">
        <v>15</v>
      </c>
      <c r="E867" t="inlineStr">
        <is>
          <t>BBG01SG2S852</t>
        </is>
      </c>
    </row>
    <row r="868">
      <c r="A868" t="inlineStr">
        <is>
          <t>BBG01SG2RWX9 Equity</t>
        </is>
      </c>
      <c r="B868" t="inlineStr">
        <is>
          <t>TSLL US 04/17/25 P16</t>
        </is>
      </c>
      <c r="C868" t="inlineStr">
        <is>
          <t>2025-04-17</t>
        </is>
      </c>
      <c r="D868" t="n">
        <v>16</v>
      </c>
      <c r="E868" t="inlineStr">
        <is>
          <t>BBG01SG2RWX9</t>
        </is>
      </c>
    </row>
    <row r="869">
      <c r="A869" t="inlineStr">
        <is>
          <t>BBG01SG2RPH2 Equity</t>
        </is>
      </c>
      <c r="B869" t="inlineStr">
        <is>
          <t>TSLL US 04/17/25 P17</t>
        </is>
      </c>
      <c r="C869" t="inlineStr">
        <is>
          <t>2025-04-17</t>
        </is>
      </c>
      <c r="D869" t="n">
        <v>17</v>
      </c>
      <c r="E869" t="inlineStr">
        <is>
          <t>BBG01SG2RPH2</t>
        </is>
      </c>
    </row>
    <row r="870">
      <c r="A870" t="inlineStr">
        <is>
          <t>BBG01SG2RMP0 Equity</t>
        </is>
      </c>
      <c r="B870" t="inlineStr">
        <is>
          <t>TSLL US 04/17/25 P18</t>
        </is>
      </c>
      <c r="C870" t="inlineStr">
        <is>
          <t>2025-04-17</t>
        </is>
      </c>
      <c r="D870" t="n">
        <v>18</v>
      </c>
      <c r="E870" t="inlineStr">
        <is>
          <t>BBG01SG2RMP0</t>
        </is>
      </c>
    </row>
    <row r="871">
      <c r="A871" t="inlineStr">
        <is>
          <t>BBG01SG2RY47 Equity</t>
        </is>
      </c>
      <c r="B871" t="inlineStr">
        <is>
          <t>TSLL US 04/17/25 P19</t>
        </is>
      </c>
      <c r="C871" t="inlineStr">
        <is>
          <t>2025-04-17</t>
        </is>
      </c>
      <c r="D871" t="n">
        <v>19</v>
      </c>
      <c r="E871" t="inlineStr">
        <is>
          <t>BBG01SG2RY47</t>
        </is>
      </c>
    </row>
    <row r="872">
      <c r="A872" t="inlineStr">
        <is>
          <t>BBG01SG2RQQ0 Equity</t>
        </is>
      </c>
      <c r="B872" t="inlineStr">
        <is>
          <t>TSLL US 04/17/25 P20</t>
        </is>
      </c>
      <c r="C872" t="inlineStr">
        <is>
          <t>2025-04-17</t>
        </is>
      </c>
      <c r="D872" t="n">
        <v>20</v>
      </c>
      <c r="E872" t="inlineStr">
        <is>
          <t>BBG01SG2RQQ0</t>
        </is>
      </c>
    </row>
    <row r="873">
      <c r="A873" t="inlineStr">
        <is>
          <t>BBG01SG2RYR2 Equity</t>
        </is>
      </c>
      <c r="B873" t="inlineStr">
        <is>
          <t>TSLL US 04/17/25 P21</t>
        </is>
      </c>
      <c r="C873" t="inlineStr">
        <is>
          <t>2025-04-17</t>
        </is>
      </c>
      <c r="D873" t="n">
        <v>21</v>
      </c>
      <c r="E873" t="inlineStr">
        <is>
          <t>BBG01SG2RYR2</t>
        </is>
      </c>
    </row>
    <row r="874">
      <c r="A874" t="inlineStr">
        <is>
          <t>BBG01SG2RM25 Equity</t>
        </is>
      </c>
      <c r="B874" t="inlineStr">
        <is>
          <t>TSLL US 04/17/25 P22</t>
        </is>
      </c>
      <c r="C874" t="inlineStr">
        <is>
          <t>2025-04-17</t>
        </is>
      </c>
      <c r="D874" t="n">
        <v>22</v>
      </c>
      <c r="E874" t="inlineStr">
        <is>
          <t>BBG01SG2RM25</t>
        </is>
      </c>
    </row>
    <row r="875">
      <c r="A875" t="inlineStr">
        <is>
          <t>BBG01SG2SJC0 Equity</t>
        </is>
      </c>
      <c r="B875" t="inlineStr">
        <is>
          <t>TSLL US 04/17/25 P23</t>
        </is>
      </c>
      <c r="C875" t="inlineStr">
        <is>
          <t>2025-04-17</t>
        </is>
      </c>
      <c r="D875" t="n">
        <v>23</v>
      </c>
      <c r="E875" t="inlineStr">
        <is>
          <t>BBG01SG2SJC0</t>
        </is>
      </c>
    </row>
    <row r="876">
      <c r="A876" t="inlineStr">
        <is>
          <t>BBG01SG2SB19 Equity</t>
        </is>
      </c>
      <c r="B876" t="inlineStr">
        <is>
          <t>TSLL US 04/17/25 P24</t>
        </is>
      </c>
      <c r="C876" t="inlineStr">
        <is>
          <t>2025-04-17</t>
        </is>
      </c>
      <c r="D876" t="n">
        <v>24</v>
      </c>
      <c r="E876" t="inlineStr">
        <is>
          <t>BBG01SG2SB19</t>
        </is>
      </c>
    </row>
    <row r="877">
      <c r="A877" t="inlineStr">
        <is>
          <t>BBG01SG2RZC5 Equity</t>
        </is>
      </c>
      <c r="B877" t="inlineStr">
        <is>
          <t>TSLL US 04/17/25 P25</t>
        </is>
      </c>
      <c r="C877" t="inlineStr">
        <is>
          <t>2025-04-17</t>
        </is>
      </c>
      <c r="D877" t="n">
        <v>25</v>
      </c>
      <c r="E877" t="inlineStr">
        <is>
          <t>BBG01SG2RZC5</t>
        </is>
      </c>
    </row>
    <row r="878">
      <c r="A878" t="inlineStr">
        <is>
          <t>BBG01SG2RXJ3 Equity</t>
        </is>
      </c>
      <c r="B878" t="inlineStr">
        <is>
          <t>TSLL US 04/17/25 P26</t>
        </is>
      </c>
      <c r="C878" t="inlineStr">
        <is>
          <t>2025-04-17</t>
        </is>
      </c>
      <c r="D878" t="n">
        <v>26</v>
      </c>
      <c r="E878" t="inlineStr">
        <is>
          <t>BBG01SG2RXJ3</t>
        </is>
      </c>
    </row>
    <row r="879">
      <c r="A879" t="inlineStr">
        <is>
          <t>BBG01SG2RNX9 Equity</t>
        </is>
      </c>
      <c r="B879" t="inlineStr">
        <is>
          <t>TSLL US 04/17/25 P27</t>
        </is>
      </c>
      <c r="C879" t="inlineStr">
        <is>
          <t>2025-04-17</t>
        </is>
      </c>
      <c r="D879" t="n">
        <v>27</v>
      </c>
      <c r="E879" t="inlineStr">
        <is>
          <t>BBG01SG2RNX9</t>
        </is>
      </c>
    </row>
    <row r="880">
      <c r="A880" t="inlineStr">
        <is>
          <t>BBG01SG2SBN5 Equity</t>
        </is>
      </c>
      <c r="B880" t="inlineStr">
        <is>
          <t>TSLL US 04/17/25 P28</t>
        </is>
      </c>
      <c r="C880" t="inlineStr">
        <is>
          <t>2025-04-17</t>
        </is>
      </c>
      <c r="D880" t="n">
        <v>28</v>
      </c>
      <c r="E880" t="inlineStr">
        <is>
          <t>BBG01SG2SBN5</t>
        </is>
      </c>
    </row>
    <row r="881">
      <c r="A881" t="inlineStr">
        <is>
          <t>BBG01SG2S8S7 Equity</t>
        </is>
      </c>
      <c r="B881" t="inlineStr">
        <is>
          <t>TSLL US 04/17/25 P29</t>
        </is>
      </c>
      <c r="C881" t="inlineStr">
        <is>
          <t>2025-04-17</t>
        </is>
      </c>
      <c r="D881" t="n">
        <v>29</v>
      </c>
      <c r="E881" t="inlineStr">
        <is>
          <t>BBG01SG2S8S7</t>
        </is>
      </c>
    </row>
    <row r="882">
      <c r="A882" t="inlineStr">
        <is>
          <t>BBG01SG2RRB4 Equity</t>
        </is>
      </c>
      <c r="B882" t="inlineStr">
        <is>
          <t>TSLL US 04/17/25 P30</t>
        </is>
      </c>
      <c r="C882" t="inlineStr">
        <is>
          <t>2025-04-17</t>
        </is>
      </c>
      <c r="D882" t="n">
        <v>30</v>
      </c>
      <c r="E882" t="inlineStr">
        <is>
          <t>BBG01SG2RRB4</t>
        </is>
      </c>
    </row>
    <row r="883">
      <c r="A883" t="inlineStr">
        <is>
          <t>BBG01SZMWCF2 Equity</t>
        </is>
      </c>
      <c r="B883" t="inlineStr">
        <is>
          <t>TSLL US 05/16/25 P1</t>
        </is>
      </c>
      <c r="C883" t="inlineStr">
        <is>
          <t>2025-05-16</t>
        </is>
      </c>
      <c r="D883" t="n">
        <v>1</v>
      </c>
      <c r="E883" t="inlineStr">
        <is>
          <t>BBG01SZMWCF2</t>
        </is>
      </c>
    </row>
    <row r="884">
      <c r="A884" t="inlineStr">
        <is>
          <t>BBG01SZMVT39 Equity</t>
        </is>
      </c>
      <c r="B884" t="inlineStr">
        <is>
          <t>TSLL US 05/16/25 P2</t>
        </is>
      </c>
      <c r="C884" t="inlineStr">
        <is>
          <t>2025-05-16</t>
        </is>
      </c>
      <c r="D884" t="n">
        <v>2</v>
      </c>
      <c r="E884" t="inlineStr">
        <is>
          <t>BBG01SZMVT39</t>
        </is>
      </c>
    </row>
    <row r="885">
      <c r="A885" t="inlineStr">
        <is>
          <t>BBG01SZMVVB5 Equity</t>
        </is>
      </c>
      <c r="B885" t="inlineStr">
        <is>
          <t>TSLL US 05/16/25 P3</t>
        </is>
      </c>
      <c r="C885" t="inlineStr">
        <is>
          <t>2025-05-16</t>
        </is>
      </c>
      <c r="D885" t="n">
        <v>3</v>
      </c>
      <c r="E885" t="inlineStr">
        <is>
          <t>BBG01SZMVVB5</t>
        </is>
      </c>
    </row>
    <row r="886">
      <c r="A886" t="inlineStr">
        <is>
          <t>BBG01SZMTZG4 Equity</t>
        </is>
      </c>
      <c r="B886" t="inlineStr">
        <is>
          <t>TSLL US 05/16/25 P4</t>
        </is>
      </c>
      <c r="C886" t="inlineStr">
        <is>
          <t>2025-05-16</t>
        </is>
      </c>
      <c r="D886" t="n">
        <v>4</v>
      </c>
      <c r="E886" t="inlineStr">
        <is>
          <t>BBG01SZMTZG4</t>
        </is>
      </c>
    </row>
    <row r="887">
      <c r="A887" t="inlineStr">
        <is>
          <t>BBG01SZMWD15 Equity</t>
        </is>
      </c>
      <c r="B887" t="inlineStr">
        <is>
          <t>TSLL US 05/16/25 P5</t>
        </is>
      </c>
      <c r="C887" t="inlineStr">
        <is>
          <t>2025-05-16</t>
        </is>
      </c>
      <c r="D887" t="n">
        <v>5</v>
      </c>
      <c r="E887" t="inlineStr">
        <is>
          <t>BBG01SZMWD15</t>
        </is>
      </c>
    </row>
    <row r="888">
      <c r="A888" t="inlineStr">
        <is>
          <t>BBG01SZMV0P8 Equity</t>
        </is>
      </c>
      <c r="B888" t="inlineStr">
        <is>
          <t>TSLL US 05/16/25 P6</t>
        </is>
      </c>
      <c r="C888" t="inlineStr">
        <is>
          <t>2025-05-16</t>
        </is>
      </c>
      <c r="D888" t="n">
        <v>6</v>
      </c>
      <c r="E888" t="inlineStr">
        <is>
          <t>BBG01SZMV0P8</t>
        </is>
      </c>
    </row>
    <row r="889">
      <c r="A889" t="inlineStr">
        <is>
          <t>BBG01SZMVTQ4 Equity</t>
        </is>
      </c>
      <c r="B889" t="inlineStr">
        <is>
          <t>TSLL US 05/16/25 P7</t>
        </is>
      </c>
      <c r="C889" t="inlineStr">
        <is>
          <t>2025-05-16</t>
        </is>
      </c>
      <c r="D889" t="n">
        <v>7</v>
      </c>
      <c r="E889" t="inlineStr">
        <is>
          <t>BBG01SZMVTQ4</t>
        </is>
      </c>
    </row>
    <row r="890">
      <c r="A890" t="inlineStr">
        <is>
          <t>BBG01SZMWMR7 Equity</t>
        </is>
      </c>
      <c r="B890" t="inlineStr">
        <is>
          <t>TSLL US 05/16/25 P8</t>
        </is>
      </c>
      <c r="C890" t="inlineStr">
        <is>
          <t>2025-05-16</t>
        </is>
      </c>
      <c r="D890" t="n">
        <v>8</v>
      </c>
      <c r="E890" t="inlineStr">
        <is>
          <t>BBG01SZMWMR7</t>
        </is>
      </c>
    </row>
    <row r="891">
      <c r="A891" t="inlineStr">
        <is>
          <t>BBG01SZMW6F5 Equity</t>
        </is>
      </c>
      <c r="B891" t="inlineStr">
        <is>
          <t>TSLL US 05/16/25 P9</t>
        </is>
      </c>
      <c r="C891" t="inlineStr">
        <is>
          <t>2025-05-16</t>
        </is>
      </c>
      <c r="D891" t="n">
        <v>9</v>
      </c>
      <c r="E891" t="inlineStr">
        <is>
          <t>BBG01SZMW6F5</t>
        </is>
      </c>
    </row>
    <row r="892">
      <c r="A892" t="inlineStr">
        <is>
          <t>BBG01SZMW5T2 Equity</t>
        </is>
      </c>
      <c r="B892" t="inlineStr">
        <is>
          <t>TSLL US 05/16/25 P10</t>
        </is>
      </c>
      <c r="C892" t="inlineStr">
        <is>
          <t>2025-05-16</t>
        </is>
      </c>
      <c r="D892" t="n">
        <v>10</v>
      </c>
      <c r="E892" t="inlineStr">
        <is>
          <t>BBG01SZMW5T2</t>
        </is>
      </c>
    </row>
    <row r="893">
      <c r="A893" t="inlineStr">
        <is>
          <t>BBG01SZMWM42 Equity</t>
        </is>
      </c>
      <c r="B893" t="inlineStr">
        <is>
          <t>TSLL US 05/16/25 P11</t>
        </is>
      </c>
      <c r="C893" t="inlineStr">
        <is>
          <t>2025-05-16</t>
        </is>
      </c>
      <c r="D893" t="n">
        <v>11</v>
      </c>
      <c r="E893" t="inlineStr">
        <is>
          <t>BBG01SZMWM42</t>
        </is>
      </c>
    </row>
    <row r="894">
      <c r="A894" t="inlineStr">
        <is>
          <t>BBG01SZMVSH6 Equity</t>
        </is>
      </c>
      <c r="B894" t="inlineStr">
        <is>
          <t>TSLL US 05/16/25 P12</t>
        </is>
      </c>
      <c r="C894" t="inlineStr">
        <is>
          <t>2025-05-16</t>
        </is>
      </c>
      <c r="D894" t="n">
        <v>12</v>
      </c>
      <c r="E894" t="inlineStr">
        <is>
          <t>BBG01SZMVSH6</t>
        </is>
      </c>
    </row>
    <row r="895">
      <c r="A895" t="inlineStr">
        <is>
          <t>BBG01SZMWX75 Equity</t>
        </is>
      </c>
      <c r="B895" t="inlineStr">
        <is>
          <t>TSLL US 05/16/25 P13</t>
        </is>
      </c>
      <c r="C895" t="inlineStr">
        <is>
          <t>2025-05-16</t>
        </is>
      </c>
      <c r="D895" t="n">
        <v>13</v>
      </c>
      <c r="E895" t="inlineStr">
        <is>
          <t>BBG01SZMWX75</t>
        </is>
      </c>
    </row>
    <row r="896">
      <c r="A896" t="inlineStr">
        <is>
          <t>BBG01SZMV023 Equity</t>
        </is>
      </c>
      <c r="B896" t="inlineStr">
        <is>
          <t>TSLL US 05/16/25 P14</t>
        </is>
      </c>
      <c r="C896" t="inlineStr">
        <is>
          <t>2025-05-16</t>
        </is>
      </c>
      <c r="D896" t="n">
        <v>14</v>
      </c>
      <c r="E896" t="inlineStr">
        <is>
          <t>BBG01SZMV023</t>
        </is>
      </c>
    </row>
    <row r="897">
      <c r="A897" t="inlineStr">
        <is>
          <t>BBG01SZMWBT9 Equity</t>
        </is>
      </c>
      <c r="B897" t="inlineStr">
        <is>
          <t>TSLL US 05/16/25 P15</t>
        </is>
      </c>
      <c r="C897" t="inlineStr">
        <is>
          <t>2025-05-16</t>
        </is>
      </c>
      <c r="D897" t="n">
        <v>15</v>
      </c>
      <c r="E897" t="inlineStr">
        <is>
          <t>BBG01SZMWBT9</t>
        </is>
      </c>
    </row>
    <row r="898">
      <c r="A898" t="inlineStr">
        <is>
          <t>BBG01T1K5BK7 Equity</t>
        </is>
      </c>
      <c r="B898" t="inlineStr">
        <is>
          <t>TSLL US 05/16/25 P16</t>
        </is>
      </c>
      <c r="C898" t="inlineStr">
        <is>
          <t>2025-05-16</t>
        </is>
      </c>
      <c r="D898" t="n">
        <v>16</v>
      </c>
      <c r="E898" t="inlineStr">
        <is>
          <t>BBG01T1K5BK7</t>
        </is>
      </c>
    </row>
    <row r="899">
      <c r="A899" t="inlineStr">
        <is>
          <t>BBG01T1K59B2 Equity</t>
        </is>
      </c>
      <c r="B899" t="inlineStr">
        <is>
          <t>TSLL US 05/16/25 P17</t>
        </is>
      </c>
      <c r="C899" t="inlineStr">
        <is>
          <t>2025-05-16</t>
        </is>
      </c>
      <c r="D899" t="n">
        <v>17</v>
      </c>
      <c r="E899" t="inlineStr">
        <is>
          <t>BBG01T1K59B2</t>
        </is>
      </c>
    </row>
    <row r="900">
      <c r="A900" t="inlineStr">
        <is>
          <t>BBG01T1K59Y7 Equity</t>
        </is>
      </c>
      <c r="B900" t="inlineStr">
        <is>
          <t>TSLL US 05/16/25 P18</t>
        </is>
      </c>
      <c r="C900" t="inlineStr">
        <is>
          <t>2025-05-16</t>
        </is>
      </c>
      <c r="D900" t="n">
        <v>18</v>
      </c>
      <c r="E900" t="inlineStr">
        <is>
          <t>BBG01T1K59Y7</t>
        </is>
      </c>
    </row>
    <row r="901">
      <c r="A901" t="inlineStr">
        <is>
          <t>BBG01T2995D8 Equity</t>
        </is>
      </c>
      <c r="B901" t="inlineStr">
        <is>
          <t>TSLL US 05/16/25 P19</t>
        </is>
      </c>
      <c r="C901" t="inlineStr">
        <is>
          <t>2025-05-16</t>
        </is>
      </c>
      <c r="D901" t="n">
        <v>19</v>
      </c>
      <c r="E901" t="inlineStr">
        <is>
          <t>BBG01T2995D8</t>
        </is>
      </c>
    </row>
    <row r="902">
      <c r="A902" t="inlineStr">
        <is>
          <t>BBG01T2994S5 Equity</t>
        </is>
      </c>
      <c r="B902" t="inlineStr">
        <is>
          <t>TSLL US 05/16/25 P20</t>
        </is>
      </c>
      <c r="C902" t="inlineStr">
        <is>
          <t>2025-05-16</t>
        </is>
      </c>
      <c r="D902" t="n">
        <v>20</v>
      </c>
      <c r="E902" t="inlineStr">
        <is>
          <t>BBG01T2994S5</t>
        </is>
      </c>
    </row>
    <row r="903">
      <c r="A903" t="inlineStr">
        <is>
          <t>BBG01T299450 Equity</t>
        </is>
      </c>
      <c r="B903" t="inlineStr">
        <is>
          <t>TSLL US 05/16/25 P21</t>
        </is>
      </c>
      <c r="C903" t="inlineStr">
        <is>
          <t>2025-05-16</t>
        </is>
      </c>
      <c r="D903" t="n">
        <v>21</v>
      </c>
      <c r="E903" t="inlineStr">
        <is>
          <t>BBG01T299450</t>
        </is>
      </c>
    </row>
    <row r="904">
      <c r="A904" t="inlineStr">
        <is>
          <t>BBG01QCXYQJ0 Equity</t>
        </is>
      </c>
      <c r="B904" t="inlineStr">
        <is>
          <t>TSLL US 06/20/25 P0.7</t>
        </is>
      </c>
      <c r="C904" t="inlineStr">
        <is>
          <t>2025-06-20</t>
        </is>
      </c>
      <c r="D904" t="n">
        <v>0.7</v>
      </c>
      <c r="E904" t="inlineStr">
        <is>
          <t>BBG01QCXYQJ0</t>
        </is>
      </c>
    </row>
    <row r="905">
      <c r="A905" t="inlineStr">
        <is>
          <t>BBG01SP0G617 Equity</t>
        </is>
      </c>
      <c r="B905" t="inlineStr">
        <is>
          <t>TSLL US 06/20/25 P1</t>
        </is>
      </c>
      <c r="C905" t="inlineStr">
        <is>
          <t>2025-06-20</t>
        </is>
      </c>
      <c r="D905" t="n">
        <v>1</v>
      </c>
      <c r="E905" t="inlineStr">
        <is>
          <t>BBG01SP0G617</t>
        </is>
      </c>
    </row>
    <row r="906">
      <c r="A906" t="inlineStr">
        <is>
          <t>BBG01QCXYCP4 Equity</t>
        </is>
      </c>
      <c r="B906" t="inlineStr">
        <is>
          <t>TSLL US 06/20/25 P1.7</t>
        </is>
      </c>
      <c r="C906" t="inlineStr">
        <is>
          <t>2025-06-20</t>
        </is>
      </c>
      <c r="D906" t="n">
        <v>1.7</v>
      </c>
      <c r="E906" t="inlineStr">
        <is>
          <t>BBG01QCXYCP4</t>
        </is>
      </c>
    </row>
    <row r="907">
      <c r="A907" t="inlineStr">
        <is>
          <t>BBG01SP0F2V4 Equity</t>
        </is>
      </c>
      <c r="B907" t="inlineStr">
        <is>
          <t>TSLL US 06/20/25 P2</t>
        </is>
      </c>
      <c r="C907" t="inlineStr">
        <is>
          <t>2025-06-20</t>
        </is>
      </c>
      <c r="D907" t="n">
        <v>2</v>
      </c>
      <c r="E907" t="inlineStr">
        <is>
          <t>BBG01SP0F2V4</t>
        </is>
      </c>
    </row>
    <row r="908">
      <c r="A908" t="inlineStr">
        <is>
          <t>BBG01QCXXPD9 Equity</t>
        </is>
      </c>
      <c r="B908" t="inlineStr">
        <is>
          <t>TSLL US 06/20/25 P2.7</t>
        </is>
      </c>
      <c r="C908" t="inlineStr">
        <is>
          <t>2025-06-20</t>
        </is>
      </c>
      <c r="D908" t="n">
        <v>2.7</v>
      </c>
      <c r="E908" t="inlineStr">
        <is>
          <t>BBG01QCXXPD9</t>
        </is>
      </c>
    </row>
    <row r="909">
      <c r="A909" t="inlineStr">
        <is>
          <t>BBG01SP0G5F4 Equity</t>
        </is>
      </c>
      <c r="B909" t="inlineStr">
        <is>
          <t>TSLL US 06/20/25 P3</t>
        </is>
      </c>
      <c r="C909" t="inlineStr">
        <is>
          <t>2025-06-20</t>
        </is>
      </c>
      <c r="D909" t="n">
        <v>3</v>
      </c>
      <c r="E909" t="inlineStr">
        <is>
          <t>BBG01SP0G5F4</t>
        </is>
      </c>
    </row>
    <row r="910">
      <c r="A910" t="inlineStr">
        <is>
          <t>BBG01QCXXNS8 Equity</t>
        </is>
      </c>
      <c r="B910" t="inlineStr">
        <is>
          <t>TSLL US 06/20/25 P3.7</t>
        </is>
      </c>
      <c r="C910" t="inlineStr">
        <is>
          <t>2025-06-20</t>
        </is>
      </c>
      <c r="D910" t="n">
        <v>3.7</v>
      </c>
      <c r="E910" t="inlineStr">
        <is>
          <t>BBG01QCXXNS8</t>
        </is>
      </c>
    </row>
    <row r="911">
      <c r="A911" t="inlineStr">
        <is>
          <t>BBG01SP0G4T2 Equity</t>
        </is>
      </c>
      <c r="B911" t="inlineStr">
        <is>
          <t>TSLL US 06/20/25 P4</t>
        </is>
      </c>
      <c r="C911" t="inlineStr">
        <is>
          <t>2025-06-20</t>
        </is>
      </c>
      <c r="D911" t="n">
        <v>4</v>
      </c>
      <c r="E911" t="inlineStr">
        <is>
          <t>BBG01SP0G4T2</t>
        </is>
      </c>
    </row>
    <row r="912">
      <c r="A912" t="inlineStr">
        <is>
          <t>BBG01QCXYR44 Equity</t>
        </is>
      </c>
      <c r="B912" t="inlineStr">
        <is>
          <t>TSLL US 06/20/25 P4.7</t>
        </is>
      </c>
      <c r="C912" t="inlineStr">
        <is>
          <t>2025-06-20</t>
        </is>
      </c>
      <c r="D912" t="n">
        <v>4.7</v>
      </c>
      <c r="E912" t="inlineStr">
        <is>
          <t>BBG01QCXYR44</t>
        </is>
      </c>
    </row>
    <row r="913">
      <c r="A913" t="inlineStr">
        <is>
          <t>BBG01SP0F271 Equity</t>
        </is>
      </c>
      <c r="B913" t="inlineStr">
        <is>
          <t>TSLL US 06/20/25 P5</t>
        </is>
      </c>
      <c r="C913" t="inlineStr">
        <is>
          <t>2025-06-20</t>
        </is>
      </c>
      <c r="D913" t="n">
        <v>5</v>
      </c>
      <c r="E913" t="inlineStr">
        <is>
          <t>BBG01SP0F271</t>
        </is>
      </c>
    </row>
    <row r="914">
      <c r="A914" t="inlineStr">
        <is>
          <t>BBG01QCXZ0S6 Equity</t>
        </is>
      </c>
      <c r="B914" t="inlineStr">
        <is>
          <t>TSLL US 06/20/25 P5.7</t>
        </is>
      </c>
      <c r="C914" t="inlineStr">
        <is>
          <t>2025-06-20</t>
        </is>
      </c>
      <c r="D914" t="n">
        <v>5.7</v>
      </c>
      <c r="E914" t="inlineStr">
        <is>
          <t>BBG01QCXZ0S6</t>
        </is>
      </c>
    </row>
    <row r="915">
      <c r="A915" t="inlineStr">
        <is>
          <t>BBG01QCXXN53 Equity</t>
        </is>
      </c>
      <c r="B915" t="inlineStr">
        <is>
          <t>TSLL US 06/20/25 P6.7</t>
        </is>
      </c>
      <c r="C915" t="inlineStr">
        <is>
          <t>2025-06-20</t>
        </is>
      </c>
      <c r="D915" t="n">
        <v>6.7</v>
      </c>
      <c r="E915" t="inlineStr">
        <is>
          <t>BBG01QCXXN53</t>
        </is>
      </c>
    </row>
    <row r="916">
      <c r="A916" t="inlineStr">
        <is>
          <t>BBG01QCXYDX3 Equity</t>
        </is>
      </c>
      <c r="B916" t="inlineStr">
        <is>
          <t>TSLL US 06/20/25 P7.7</t>
        </is>
      </c>
      <c r="C916" t="inlineStr">
        <is>
          <t>2025-06-20</t>
        </is>
      </c>
      <c r="D916" t="n">
        <v>7.7</v>
      </c>
      <c r="E916" t="inlineStr">
        <is>
          <t>BBG01QCXYDX3</t>
        </is>
      </c>
    </row>
    <row r="917">
      <c r="A917" t="inlineStr">
        <is>
          <t>BBG01QCXYRW3 Equity</t>
        </is>
      </c>
      <c r="B917" t="inlineStr">
        <is>
          <t>TSLL US 06/20/25 P8.7</t>
        </is>
      </c>
      <c r="C917" t="inlineStr">
        <is>
          <t>2025-06-20</t>
        </is>
      </c>
      <c r="D917" t="n">
        <v>8.699999999999999</v>
      </c>
      <c r="E917" t="inlineStr">
        <is>
          <t>BBG01QCXYRW3</t>
        </is>
      </c>
    </row>
    <row r="918">
      <c r="A918" t="inlineStr">
        <is>
          <t>BBG01QCXYZK8 Equity</t>
        </is>
      </c>
      <c r="B918" t="inlineStr">
        <is>
          <t>TSLL US 06/20/25 P9.7</t>
        </is>
      </c>
      <c r="C918" t="inlineStr">
        <is>
          <t>2025-06-20</t>
        </is>
      </c>
      <c r="D918" t="n">
        <v>9.699999999999999</v>
      </c>
      <c r="E918" t="inlineStr">
        <is>
          <t>BBG01QCXYZK8</t>
        </is>
      </c>
    </row>
    <row r="919">
      <c r="A919" t="inlineStr">
        <is>
          <t>BBG01QCXYPX6 Equity</t>
        </is>
      </c>
      <c r="B919" t="inlineStr">
        <is>
          <t>TSLL US 06/20/25 P10.7</t>
        </is>
      </c>
      <c r="C919" t="inlineStr">
        <is>
          <t>2025-06-20</t>
        </is>
      </c>
      <c r="D919" t="n">
        <v>10.7</v>
      </c>
      <c r="E919" t="inlineStr">
        <is>
          <t>BBG01QCXYPX6</t>
        </is>
      </c>
    </row>
    <row r="920">
      <c r="A920" t="inlineStr">
        <is>
          <t>BBG01QCXYYY6 Equity</t>
        </is>
      </c>
      <c r="B920" t="inlineStr">
        <is>
          <t>TSLL US 06/20/25 P11.7</t>
        </is>
      </c>
      <c r="C920" t="inlineStr">
        <is>
          <t>2025-06-20</t>
        </is>
      </c>
      <c r="D920" t="n">
        <v>11.7</v>
      </c>
      <c r="E920" t="inlineStr">
        <is>
          <t>BBG01QCXYYY6</t>
        </is>
      </c>
    </row>
    <row r="921">
      <c r="A921" t="inlineStr">
        <is>
          <t>BBG01QCXXMK8 Equity</t>
        </is>
      </c>
      <c r="B921" t="inlineStr">
        <is>
          <t>TSLL US 06/20/25 P12.7</t>
        </is>
      </c>
      <c r="C921" t="inlineStr">
        <is>
          <t>2025-06-20</t>
        </is>
      </c>
      <c r="D921" t="n">
        <v>12.7</v>
      </c>
      <c r="E921" t="inlineStr">
        <is>
          <t>BBG01QCXXMK8</t>
        </is>
      </c>
    </row>
    <row r="922">
      <c r="A922" t="inlineStr">
        <is>
          <t>BBG01QCXZ9S7 Equity</t>
        </is>
      </c>
      <c r="B922" t="inlineStr">
        <is>
          <t>TSLL US 06/20/25 P13.7</t>
        </is>
      </c>
      <c r="C922" t="inlineStr">
        <is>
          <t>2025-06-20</t>
        </is>
      </c>
      <c r="D922" t="n">
        <v>13.7</v>
      </c>
      <c r="E922" t="inlineStr">
        <is>
          <t>BBG01QCXZ9S7</t>
        </is>
      </c>
    </row>
    <row r="923">
      <c r="A923" t="inlineStr">
        <is>
          <t>BBG01QCXZ952 Equity</t>
        </is>
      </c>
      <c r="B923" t="inlineStr">
        <is>
          <t>TSLL US 06/20/25 P14.7</t>
        </is>
      </c>
      <c r="C923" t="inlineStr">
        <is>
          <t>2025-06-20</t>
        </is>
      </c>
      <c r="D923" t="n">
        <v>14.7</v>
      </c>
      <c r="E923" t="inlineStr">
        <is>
          <t>BBG01QCXZ952</t>
        </is>
      </c>
    </row>
    <row r="924">
      <c r="A924" t="inlineStr">
        <is>
          <t>BBG01QCXZ1D0 Equity</t>
        </is>
      </c>
      <c r="B924" t="inlineStr">
        <is>
          <t>TSLL US 06/20/25 P15.7</t>
        </is>
      </c>
      <c r="C924" t="inlineStr">
        <is>
          <t>2025-06-20</t>
        </is>
      </c>
      <c r="D924" t="n">
        <v>15.7</v>
      </c>
      <c r="E924" t="inlineStr">
        <is>
          <t>BBG01QCXZ1D0</t>
        </is>
      </c>
    </row>
    <row r="925">
      <c r="A925" t="inlineStr">
        <is>
          <t>BBG01QCXYFJ4 Equity</t>
        </is>
      </c>
      <c r="B925" t="inlineStr">
        <is>
          <t>TSLL US 06/20/25 P16.7</t>
        </is>
      </c>
      <c r="C925" t="inlineStr">
        <is>
          <t>2025-06-20</t>
        </is>
      </c>
      <c r="D925" t="n">
        <v>16.7</v>
      </c>
      <c r="E925" t="inlineStr">
        <is>
          <t>BBG01QCXYFJ4</t>
        </is>
      </c>
    </row>
    <row r="926">
      <c r="A926" t="inlineStr">
        <is>
          <t>BBG01QCXYD90 Equity</t>
        </is>
      </c>
      <c r="B926" t="inlineStr">
        <is>
          <t>TSLL US 06/20/25 P17.7</t>
        </is>
      </c>
      <c r="C926" t="inlineStr">
        <is>
          <t>2025-06-20</t>
        </is>
      </c>
      <c r="D926" t="n">
        <v>17.7</v>
      </c>
      <c r="E926" t="inlineStr">
        <is>
          <t>BBG01QCXYD90</t>
        </is>
      </c>
    </row>
    <row r="927">
      <c r="A927" t="inlineStr">
        <is>
          <t>BBG01QCXZ051 Equity</t>
        </is>
      </c>
      <c r="B927" t="inlineStr">
        <is>
          <t>TSLL US 06/20/25 P18.7</t>
        </is>
      </c>
      <c r="C927" t="inlineStr">
        <is>
          <t>2025-06-20</t>
        </is>
      </c>
      <c r="D927" t="n">
        <v>18.7</v>
      </c>
      <c r="E927" t="inlineStr">
        <is>
          <t>BBG01QCXZ051</t>
        </is>
      </c>
    </row>
    <row r="928">
      <c r="A928" t="inlineStr">
        <is>
          <t>BBG01QJ2L2Z0 Equity</t>
        </is>
      </c>
      <c r="B928" t="inlineStr">
        <is>
          <t>TSLL US 06/20/25 P19.7</t>
        </is>
      </c>
      <c r="C928" t="inlineStr">
        <is>
          <t>2025-06-20</t>
        </is>
      </c>
      <c r="D928" t="n">
        <v>19.7</v>
      </c>
      <c r="E928" t="inlineStr">
        <is>
          <t>BBG01QJ2L2Z0</t>
        </is>
      </c>
    </row>
    <row r="929">
      <c r="A929" t="inlineStr">
        <is>
          <t>BBG01QJ2L8P8 Equity</t>
        </is>
      </c>
      <c r="B929" t="inlineStr">
        <is>
          <t>TSLL US 06/20/25 P20.7</t>
        </is>
      </c>
      <c r="C929" t="inlineStr">
        <is>
          <t>2025-06-20</t>
        </is>
      </c>
      <c r="D929" t="n">
        <v>20.7</v>
      </c>
      <c r="E929" t="inlineStr">
        <is>
          <t>BBG01QJ2L8P8</t>
        </is>
      </c>
    </row>
    <row r="930">
      <c r="A930" t="inlineStr">
        <is>
          <t>BBG01QJ2L2C5 Equity</t>
        </is>
      </c>
      <c r="B930" t="inlineStr">
        <is>
          <t>TSLL US 06/20/25 P21.7</t>
        </is>
      </c>
      <c r="C930" t="inlineStr">
        <is>
          <t>2025-06-20</t>
        </is>
      </c>
      <c r="D930" t="n">
        <v>21.7</v>
      </c>
      <c r="E930" t="inlineStr">
        <is>
          <t>BBG01QJ2L2C5</t>
        </is>
      </c>
    </row>
    <row r="931">
      <c r="A931" t="inlineStr">
        <is>
          <t>BBG01QJ2M573 Equity</t>
        </is>
      </c>
      <c r="B931" t="inlineStr">
        <is>
          <t>TSLL US 06/20/25 P22.7</t>
        </is>
      </c>
      <c r="C931" t="inlineStr">
        <is>
          <t>2025-06-20</t>
        </is>
      </c>
      <c r="D931" t="n">
        <v>22.7</v>
      </c>
      <c r="E931" t="inlineStr">
        <is>
          <t>BBG01QJ2M573</t>
        </is>
      </c>
    </row>
    <row r="932">
      <c r="A932" t="inlineStr">
        <is>
          <t>BBG01QJ2L1R1 Equity</t>
        </is>
      </c>
      <c r="B932" t="inlineStr">
        <is>
          <t>TSLL US 06/20/25 P23.7</t>
        </is>
      </c>
      <c r="C932" t="inlineStr">
        <is>
          <t>2025-06-20</t>
        </is>
      </c>
      <c r="D932" t="n">
        <v>23.7</v>
      </c>
      <c r="E932" t="inlineStr">
        <is>
          <t>BBG01QJ2L1R1</t>
        </is>
      </c>
    </row>
    <row r="933">
      <c r="A933" t="inlineStr">
        <is>
          <t>BBG01QJ2L823 Equity</t>
        </is>
      </c>
      <c r="B933" t="inlineStr">
        <is>
          <t>TSLL US 06/20/25 P24.7</t>
        </is>
      </c>
      <c r="C933" t="inlineStr">
        <is>
          <t>2025-06-20</t>
        </is>
      </c>
      <c r="D933" t="n">
        <v>24.7</v>
      </c>
      <c r="E933" t="inlineStr">
        <is>
          <t>BBG01QJ2L823</t>
        </is>
      </c>
    </row>
    <row r="934">
      <c r="A934" t="inlineStr">
        <is>
          <t>BBG01QJ2M5V6 Equity</t>
        </is>
      </c>
      <c r="B934" t="inlineStr">
        <is>
          <t>TSLL US 06/20/25 P25.7</t>
        </is>
      </c>
      <c r="C934" t="inlineStr">
        <is>
          <t>2025-06-20</t>
        </is>
      </c>
      <c r="D934" t="n">
        <v>25.7</v>
      </c>
      <c r="E934" t="inlineStr">
        <is>
          <t>BBG01QJ2M5V6</t>
        </is>
      </c>
    </row>
    <row r="935">
      <c r="A935" t="inlineStr">
        <is>
          <t>BBG01QRV52G6 Equity</t>
        </is>
      </c>
      <c r="B935" t="inlineStr">
        <is>
          <t>TSLL US 06/20/25 P26.7</t>
        </is>
      </c>
      <c r="C935" t="inlineStr">
        <is>
          <t>2025-06-20</t>
        </is>
      </c>
      <c r="D935" t="n">
        <v>26.7</v>
      </c>
      <c r="E935" t="inlineStr">
        <is>
          <t>BBG01QRV52G6</t>
        </is>
      </c>
    </row>
    <row r="936">
      <c r="A936" t="inlineStr">
        <is>
          <t>BBG01QRV46V1 Equity</t>
        </is>
      </c>
      <c r="B936" t="inlineStr">
        <is>
          <t>TSLL US 06/20/25 P27.7</t>
        </is>
      </c>
      <c r="C936" t="inlineStr">
        <is>
          <t>2025-06-20</t>
        </is>
      </c>
      <c r="D936" t="n">
        <v>27.7</v>
      </c>
      <c r="E936" t="inlineStr">
        <is>
          <t>BBG01QRV46V1</t>
        </is>
      </c>
    </row>
    <row r="937">
      <c r="A937" t="inlineStr">
        <is>
          <t>BBG01QRV5MV5 Equity</t>
        </is>
      </c>
      <c r="B937" t="inlineStr">
        <is>
          <t>TSLL US 06/20/25 P28.7</t>
        </is>
      </c>
      <c r="C937" t="inlineStr">
        <is>
          <t>2025-06-20</t>
        </is>
      </c>
      <c r="D937" t="n">
        <v>28.7</v>
      </c>
      <c r="E937" t="inlineStr">
        <is>
          <t>BBG01QRV5MV5</t>
        </is>
      </c>
    </row>
    <row r="938">
      <c r="A938" t="inlineStr">
        <is>
          <t>BBG01QQR7407 Equity</t>
        </is>
      </c>
      <c r="B938" t="inlineStr">
        <is>
          <t>TSLL US 06/20/25 P29.7</t>
        </is>
      </c>
      <c r="C938" t="inlineStr">
        <is>
          <t>2025-06-20</t>
        </is>
      </c>
      <c r="D938" t="n">
        <v>29.7</v>
      </c>
      <c r="E938" t="inlineStr">
        <is>
          <t>BBG01QQR7407</t>
        </is>
      </c>
    </row>
    <row r="939">
      <c r="A939" t="inlineStr">
        <is>
          <t>BBG01QRV47G6 Equity</t>
        </is>
      </c>
      <c r="B939" t="inlineStr">
        <is>
          <t>TSLL US 06/20/25 P30.7</t>
        </is>
      </c>
      <c r="C939" t="inlineStr">
        <is>
          <t>2025-06-20</t>
        </is>
      </c>
      <c r="D939" t="n">
        <v>30.7</v>
      </c>
      <c r="E939" t="inlineStr">
        <is>
          <t>BBG01QRV47G6</t>
        </is>
      </c>
    </row>
    <row r="940">
      <c r="A940" t="inlineStr">
        <is>
          <t>BBG01QRV5M72 Equity</t>
        </is>
      </c>
      <c r="B940" t="inlineStr">
        <is>
          <t>TSLL US 06/20/25 P31.7</t>
        </is>
      </c>
      <c r="C940" t="inlineStr">
        <is>
          <t>2025-06-20</t>
        </is>
      </c>
      <c r="D940" t="n">
        <v>31.7</v>
      </c>
      <c r="E940" t="inlineStr">
        <is>
          <t>BBG01QRV5M72</t>
        </is>
      </c>
    </row>
    <row r="941">
      <c r="A941" t="inlineStr">
        <is>
          <t>BBG01QRV4678 Equity</t>
        </is>
      </c>
      <c r="B941" t="inlineStr">
        <is>
          <t>TSLL US 06/20/25 P32.7</t>
        </is>
      </c>
      <c r="C941" t="inlineStr">
        <is>
          <t>2025-06-20</t>
        </is>
      </c>
      <c r="D941" t="n">
        <v>32.7</v>
      </c>
      <c r="E941" t="inlineStr">
        <is>
          <t>BBG01QRV4678</t>
        </is>
      </c>
    </row>
    <row r="942">
      <c r="A942" t="inlineStr">
        <is>
          <t>BBG01QRV51V1 Equity</t>
        </is>
      </c>
      <c r="B942" t="inlineStr">
        <is>
          <t>TSLL US 06/20/25 P33.7</t>
        </is>
      </c>
      <c r="C942" t="inlineStr">
        <is>
          <t>2025-06-20</t>
        </is>
      </c>
      <c r="D942" t="n">
        <v>33.7</v>
      </c>
      <c r="E942" t="inlineStr">
        <is>
          <t>BBG01QRV51V1</t>
        </is>
      </c>
    </row>
    <row r="943">
      <c r="A943" t="inlineStr">
        <is>
          <t>BBG01QRV5NG0 Equity</t>
        </is>
      </c>
      <c r="B943" t="inlineStr">
        <is>
          <t>TSLL US 06/20/25 P34.7</t>
        </is>
      </c>
      <c r="C943" t="inlineStr">
        <is>
          <t>2025-06-20</t>
        </is>
      </c>
      <c r="D943" t="n">
        <v>34.7</v>
      </c>
      <c r="E943" t="inlineStr">
        <is>
          <t>BBG01QRV5NG0</t>
        </is>
      </c>
    </row>
    <row r="944">
      <c r="A944" t="inlineStr">
        <is>
          <t>BBG01R6BN618 Equity</t>
        </is>
      </c>
      <c r="B944" t="inlineStr">
        <is>
          <t>TSLL US 06/20/25 P35.7</t>
        </is>
      </c>
      <c r="C944" t="inlineStr">
        <is>
          <t>2025-06-20</t>
        </is>
      </c>
      <c r="D944" t="n">
        <v>35.7</v>
      </c>
      <c r="E944" t="inlineStr">
        <is>
          <t>BBG01R6BN618</t>
        </is>
      </c>
    </row>
    <row r="945">
      <c r="A945" t="inlineStr">
        <is>
          <t>BBG01R6BLFY4 Equity</t>
        </is>
      </c>
      <c r="B945" t="inlineStr">
        <is>
          <t>TSLL US 06/20/25 P36.7</t>
        </is>
      </c>
      <c r="C945" t="inlineStr">
        <is>
          <t>2025-06-20</t>
        </is>
      </c>
      <c r="D945" t="n">
        <v>36.7</v>
      </c>
      <c r="E945" t="inlineStr">
        <is>
          <t>BBG01R6BLFY4</t>
        </is>
      </c>
    </row>
    <row r="946">
      <c r="A946" t="inlineStr">
        <is>
          <t>BBG01R6BN5F5 Equity</t>
        </is>
      </c>
      <c r="B946" t="inlineStr">
        <is>
          <t>TSLL US 06/20/25 P37.7</t>
        </is>
      </c>
      <c r="C946" t="inlineStr">
        <is>
          <t>2025-06-20</t>
        </is>
      </c>
      <c r="D946" t="n">
        <v>37.7</v>
      </c>
      <c r="E946" t="inlineStr">
        <is>
          <t>BBG01R6BN5F5</t>
        </is>
      </c>
    </row>
    <row r="947">
      <c r="A947" t="inlineStr">
        <is>
          <t>BBG01R6BN468 Equity</t>
        </is>
      </c>
      <c r="B947" t="inlineStr">
        <is>
          <t>TSLL US 06/20/25 P38.7</t>
        </is>
      </c>
      <c r="C947" t="inlineStr">
        <is>
          <t>2025-06-20</t>
        </is>
      </c>
      <c r="D947" t="n">
        <v>38.7</v>
      </c>
      <c r="E947" t="inlineStr">
        <is>
          <t>BBG01R6BN468</t>
        </is>
      </c>
    </row>
    <row r="948">
      <c r="A948" t="inlineStr">
        <is>
          <t>BBG01R6BN4T3 Equity</t>
        </is>
      </c>
      <c r="B948" t="inlineStr">
        <is>
          <t>TSLL US 06/20/25 P39.7</t>
        </is>
      </c>
      <c r="C948" t="inlineStr">
        <is>
          <t>2025-06-20</t>
        </is>
      </c>
      <c r="D948" t="n">
        <v>39.7</v>
      </c>
      <c r="E948" t="inlineStr">
        <is>
          <t>BBG01R6BN4T3</t>
        </is>
      </c>
    </row>
    <row r="949">
      <c r="A949" t="inlineStr">
        <is>
          <t>BBG01R8RVC37 Equity</t>
        </is>
      </c>
      <c r="B949" t="inlineStr">
        <is>
          <t>TSLL US 06/20/25 P40</t>
        </is>
      </c>
      <c r="C949" t="inlineStr">
        <is>
          <t>2025-06-20</t>
        </is>
      </c>
      <c r="D949" t="n">
        <v>40</v>
      </c>
      <c r="E949" t="inlineStr">
        <is>
          <t>BBG01R8RVC37</t>
        </is>
      </c>
    </row>
    <row r="950">
      <c r="A950" t="inlineStr">
        <is>
          <t>BBG01R8RVGZ3 Equity</t>
        </is>
      </c>
      <c r="B950" t="inlineStr">
        <is>
          <t>TSLL US 06/20/25 P41</t>
        </is>
      </c>
      <c r="C950" t="inlineStr">
        <is>
          <t>2025-06-20</t>
        </is>
      </c>
      <c r="D950" t="n">
        <v>41</v>
      </c>
      <c r="E950" t="inlineStr">
        <is>
          <t>BBG01R8RVGZ3</t>
        </is>
      </c>
    </row>
    <row r="951">
      <c r="A951" t="inlineStr">
        <is>
          <t>BBG01R8RVCQ2 Equity</t>
        </is>
      </c>
      <c r="B951" t="inlineStr">
        <is>
          <t>TSLL US 06/20/25 P42</t>
        </is>
      </c>
      <c r="C951" t="inlineStr">
        <is>
          <t>2025-06-20</t>
        </is>
      </c>
      <c r="D951" t="n">
        <v>42</v>
      </c>
      <c r="E951" t="inlineStr">
        <is>
          <t>BBG01R8RVCQ2</t>
        </is>
      </c>
    </row>
    <row r="952">
      <c r="A952" t="inlineStr">
        <is>
          <t>BBG01R8RVGC8 Equity</t>
        </is>
      </c>
      <c r="B952" t="inlineStr">
        <is>
          <t>TSLL US 06/20/25 P43</t>
        </is>
      </c>
      <c r="C952" t="inlineStr">
        <is>
          <t>2025-06-20</t>
        </is>
      </c>
      <c r="D952" t="n">
        <v>43</v>
      </c>
      <c r="E952" t="inlineStr">
        <is>
          <t>BBG01R8RVGC8</t>
        </is>
      </c>
    </row>
    <row r="953">
      <c r="A953" t="inlineStr">
        <is>
          <t>BBG01R8RTT97 Equity</t>
        </is>
      </c>
      <c r="B953" t="inlineStr">
        <is>
          <t>TSLL US 06/20/25 P44</t>
        </is>
      </c>
      <c r="C953" t="inlineStr">
        <is>
          <t>2025-06-20</t>
        </is>
      </c>
      <c r="D953" t="n">
        <v>44</v>
      </c>
      <c r="E953" t="inlineStr">
        <is>
          <t>BBG01R8RTT97</t>
        </is>
      </c>
    </row>
    <row r="954">
      <c r="A954" t="inlineStr">
        <is>
          <t>BBG01R8RT5C5 Equity</t>
        </is>
      </c>
      <c r="B954" t="inlineStr">
        <is>
          <t>TSLL US 06/20/25 P45</t>
        </is>
      </c>
      <c r="C954" t="inlineStr">
        <is>
          <t>2025-06-20</t>
        </is>
      </c>
      <c r="D954" t="n">
        <v>45</v>
      </c>
      <c r="E954" t="inlineStr">
        <is>
          <t>BBG01R8RT5C5</t>
        </is>
      </c>
    </row>
    <row r="955">
      <c r="A955" t="inlineStr">
        <is>
          <t>BBG01R8RTSP1 Equity</t>
        </is>
      </c>
      <c r="B955" t="inlineStr">
        <is>
          <t>TSLL US 06/20/25 P46</t>
        </is>
      </c>
      <c r="C955" t="inlineStr">
        <is>
          <t>2025-06-20</t>
        </is>
      </c>
      <c r="D955" t="n">
        <v>46</v>
      </c>
      <c r="E955" t="inlineStr">
        <is>
          <t>BBG01R8RTSP1</t>
        </is>
      </c>
    </row>
    <row r="956">
      <c r="A956" t="inlineStr">
        <is>
          <t>BBG01R8RTS26 Equity</t>
        </is>
      </c>
      <c r="B956" t="inlineStr">
        <is>
          <t>TSLL US 06/20/25 P47</t>
        </is>
      </c>
      <c r="C956" t="inlineStr">
        <is>
          <t>2025-06-20</t>
        </is>
      </c>
      <c r="D956" t="n">
        <v>47</v>
      </c>
      <c r="E956" t="inlineStr">
        <is>
          <t>BBG01R8RTS26</t>
        </is>
      </c>
    </row>
    <row r="957">
      <c r="A957" t="inlineStr">
        <is>
          <t>BBG01R8RT5Z0 Equity</t>
        </is>
      </c>
      <c r="B957" t="inlineStr">
        <is>
          <t>TSLL US 06/20/25 P48</t>
        </is>
      </c>
      <c r="C957" t="inlineStr">
        <is>
          <t>2025-06-20</t>
        </is>
      </c>
      <c r="D957" t="n">
        <v>48</v>
      </c>
      <c r="E957" t="inlineStr">
        <is>
          <t>BBG01R8RT5Z0</t>
        </is>
      </c>
    </row>
    <row r="958">
      <c r="A958" t="inlineStr">
        <is>
          <t>BBG01R97QML4 Equity</t>
        </is>
      </c>
      <c r="B958" t="inlineStr">
        <is>
          <t>TSLL US 06/20/25 P49</t>
        </is>
      </c>
      <c r="C958" t="inlineStr">
        <is>
          <t>2025-06-20</t>
        </is>
      </c>
      <c r="D958" t="n">
        <v>49</v>
      </c>
      <c r="E958" t="inlineStr">
        <is>
          <t>BBG01R97QML4</t>
        </is>
      </c>
    </row>
    <row r="959">
      <c r="A959" t="inlineStr">
        <is>
          <t>BBG01R9PV2N0 Equity</t>
        </is>
      </c>
      <c r="B959" t="inlineStr">
        <is>
          <t>TSLL US 06/20/25 P50</t>
        </is>
      </c>
      <c r="C959" t="inlineStr">
        <is>
          <t>2025-06-20</t>
        </is>
      </c>
      <c r="D959" t="n">
        <v>50</v>
      </c>
      <c r="E959" t="inlineStr">
        <is>
          <t>BBG01R9PV2N0</t>
        </is>
      </c>
    </row>
    <row r="960">
      <c r="A960" t="inlineStr">
        <is>
          <t>BBG01R9PV517 Equity</t>
        </is>
      </c>
      <c r="B960" t="inlineStr">
        <is>
          <t>TSLL US 06/20/25 P51</t>
        </is>
      </c>
      <c r="C960" t="inlineStr">
        <is>
          <t>2025-06-20</t>
        </is>
      </c>
      <c r="D960" t="n">
        <v>51</v>
      </c>
      <c r="E960" t="inlineStr">
        <is>
          <t>BBG01R9PV517</t>
        </is>
      </c>
    </row>
    <row r="961">
      <c r="A961" t="inlineStr">
        <is>
          <t>BBG01R9PVKF9 Equity</t>
        </is>
      </c>
      <c r="B961" t="inlineStr">
        <is>
          <t>TSLL US 06/20/25 P52</t>
        </is>
      </c>
      <c r="C961" t="inlineStr">
        <is>
          <t>2025-06-20</t>
        </is>
      </c>
      <c r="D961" t="n">
        <v>52</v>
      </c>
      <c r="E961" t="inlineStr">
        <is>
          <t>BBG01R9PVKF9</t>
        </is>
      </c>
    </row>
    <row r="962">
      <c r="A962" t="inlineStr">
        <is>
          <t>BBG01R9PV385 Equity</t>
        </is>
      </c>
      <c r="B962" t="inlineStr">
        <is>
          <t>TSLL US 06/20/25 P53</t>
        </is>
      </c>
      <c r="C962" t="inlineStr">
        <is>
          <t>2025-06-20</t>
        </is>
      </c>
      <c r="D962" t="n">
        <v>53</v>
      </c>
      <c r="E962" t="inlineStr">
        <is>
          <t>BBG01R9PV385</t>
        </is>
      </c>
    </row>
    <row r="963">
      <c r="A963" t="inlineStr">
        <is>
          <t>BBG01R9PVJT7 Equity</t>
        </is>
      </c>
      <c r="B963" t="inlineStr">
        <is>
          <t>TSLL US 06/20/25 P54</t>
        </is>
      </c>
      <c r="C963" t="inlineStr">
        <is>
          <t>2025-06-20</t>
        </is>
      </c>
      <c r="D963" t="n">
        <v>54</v>
      </c>
      <c r="E963" t="inlineStr">
        <is>
          <t>BBG01R9PVJT7</t>
        </is>
      </c>
    </row>
    <row r="964">
      <c r="A964" t="inlineStr">
        <is>
          <t>BBG01R9PV4F5 Equity</t>
        </is>
      </c>
      <c r="B964" t="inlineStr">
        <is>
          <t>TSLL US 06/20/25 P55</t>
        </is>
      </c>
      <c r="C964" t="inlineStr">
        <is>
          <t>2025-06-20</t>
        </is>
      </c>
      <c r="D964" t="n">
        <v>55</v>
      </c>
      <c r="E964" t="inlineStr">
        <is>
          <t>BBG01R9PV4F5</t>
        </is>
      </c>
    </row>
    <row r="965">
      <c r="A965" t="inlineStr">
        <is>
          <t>BBG01R9PV214 Equity</t>
        </is>
      </c>
      <c r="B965" t="inlineStr">
        <is>
          <t>TSLL US 06/20/25 P56</t>
        </is>
      </c>
      <c r="C965" t="inlineStr">
        <is>
          <t>2025-06-20</t>
        </is>
      </c>
      <c r="D965" t="n">
        <v>56</v>
      </c>
      <c r="E965" t="inlineStr">
        <is>
          <t>BBG01R9PV214</t>
        </is>
      </c>
    </row>
    <row r="966">
      <c r="A966" t="inlineStr">
        <is>
          <t>BBG01RB3BT13 Equity</t>
        </is>
      </c>
      <c r="B966" t="inlineStr">
        <is>
          <t>TSLL US 06/20/25 P57</t>
        </is>
      </c>
      <c r="C966" t="inlineStr">
        <is>
          <t>2025-06-20</t>
        </is>
      </c>
      <c r="D966" t="n">
        <v>57</v>
      </c>
      <c r="E966" t="inlineStr">
        <is>
          <t>BBG01RB3BT13</t>
        </is>
      </c>
    </row>
    <row r="967">
      <c r="A967" t="inlineStr">
        <is>
          <t>BBG01RB3BSF0 Equity</t>
        </is>
      </c>
      <c r="B967" t="inlineStr">
        <is>
          <t>TSLL US 06/20/25 P58</t>
        </is>
      </c>
      <c r="C967" t="inlineStr">
        <is>
          <t>2025-06-20</t>
        </is>
      </c>
      <c r="D967" t="n">
        <v>58</v>
      </c>
      <c r="E967" t="inlineStr">
        <is>
          <t>BBG01RB3BSF0</t>
        </is>
      </c>
    </row>
    <row r="968">
      <c r="A968" t="inlineStr">
        <is>
          <t>BBG01RB39S36 Equity</t>
        </is>
      </c>
      <c r="B968" t="inlineStr">
        <is>
          <t>TSLL US 06/20/25 P59</t>
        </is>
      </c>
      <c r="C968" t="inlineStr">
        <is>
          <t>2025-06-20</t>
        </is>
      </c>
      <c r="D968" t="n">
        <v>59</v>
      </c>
      <c r="E968" t="inlineStr">
        <is>
          <t>BBG01RB39S36</t>
        </is>
      </c>
    </row>
    <row r="969">
      <c r="A969" t="inlineStr">
        <is>
          <t>BBG01RB3BR62 Equity</t>
        </is>
      </c>
      <c r="B969" t="inlineStr">
        <is>
          <t>TSLL US 06/20/25 P60</t>
        </is>
      </c>
      <c r="C969" t="inlineStr">
        <is>
          <t>2025-06-20</t>
        </is>
      </c>
      <c r="D969" t="n">
        <v>60</v>
      </c>
      <c r="E969" t="inlineStr">
        <is>
          <t>BBG01RB3BR62</t>
        </is>
      </c>
    </row>
    <row r="970">
      <c r="A970" t="inlineStr">
        <is>
          <t>BBG01RB3BRT7 Equity</t>
        </is>
      </c>
      <c r="B970" t="inlineStr">
        <is>
          <t>TSLL US 06/20/25 P61</t>
        </is>
      </c>
      <c r="C970" t="inlineStr">
        <is>
          <t>2025-06-20</t>
        </is>
      </c>
      <c r="D970" t="n">
        <v>61</v>
      </c>
      <c r="E970" t="inlineStr">
        <is>
          <t>BBG01RB3BRT7</t>
        </is>
      </c>
    </row>
    <row r="971">
      <c r="A971" t="inlineStr">
        <is>
          <t>BBG01VFKR0Q1 Equity</t>
        </is>
      </c>
      <c r="B971" t="inlineStr">
        <is>
          <t>TSLL US 07/18/25 P1</t>
        </is>
      </c>
      <c r="C971" t="inlineStr">
        <is>
          <t>2025-07-18</t>
        </is>
      </c>
      <c r="D971" t="n">
        <v>1</v>
      </c>
      <c r="E971" t="inlineStr">
        <is>
          <t>BBG01VFKR0Q1</t>
        </is>
      </c>
    </row>
    <row r="972">
      <c r="A972" t="inlineStr">
        <is>
          <t>BBG01VFKR1B5 Equity</t>
        </is>
      </c>
      <c r="B972" t="inlineStr">
        <is>
          <t>TSLL US 07/18/25 P2</t>
        </is>
      </c>
      <c r="C972" t="inlineStr">
        <is>
          <t>2025-07-18</t>
        </is>
      </c>
      <c r="D972" t="n">
        <v>2</v>
      </c>
      <c r="E972" t="inlineStr">
        <is>
          <t>BBG01VFKR1B5</t>
        </is>
      </c>
    </row>
    <row r="973">
      <c r="A973" t="inlineStr">
        <is>
          <t>BBG01VFKR036 Equity</t>
        </is>
      </c>
      <c r="B973" t="inlineStr">
        <is>
          <t>TSLL US 07/18/25 P3</t>
        </is>
      </c>
      <c r="C973" t="inlineStr">
        <is>
          <t>2025-07-18</t>
        </is>
      </c>
      <c r="D973" t="n">
        <v>3</v>
      </c>
      <c r="E973" t="inlineStr">
        <is>
          <t>BBG01VFKR036</t>
        </is>
      </c>
    </row>
    <row r="974">
      <c r="A974" t="inlineStr">
        <is>
          <t>BBG01V1T0PF3 Equity</t>
        </is>
      </c>
      <c r="B974" t="inlineStr">
        <is>
          <t>TSLL US 07/18/25 P4</t>
        </is>
      </c>
      <c r="C974" t="inlineStr">
        <is>
          <t>2025-07-18</t>
        </is>
      </c>
      <c r="D974" t="n">
        <v>4</v>
      </c>
      <c r="E974" t="inlineStr">
        <is>
          <t>BBG01V1T0PF3</t>
        </is>
      </c>
    </row>
    <row r="975">
      <c r="A975" t="inlineStr">
        <is>
          <t>BBG01V1T1SF6 Equity</t>
        </is>
      </c>
      <c r="B975" t="inlineStr">
        <is>
          <t>TSLL US 07/18/25 P5</t>
        </is>
      </c>
      <c r="C975" t="inlineStr">
        <is>
          <t>2025-07-18</t>
        </is>
      </c>
      <c r="D975" t="n">
        <v>5</v>
      </c>
      <c r="E975" t="inlineStr">
        <is>
          <t>BBG01V1T1SF6</t>
        </is>
      </c>
    </row>
    <row r="976">
      <c r="A976" t="inlineStr">
        <is>
          <t>BBG01V1T1RT3 Equity</t>
        </is>
      </c>
      <c r="B976" t="inlineStr">
        <is>
          <t>TSLL US 07/18/25 P6</t>
        </is>
      </c>
      <c r="C976" t="inlineStr">
        <is>
          <t>2025-07-18</t>
        </is>
      </c>
      <c r="D976" t="n">
        <v>6</v>
      </c>
      <c r="E976" t="inlineStr">
        <is>
          <t>BBG01V1T1RT3</t>
        </is>
      </c>
    </row>
    <row r="977">
      <c r="A977" t="inlineStr">
        <is>
          <t>BBG01VQKK4S6 Equity</t>
        </is>
      </c>
      <c r="B977" t="inlineStr">
        <is>
          <t>TSLL US 07/18/25 P6.5</t>
        </is>
      </c>
      <c r="C977" t="inlineStr">
        <is>
          <t>2025-07-18</t>
        </is>
      </c>
      <c r="D977" t="n">
        <v>6.5</v>
      </c>
      <c r="E977" t="inlineStr">
        <is>
          <t>BBG01VQKK4S6</t>
        </is>
      </c>
    </row>
    <row r="978">
      <c r="A978" t="inlineStr">
        <is>
          <t>BBG01V1T1TN5 Equity</t>
        </is>
      </c>
      <c r="B978" t="inlineStr">
        <is>
          <t>TSLL US 07/18/25 P7</t>
        </is>
      </c>
      <c r="C978" t="inlineStr">
        <is>
          <t>2025-07-18</t>
        </is>
      </c>
      <c r="D978" t="n">
        <v>7</v>
      </c>
      <c r="E978" t="inlineStr">
        <is>
          <t>BBG01V1T1TN5</t>
        </is>
      </c>
    </row>
    <row r="979">
      <c r="A979" t="inlineStr">
        <is>
          <t>BBG01VQKKSJ3 Equity</t>
        </is>
      </c>
      <c r="B979" t="inlineStr">
        <is>
          <t>TSLL US 07/18/25 P7.5</t>
        </is>
      </c>
      <c r="C979" t="inlineStr">
        <is>
          <t>2025-07-18</t>
        </is>
      </c>
      <c r="D979" t="n">
        <v>7.5</v>
      </c>
      <c r="E979" t="inlineStr">
        <is>
          <t>BBG01VQKKSJ3</t>
        </is>
      </c>
    </row>
    <row r="980">
      <c r="A980" t="inlineStr">
        <is>
          <t>BBG01V1T2565 Equity</t>
        </is>
      </c>
      <c r="B980" t="inlineStr">
        <is>
          <t>TSLL US 07/18/25 P8</t>
        </is>
      </c>
      <c r="C980" t="inlineStr">
        <is>
          <t>2025-07-18</t>
        </is>
      </c>
      <c r="D980" t="n">
        <v>8</v>
      </c>
      <c r="E980" t="inlineStr">
        <is>
          <t>BBG01V1T2565</t>
        </is>
      </c>
    </row>
    <row r="981">
      <c r="A981" t="inlineStr">
        <is>
          <t>BBG01VQKKDP9 Equity</t>
        </is>
      </c>
      <c r="B981" t="inlineStr">
        <is>
          <t>TSLL US 07/18/25 P8.5</t>
        </is>
      </c>
      <c r="C981" t="inlineStr">
        <is>
          <t>2025-07-18</t>
        </is>
      </c>
      <c r="D981" t="n">
        <v>8.5</v>
      </c>
      <c r="E981" t="inlineStr">
        <is>
          <t>BBG01VQKKDP9</t>
        </is>
      </c>
    </row>
    <row r="982">
      <c r="A982" t="inlineStr">
        <is>
          <t>BBG01V1T1ZH8 Equity</t>
        </is>
      </c>
      <c r="B982" t="inlineStr">
        <is>
          <t>TSLL US 07/18/25 P9</t>
        </is>
      </c>
      <c r="C982" t="inlineStr">
        <is>
          <t>2025-07-18</t>
        </is>
      </c>
      <c r="D982" t="n">
        <v>9</v>
      </c>
      <c r="E982" t="inlineStr">
        <is>
          <t>BBG01V1T1ZH8</t>
        </is>
      </c>
    </row>
    <row r="983">
      <c r="A983" t="inlineStr">
        <is>
          <t>BBG01VQKKN59 Equity</t>
        </is>
      </c>
      <c r="B983" t="inlineStr">
        <is>
          <t>TSLL US 07/18/25 P9.5</t>
        </is>
      </c>
      <c r="C983" t="inlineStr">
        <is>
          <t>2025-07-18</t>
        </is>
      </c>
      <c r="D983" t="n">
        <v>9.5</v>
      </c>
      <c r="E983" t="inlineStr">
        <is>
          <t>BBG01VQKKN59</t>
        </is>
      </c>
    </row>
    <row r="984">
      <c r="A984" t="inlineStr">
        <is>
          <t>BBG01V1T29P6 Equity</t>
        </is>
      </c>
      <c r="B984" t="inlineStr">
        <is>
          <t>TSLL US 07/18/25 P10</t>
        </is>
      </c>
      <c r="C984" t="inlineStr">
        <is>
          <t>2025-07-18</t>
        </is>
      </c>
      <c r="D984" t="n">
        <v>10</v>
      </c>
      <c r="E984" t="inlineStr">
        <is>
          <t>BBG01V1T29P6</t>
        </is>
      </c>
    </row>
    <row r="985">
      <c r="A985" t="inlineStr">
        <is>
          <t>BBG01VQKKLB6 Equity</t>
        </is>
      </c>
      <c r="B985" t="inlineStr">
        <is>
          <t>TSLL US 07/18/25 P10.5</t>
        </is>
      </c>
      <c r="C985" t="inlineStr">
        <is>
          <t>2025-07-18</t>
        </is>
      </c>
      <c r="D985" t="n">
        <v>10.5</v>
      </c>
      <c r="E985" t="inlineStr">
        <is>
          <t>BBG01VQKKLB6</t>
        </is>
      </c>
    </row>
    <row r="986">
      <c r="A986" t="inlineStr">
        <is>
          <t>BBG01V1T25T0 Equity</t>
        </is>
      </c>
      <c r="B986" t="inlineStr">
        <is>
          <t>TSLL US 07/18/25 P11</t>
        </is>
      </c>
      <c r="C986" t="inlineStr">
        <is>
          <t>2025-07-18</t>
        </is>
      </c>
      <c r="D986" t="n">
        <v>11</v>
      </c>
      <c r="E986" t="inlineStr">
        <is>
          <t>BBG01V1T25T0</t>
        </is>
      </c>
    </row>
    <row r="987">
      <c r="A987" t="inlineStr">
        <is>
          <t>BBG01VQKKMK4 Equity</t>
        </is>
      </c>
      <c r="B987" t="inlineStr">
        <is>
          <t>TSLL US 07/18/25 P11.5</t>
        </is>
      </c>
      <c r="C987" t="inlineStr">
        <is>
          <t>2025-07-18</t>
        </is>
      </c>
      <c r="D987" t="n">
        <v>11.5</v>
      </c>
      <c r="E987" t="inlineStr">
        <is>
          <t>BBG01VQKKMK4</t>
        </is>
      </c>
    </row>
    <row r="988">
      <c r="A988" t="inlineStr">
        <is>
          <t>BBG01V1T0H25 Equity</t>
        </is>
      </c>
      <c r="B988" t="inlineStr">
        <is>
          <t>TSLL US 07/18/25 P12</t>
        </is>
      </c>
      <c r="C988" t="inlineStr">
        <is>
          <t>2025-07-18</t>
        </is>
      </c>
      <c r="D988" t="n">
        <v>12</v>
      </c>
      <c r="E988" t="inlineStr">
        <is>
          <t>BBG01V1T0H25</t>
        </is>
      </c>
    </row>
    <row r="989">
      <c r="A989" t="inlineStr">
        <is>
          <t>BBG01VQKJYJ2 Equity</t>
        </is>
      </c>
      <c r="B989" t="inlineStr">
        <is>
          <t>TSLL US 07/18/25 P12.5</t>
        </is>
      </c>
      <c r="C989" t="inlineStr">
        <is>
          <t>2025-07-18</t>
        </is>
      </c>
      <c r="D989" t="n">
        <v>12.5</v>
      </c>
      <c r="E989" t="inlineStr">
        <is>
          <t>BBG01VQKJYJ2</t>
        </is>
      </c>
    </row>
    <row r="990">
      <c r="A990" t="inlineStr">
        <is>
          <t>BBG01V1SZYT3 Equity</t>
        </is>
      </c>
      <c r="B990" t="inlineStr">
        <is>
          <t>TSLL US 07/18/25 P13</t>
        </is>
      </c>
      <c r="C990" t="inlineStr">
        <is>
          <t>2025-07-18</t>
        </is>
      </c>
      <c r="D990" t="n">
        <v>13</v>
      </c>
      <c r="E990" t="inlineStr">
        <is>
          <t>BBG01V1SZYT3</t>
        </is>
      </c>
    </row>
    <row r="991">
      <c r="A991" t="inlineStr">
        <is>
          <t>BBG01VQKKLY1 Equity</t>
        </is>
      </c>
      <c r="B991" t="inlineStr">
        <is>
          <t>TSLL US 07/18/25 P13.5</t>
        </is>
      </c>
      <c r="C991" t="inlineStr">
        <is>
          <t>2025-07-18</t>
        </is>
      </c>
      <c r="D991" t="n">
        <v>13.5</v>
      </c>
      <c r="E991" t="inlineStr">
        <is>
          <t>BBG01VQKKLY1</t>
        </is>
      </c>
    </row>
    <row r="992">
      <c r="A992" t="inlineStr">
        <is>
          <t>BBG01V1T2B99 Equity</t>
        </is>
      </c>
      <c r="B992" t="inlineStr">
        <is>
          <t>TSLL US 07/18/25 P14</t>
        </is>
      </c>
      <c r="C992" t="inlineStr">
        <is>
          <t>2025-07-18</t>
        </is>
      </c>
      <c r="D992" t="n">
        <v>14</v>
      </c>
      <c r="E992" t="inlineStr">
        <is>
          <t>BBG01V1T2B99</t>
        </is>
      </c>
    </row>
    <row r="993">
      <c r="A993" t="inlineStr">
        <is>
          <t>BBG01VQKKD24 Equity</t>
        </is>
      </c>
      <c r="B993" t="inlineStr">
        <is>
          <t>TSLL US 07/18/25 P14.5</t>
        </is>
      </c>
      <c r="C993" t="inlineStr">
        <is>
          <t>2025-07-18</t>
        </is>
      </c>
      <c r="D993" t="n">
        <v>14.5</v>
      </c>
      <c r="E993" t="inlineStr">
        <is>
          <t>BBG01VQKKD24</t>
        </is>
      </c>
    </row>
    <row r="994">
      <c r="A994" t="inlineStr">
        <is>
          <t>BBG01V1T1R68 Equity</t>
        </is>
      </c>
      <c r="B994" t="inlineStr">
        <is>
          <t>TSLL US 07/18/25 P15</t>
        </is>
      </c>
      <c r="C994" t="inlineStr">
        <is>
          <t>2025-07-18</t>
        </is>
      </c>
      <c r="D994" t="n">
        <v>15</v>
      </c>
      <c r="E994" t="inlineStr">
        <is>
          <t>BBG01V1T1R68</t>
        </is>
      </c>
    </row>
    <row r="995">
      <c r="A995" t="inlineStr">
        <is>
          <t>BBG01VQKJXX8 Equity</t>
        </is>
      </c>
      <c r="B995" t="inlineStr">
        <is>
          <t>TSLL US 07/18/25 P15.5</t>
        </is>
      </c>
      <c r="C995" t="inlineStr">
        <is>
          <t>2025-07-18</t>
        </is>
      </c>
      <c r="D995" t="n">
        <v>15.5</v>
      </c>
      <c r="E995" t="inlineStr">
        <is>
          <t>BBG01VQKJXX8</t>
        </is>
      </c>
    </row>
    <row r="996">
      <c r="A996" t="inlineStr">
        <is>
          <t>BBG01V1T0GG2 Equity</t>
        </is>
      </c>
      <c r="B996" t="inlineStr">
        <is>
          <t>TSLL US 07/18/25 P16</t>
        </is>
      </c>
      <c r="C996" t="inlineStr">
        <is>
          <t>2025-07-18</t>
        </is>
      </c>
      <c r="D996" t="n">
        <v>16</v>
      </c>
      <c r="E996" t="inlineStr">
        <is>
          <t>BBG01V1T0GG2</t>
        </is>
      </c>
    </row>
    <row r="997">
      <c r="A997" t="inlineStr">
        <is>
          <t>BBG01VQKKF92 Equity</t>
        </is>
      </c>
      <c r="B997" t="inlineStr">
        <is>
          <t>TSLL US 07/18/25 P16.5</t>
        </is>
      </c>
      <c r="C997" t="inlineStr">
        <is>
          <t>2025-07-18</t>
        </is>
      </c>
      <c r="D997" t="n">
        <v>16.5</v>
      </c>
      <c r="E997" t="inlineStr">
        <is>
          <t>BBG01VQKKF92</t>
        </is>
      </c>
    </row>
    <row r="998">
      <c r="A998" t="inlineStr">
        <is>
          <t>BBG01V1T1T19 Equity</t>
        </is>
      </c>
      <c r="B998" t="inlineStr">
        <is>
          <t>TSLL US 07/18/25 P17</t>
        </is>
      </c>
      <c r="C998" t="inlineStr">
        <is>
          <t>2025-07-18</t>
        </is>
      </c>
      <c r="D998" t="n">
        <v>17</v>
      </c>
      <c r="E998" t="inlineStr">
        <is>
          <t>BBG01V1T1T19</t>
        </is>
      </c>
    </row>
    <row r="999">
      <c r="A999" t="inlineStr">
        <is>
          <t>BBG01VQKKT47 Equity</t>
        </is>
      </c>
      <c r="B999" t="inlineStr">
        <is>
          <t>TSLL US 07/18/25 P17.5</t>
        </is>
      </c>
      <c r="C999" t="inlineStr">
        <is>
          <t>2025-07-18</t>
        </is>
      </c>
      <c r="D999" t="n">
        <v>17.5</v>
      </c>
      <c r="E999" t="inlineStr">
        <is>
          <t>BBG01VQKKT47</t>
        </is>
      </c>
    </row>
    <row r="1000">
      <c r="A1000" t="inlineStr">
        <is>
          <t>BBG01V1T2039 Equity</t>
        </is>
      </c>
      <c r="B1000" t="inlineStr">
        <is>
          <t>TSLL US 07/18/25 P18</t>
        </is>
      </c>
      <c r="C1000" t="inlineStr">
        <is>
          <t>2025-07-18</t>
        </is>
      </c>
      <c r="D1000" t="n">
        <v>18</v>
      </c>
      <c r="E1000" t="inlineStr">
        <is>
          <t>BBG01V1T2039</t>
        </is>
      </c>
    </row>
    <row r="1001">
      <c r="A1001" t="inlineStr">
        <is>
          <t>BBG01V1T28G8 Equity</t>
        </is>
      </c>
      <c r="B1001" t="inlineStr">
        <is>
          <t>TSLL US 07/18/25 P19</t>
        </is>
      </c>
      <c r="C1001" t="inlineStr">
        <is>
          <t>2025-07-18</t>
        </is>
      </c>
      <c r="D1001" t="n">
        <v>19</v>
      </c>
      <c r="E1001" t="inlineStr">
        <is>
          <t>BBG01V1T28G8</t>
        </is>
      </c>
    </row>
    <row r="1002">
      <c r="A1002" t="inlineStr">
        <is>
          <t>BBG01V1T0NT3 Equity</t>
        </is>
      </c>
      <c r="B1002" t="inlineStr">
        <is>
          <t>TSLL US 07/18/25 P20</t>
        </is>
      </c>
      <c r="C1002" t="inlineStr">
        <is>
          <t>2025-07-18</t>
        </is>
      </c>
      <c r="D1002" t="n">
        <v>20</v>
      </c>
      <c r="E1002" t="inlineStr">
        <is>
          <t>BBG01V1T0NT3</t>
        </is>
      </c>
    </row>
    <row r="1003">
      <c r="A1003" t="inlineStr">
        <is>
          <t>BBG01V1SZY68 Equity</t>
        </is>
      </c>
      <c r="B1003" t="inlineStr">
        <is>
          <t>TSLL US 07/18/25 P21</t>
        </is>
      </c>
      <c r="C1003" t="inlineStr">
        <is>
          <t>2025-07-18</t>
        </is>
      </c>
      <c r="D1003" t="n">
        <v>21</v>
      </c>
      <c r="E1003" t="inlineStr">
        <is>
          <t>BBG01V1SZY68</t>
        </is>
      </c>
    </row>
    <row r="1004">
      <c r="A1004" t="inlineStr">
        <is>
          <t>BBG01V1T1YW4 Equity</t>
        </is>
      </c>
      <c r="B1004" t="inlineStr">
        <is>
          <t>TSLL US 07/18/25 P22</t>
        </is>
      </c>
      <c r="C1004" t="inlineStr">
        <is>
          <t>2025-07-18</t>
        </is>
      </c>
      <c r="D1004" t="n">
        <v>22</v>
      </c>
      <c r="E1004" t="inlineStr">
        <is>
          <t>BBG01V1T1YW4</t>
        </is>
      </c>
    </row>
    <row r="1005">
      <c r="A1005" t="inlineStr">
        <is>
          <t>BBG01V1T26F3 Equity</t>
        </is>
      </c>
      <c r="B1005" t="inlineStr">
        <is>
          <t>TSLL US 07/18/25 P23</t>
        </is>
      </c>
      <c r="C1005" t="inlineStr">
        <is>
          <t>2025-07-18</t>
        </is>
      </c>
      <c r="D1005" t="n">
        <v>23</v>
      </c>
      <c r="E1005" t="inlineStr">
        <is>
          <t>BBG01V1T26F3</t>
        </is>
      </c>
    </row>
    <row r="1006">
      <c r="A1006" t="inlineStr">
        <is>
          <t>BBG01V1T2921 Equity</t>
        </is>
      </c>
      <c r="B1006" t="inlineStr">
        <is>
          <t>TSLL US 07/18/25 P24</t>
        </is>
      </c>
      <c r="C1006" t="inlineStr">
        <is>
          <t>2025-07-18</t>
        </is>
      </c>
      <c r="D1006" t="n">
        <v>24</v>
      </c>
      <c r="E1006" t="inlineStr">
        <is>
          <t>BBG01V1T2921</t>
        </is>
      </c>
    </row>
    <row r="1007">
      <c r="A1007" t="inlineStr">
        <is>
          <t>BBG01V4PTVD6 Equity</t>
        </is>
      </c>
      <c r="B1007" t="inlineStr">
        <is>
          <t>TSLL US 07/18/25 P25</t>
        </is>
      </c>
      <c r="C1007" t="inlineStr">
        <is>
          <t>2025-07-18</t>
        </is>
      </c>
      <c r="D1007" t="n">
        <v>25</v>
      </c>
      <c r="E1007" t="inlineStr">
        <is>
          <t>BBG01V4PTVD6</t>
        </is>
      </c>
    </row>
    <row r="1008">
      <c r="A1008" t="inlineStr">
        <is>
          <t>BBG01V55GXZ5 Equity</t>
        </is>
      </c>
      <c r="B1008" t="inlineStr">
        <is>
          <t>TSLL US 07/18/25 P26</t>
        </is>
      </c>
      <c r="C1008" t="inlineStr">
        <is>
          <t>2025-07-18</t>
        </is>
      </c>
      <c r="D1008" t="n">
        <v>26</v>
      </c>
      <c r="E1008" t="inlineStr">
        <is>
          <t>BBG01V55GXZ5</t>
        </is>
      </c>
    </row>
    <row r="1009">
      <c r="A1009" t="inlineStr">
        <is>
          <t>BBG01V55GZR9 Equity</t>
        </is>
      </c>
      <c r="B1009" t="inlineStr">
        <is>
          <t>TSLL US 07/18/25 P27</t>
        </is>
      </c>
      <c r="C1009" t="inlineStr">
        <is>
          <t>2025-07-18</t>
        </is>
      </c>
      <c r="D1009" t="n">
        <v>27</v>
      </c>
      <c r="E1009" t="inlineStr">
        <is>
          <t>BBG01V55GZR9</t>
        </is>
      </c>
    </row>
    <row r="1010">
      <c r="A1010" t="inlineStr">
        <is>
          <t>BBG01V55FJ05 Equity</t>
        </is>
      </c>
      <c r="B1010" t="inlineStr">
        <is>
          <t>TSLL US 07/18/25 P28</t>
        </is>
      </c>
      <c r="C1010" t="inlineStr">
        <is>
          <t>2025-07-18</t>
        </is>
      </c>
      <c r="D1010" t="n">
        <v>28</v>
      </c>
      <c r="E1010" t="inlineStr">
        <is>
          <t>BBG01V55FJ05</t>
        </is>
      </c>
    </row>
    <row r="1011">
      <c r="A1011" t="inlineStr">
        <is>
          <t>BBG01V55GYL8 Equity</t>
        </is>
      </c>
      <c r="B1011" t="inlineStr">
        <is>
          <t>TSLL US 07/18/25 P29</t>
        </is>
      </c>
      <c r="C1011" t="inlineStr">
        <is>
          <t>2025-07-18</t>
        </is>
      </c>
      <c r="D1011" t="n">
        <v>29</v>
      </c>
      <c r="E1011" t="inlineStr">
        <is>
          <t>BBG01V55GYL8</t>
        </is>
      </c>
    </row>
    <row r="1012">
      <c r="A1012" t="inlineStr">
        <is>
          <t>BBG01V55GXC0 Equity</t>
        </is>
      </c>
      <c r="B1012" t="inlineStr">
        <is>
          <t>TSLL US 07/18/25 P30</t>
        </is>
      </c>
      <c r="C1012" t="inlineStr">
        <is>
          <t>2025-07-18</t>
        </is>
      </c>
      <c r="D1012" t="n">
        <v>30</v>
      </c>
      <c r="E1012" t="inlineStr">
        <is>
          <t>BBG01V55GXC0</t>
        </is>
      </c>
    </row>
    <row r="1013">
      <c r="A1013" t="inlineStr">
        <is>
          <t>BBG01V55GWR6 Equity</t>
        </is>
      </c>
      <c r="B1013" t="inlineStr">
        <is>
          <t>TSLL US 07/18/25 P31</t>
        </is>
      </c>
      <c r="C1013" t="inlineStr">
        <is>
          <t>2025-07-18</t>
        </is>
      </c>
      <c r="D1013" t="n">
        <v>31</v>
      </c>
      <c r="E1013" t="inlineStr">
        <is>
          <t>BBG01V55GWR6</t>
        </is>
      </c>
    </row>
    <row r="1014">
      <c r="A1014" t="inlineStr">
        <is>
          <t>BBG01V8NFW40 Equity</t>
        </is>
      </c>
      <c r="B1014" t="inlineStr">
        <is>
          <t>TSLL US 07/18/25 P32</t>
        </is>
      </c>
      <c r="C1014" t="inlineStr">
        <is>
          <t>2025-07-18</t>
        </is>
      </c>
      <c r="D1014" t="n">
        <v>32</v>
      </c>
      <c r="E1014" t="inlineStr">
        <is>
          <t>BBG01V8NFW40</t>
        </is>
      </c>
    </row>
    <row r="1015">
      <c r="A1015" t="inlineStr">
        <is>
          <t>BBG01V8NFVJ6 Equity</t>
        </is>
      </c>
      <c r="B1015" t="inlineStr">
        <is>
          <t>TSLL US 07/18/25 P33</t>
        </is>
      </c>
      <c r="C1015" t="inlineStr">
        <is>
          <t>2025-07-18</t>
        </is>
      </c>
      <c r="D1015" t="n">
        <v>33</v>
      </c>
      <c r="E1015" t="inlineStr">
        <is>
          <t>BBG01V8NFVJ6</t>
        </is>
      </c>
    </row>
    <row r="1016">
      <c r="A1016" t="inlineStr">
        <is>
          <t>BBG01VNBJ820 Equity</t>
        </is>
      </c>
      <c r="B1016" t="inlineStr">
        <is>
          <t>TSLL US 08/15/25 P2</t>
        </is>
      </c>
      <c r="C1016" t="inlineStr">
        <is>
          <t>2025-08-15</t>
        </is>
      </c>
      <c r="D1016" t="n">
        <v>2</v>
      </c>
      <c r="E1016" t="inlineStr">
        <is>
          <t>BBG01VNBJ820</t>
        </is>
      </c>
    </row>
    <row r="1017">
      <c r="A1017" t="inlineStr">
        <is>
          <t>BBG01VNBHWJ1 Equity</t>
        </is>
      </c>
      <c r="B1017" t="inlineStr">
        <is>
          <t>TSLL US 08/15/25 P3</t>
        </is>
      </c>
      <c r="C1017" t="inlineStr">
        <is>
          <t>2025-08-15</t>
        </is>
      </c>
      <c r="D1017" t="n">
        <v>3</v>
      </c>
      <c r="E1017" t="inlineStr">
        <is>
          <t>BBG01VNBHWJ1</t>
        </is>
      </c>
    </row>
    <row r="1018">
      <c r="A1018" t="inlineStr">
        <is>
          <t>BBG01VNBJ6D2 Equity</t>
        </is>
      </c>
      <c r="B1018" t="inlineStr">
        <is>
          <t>TSLL US 08/15/25 P4</t>
        </is>
      </c>
      <c r="C1018" t="inlineStr">
        <is>
          <t>2025-08-15</t>
        </is>
      </c>
      <c r="D1018" t="n">
        <v>4</v>
      </c>
      <c r="E1018" t="inlineStr">
        <is>
          <t>BBG01VNBJ6D2</t>
        </is>
      </c>
    </row>
    <row r="1019">
      <c r="A1019" t="inlineStr">
        <is>
          <t>BBG01VNBJC03 Equity</t>
        </is>
      </c>
      <c r="B1019" t="inlineStr">
        <is>
          <t>TSLL US 08/15/25 P5</t>
        </is>
      </c>
      <c r="C1019" t="inlineStr">
        <is>
          <t>2025-08-15</t>
        </is>
      </c>
      <c r="D1019" t="n">
        <v>5</v>
      </c>
      <c r="E1019" t="inlineStr">
        <is>
          <t>BBG01VNBJC03</t>
        </is>
      </c>
    </row>
    <row r="1020">
      <c r="A1020" t="inlineStr">
        <is>
          <t>BBG01VNBJFT5 Equity</t>
        </is>
      </c>
      <c r="B1020" t="inlineStr">
        <is>
          <t>TSLL US 08/15/25 P6</t>
        </is>
      </c>
      <c r="C1020" t="inlineStr">
        <is>
          <t>2025-08-15</t>
        </is>
      </c>
      <c r="D1020" t="n">
        <v>6</v>
      </c>
      <c r="E1020" t="inlineStr">
        <is>
          <t>BBG01VNBJFT5</t>
        </is>
      </c>
    </row>
    <row r="1021">
      <c r="A1021" t="inlineStr">
        <is>
          <t>BBG01VNBJBD1 Equity</t>
        </is>
      </c>
      <c r="B1021" t="inlineStr">
        <is>
          <t>TSLL US 08/15/25 P7</t>
        </is>
      </c>
      <c r="C1021" t="inlineStr">
        <is>
          <t>2025-08-15</t>
        </is>
      </c>
      <c r="D1021" t="n">
        <v>7</v>
      </c>
      <c r="E1021" t="inlineStr">
        <is>
          <t>BBG01VNBJBD1</t>
        </is>
      </c>
    </row>
    <row r="1022">
      <c r="A1022" t="inlineStr">
        <is>
          <t>BBG01VNBHNM7 Equity</t>
        </is>
      </c>
      <c r="B1022" t="inlineStr">
        <is>
          <t>TSLL US 08/15/25 P8</t>
        </is>
      </c>
      <c r="C1022" t="inlineStr">
        <is>
          <t>2025-08-15</t>
        </is>
      </c>
      <c r="D1022" t="n">
        <v>8</v>
      </c>
      <c r="E1022" t="inlineStr">
        <is>
          <t>BBG01VNBHNM7</t>
        </is>
      </c>
    </row>
    <row r="1023">
      <c r="A1023" t="inlineStr">
        <is>
          <t>BBG01VNBHX45 Equity</t>
        </is>
      </c>
      <c r="B1023" t="inlineStr">
        <is>
          <t>TSLL US 08/15/25 P9</t>
        </is>
      </c>
      <c r="C1023" t="inlineStr">
        <is>
          <t>2025-08-15</t>
        </is>
      </c>
      <c r="D1023" t="n">
        <v>9</v>
      </c>
      <c r="E1023" t="inlineStr">
        <is>
          <t>BBG01VNBHX45</t>
        </is>
      </c>
    </row>
    <row r="1024">
      <c r="A1024" t="inlineStr">
        <is>
          <t>BBG01VNBJ7M0 Equity</t>
        </is>
      </c>
      <c r="B1024" t="inlineStr">
        <is>
          <t>TSLL US 08/15/25 P10</t>
        </is>
      </c>
      <c r="C1024" t="inlineStr">
        <is>
          <t>2025-08-15</t>
        </is>
      </c>
      <c r="D1024" t="n">
        <v>10</v>
      </c>
      <c r="E1024" t="inlineStr">
        <is>
          <t>BBG01VNBJ7M0</t>
        </is>
      </c>
    </row>
    <row r="1025">
      <c r="A1025" t="inlineStr">
        <is>
          <t>BBG01VNBJ8P5 Equity</t>
        </is>
      </c>
      <c r="B1025" t="inlineStr">
        <is>
          <t>TSLL US 08/15/25 P11</t>
        </is>
      </c>
      <c r="C1025" t="inlineStr">
        <is>
          <t>2025-08-15</t>
        </is>
      </c>
      <c r="D1025" t="n">
        <v>11</v>
      </c>
      <c r="E1025" t="inlineStr">
        <is>
          <t>BBG01VNBJ8P5</t>
        </is>
      </c>
    </row>
    <row r="1026">
      <c r="A1026" t="inlineStr">
        <is>
          <t>BBG01VNBJF60 Equity</t>
        </is>
      </c>
      <c r="B1026" t="inlineStr">
        <is>
          <t>TSLL US 08/15/25 P12</t>
        </is>
      </c>
      <c r="C1026" t="inlineStr">
        <is>
          <t>2025-08-15</t>
        </is>
      </c>
      <c r="D1026" t="n">
        <v>12</v>
      </c>
      <c r="E1026" t="inlineStr">
        <is>
          <t>BBG01VNBJF60</t>
        </is>
      </c>
    </row>
    <row r="1027">
      <c r="A1027" t="inlineStr">
        <is>
          <t>BBG01VNBHXR0 Equity</t>
        </is>
      </c>
      <c r="B1027" t="inlineStr">
        <is>
          <t>TSLL US 08/15/25 P13</t>
        </is>
      </c>
      <c r="C1027" t="inlineStr">
        <is>
          <t>2025-08-15</t>
        </is>
      </c>
      <c r="D1027" t="n">
        <v>13</v>
      </c>
      <c r="E1027" t="inlineStr">
        <is>
          <t>BBG01VNBHXR0</t>
        </is>
      </c>
    </row>
    <row r="1028">
      <c r="A1028" t="inlineStr">
        <is>
          <t>BBG01VNBHN01 Equity</t>
        </is>
      </c>
      <c r="B1028" t="inlineStr">
        <is>
          <t>TSLL US 08/15/25 P14</t>
        </is>
      </c>
      <c r="C1028" t="inlineStr">
        <is>
          <t>2025-08-15</t>
        </is>
      </c>
      <c r="D1028" t="n">
        <v>14</v>
      </c>
      <c r="E1028" t="inlineStr">
        <is>
          <t>BBG01VNBHN01</t>
        </is>
      </c>
    </row>
    <row r="1029">
      <c r="A1029" t="inlineStr">
        <is>
          <t>BBG01VNBHZF8 Equity</t>
        </is>
      </c>
      <c r="B1029" t="inlineStr">
        <is>
          <t>TSLL US 08/15/25 P15</t>
        </is>
      </c>
      <c r="C1029" t="inlineStr">
        <is>
          <t>2025-08-15</t>
        </is>
      </c>
      <c r="D1029" t="n">
        <v>15</v>
      </c>
      <c r="E1029" t="inlineStr">
        <is>
          <t>BBG01VNBHZF8</t>
        </is>
      </c>
    </row>
    <row r="1030">
      <c r="A1030" t="inlineStr">
        <is>
          <t>BBG01VNBJGF8 Equity</t>
        </is>
      </c>
      <c r="B1030" t="inlineStr">
        <is>
          <t>TSLL US 08/15/25 P16</t>
        </is>
      </c>
      <c r="C1030" t="inlineStr">
        <is>
          <t>2025-08-15</t>
        </is>
      </c>
      <c r="D1030" t="n">
        <v>16</v>
      </c>
      <c r="E1030" t="inlineStr">
        <is>
          <t>BBG01VNBJGF8</t>
        </is>
      </c>
    </row>
    <row r="1031">
      <c r="A1031" t="inlineStr">
        <is>
          <t>BBG01VNBJCM9 Equity</t>
        </is>
      </c>
      <c r="B1031" t="inlineStr">
        <is>
          <t>TSLL US 08/15/25 P17</t>
        </is>
      </c>
      <c r="C1031" t="inlineStr">
        <is>
          <t>2025-08-15</t>
        </is>
      </c>
      <c r="D1031" t="n">
        <v>17</v>
      </c>
      <c r="E1031" t="inlineStr">
        <is>
          <t>BBG01VNBJCM9</t>
        </is>
      </c>
    </row>
    <row r="1032">
      <c r="A1032" t="inlineStr">
        <is>
          <t>BBG01VNBJ704 Equity</t>
        </is>
      </c>
      <c r="B1032" t="inlineStr">
        <is>
          <t>TSLL US 08/15/25 P18</t>
        </is>
      </c>
      <c r="C1032" t="inlineStr">
        <is>
          <t>2025-08-15</t>
        </is>
      </c>
      <c r="D1032" t="n">
        <v>18</v>
      </c>
      <c r="E1032" t="inlineStr">
        <is>
          <t>BBG01VNBJ704</t>
        </is>
      </c>
    </row>
    <row r="1033">
      <c r="A1033" t="inlineStr">
        <is>
          <t>BBG01VNBHYC4 Equity</t>
        </is>
      </c>
      <c r="B1033" t="inlineStr">
        <is>
          <t>TSLL US 08/15/25 P19</t>
        </is>
      </c>
      <c r="C1033" t="inlineStr">
        <is>
          <t>2025-08-15</t>
        </is>
      </c>
      <c r="D1033" t="n">
        <v>19</v>
      </c>
      <c r="E1033" t="inlineStr">
        <is>
          <t>BBG01VNBHYC4</t>
        </is>
      </c>
    </row>
    <row r="1034">
      <c r="A1034" t="inlineStr">
        <is>
          <t>BBG01VNBJ9S0 Equity</t>
        </is>
      </c>
      <c r="B1034" t="inlineStr">
        <is>
          <t>TSLL US 08/15/25 P20</t>
        </is>
      </c>
      <c r="C1034" t="inlineStr">
        <is>
          <t>2025-08-15</t>
        </is>
      </c>
      <c r="D1034" t="n">
        <v>20</v>
      </c>
      <c r="E1034" t="inlineStr">
        <is>
          <t>BBG01VNBJ9S0</t>
        </is>
      </c>
    </row>
    <row r="1035">
      <c r="A1035" t="inlineStr">
        <is>
          <t>BBG01VNBJDL8 Equity</t>
        </is>
      </c>
      <c r="B1035" t="inlineStr">
        <is>
          <t>TSLL US 08/15/25 P21</t>
        </is>
      </c>
      <c r="C1035" t="inlineStr">
        <is>
          <t>2025-08-15</t>
        </is>
      </c>
      <c r="D1035" t="n">
        <v>21</v>
      </c>
      <c r="E1035" t="inlineStr">
        <is>
          <t>BBG01VNBJDL8</t>
        </is>
      </c>
    </row>
    <row r="1036">
      <c r="A1036" t="inlineStr">
        <is>
          <t>BBG01VNBHYZ9 Equity</t>
        </is>
      </c>
      <c r="B1036" t="inlineStr">
        <is>
          <t>TSLL US 08/15/25 P22</t>
        </is>
      </c>
      <c r="C1036" t="inlineStr">
        <is>
          <t>2025-08-15</t>
        </is>
      </c>
      <c r="D1036" t="n">
        <v>22</v>
      </c>
      <c r="E1036" t="inlineStr">
        <is>
          <t>BBG01VNBHYZ9</t>
        </is>
      </c>
    </row>
    <row r="1037">
      <c r="A1037" t="inlineStr">
        <is>
          <t>BBG01VRH9RP7 Equity</t>
        </is>
      </c>
      <c r="B1037" t="inlineStr">
        <is>
          <t>TSLL US 08/15/25 P23</t>
        </is>
      </c>
      <c r="C1037" t="inlineStr">
        <is>
          <t>2025-08-15</t>
        </is>
      </c>
      <c r="D1037" t="n">
        <v>23</v>
      </c>
      <c r="E1037" t="inlineStr">
        <is>
          <t>BBG01VRH9RP7</t>
        </is>
      </c>
    </row>
    <row r="1038">
      <c r="A1038" t="inlineStr">
        <is>
          <t>BBG01VRH9SX6 Equity</t>
        </is>
      </c>
      <c r="B1038" t="inlineStr">
        <is>
          <t>TSLL US 08/15/25 P24</t>
        </is>
      </c>
      <c r="C1038" t="inlineStr">
        <is>
          <t>2025-08-15</t>
        </is>
      </c>
      <c r="D1038" t="n">
        <v>24</v>
      </c>
      <c r="E1038" t="inlineStr">
        <is>
          <t>BBG01VRH9SX6</t>
        </is>
      </c>
    </row>
    <row r="1039">
      <c r="A1039" t="inlineStr">
        <is>
          <t>BBG01VPGRBS3 Equity</t>
        </is>
      </c>
      <c r="B1039" t="inlineStr">
        <is>
          <t>TSLL US 08/15/25 P25</t>
        </is>
      </c>
      <c r="C1039" t="inlineStr">
        <is>
          <t>2025-08-15</t>
        </is>
      </c>
      <c r="D1039" t="n">
        <v>25</v>
      </c>
      <c r="E1039" t="inlineStr">
        <is>
          <t>BBG01VPGRBS3</t>
        </is>
      </c>
    </row>
    <row r="1040">
      <c r="A1040" t="inlineStr">
        <is>
          <t>BBG01VRH9V41 Equity</t>
        </is>
      </c>
      <c r="B1040" t="inlineStr">
        <is>
          <t>TSLL US 08/15/25 P26</t>
        </is>
      </c>
      <c r="C1040" t="inlineStr">
        <is>
          <t>2025-08-15</t>
        </is>
      </c>
      <c r="D1040" t="n">
        <v>26</v>
      </c>
      <c r="E1040" t="inlineStr">
        <is>
          <t>BBG01VRH9V41</t>
        </is>
      </c>
    </row>
    <row r="1041">
      <c r="A1041" t="inlineStr">
        <is>
          <t>BBG01VRH9S93 Equity</t>
        </is>
      </c>
      <c r="B1041" t="inlineStr">
        <is>
          <t>TSLL US 08/15/25 P27</t>
        </is>
      </c>
      <c r="C1041" t="inlineStr">
        <is>
          <t>2025-08-15</t>
        </is>
      </c>
      <c r="D1041" t="n">
        <v>27</v>
      </c>
      <c r="E1041" t="inlineStr">
        <is>
          <t>BBG01VRH9S93</t>
        </is>
      </c>
    </row>
    <row r="1042">
      <c r="A1042" t="inlineStr">
        <is>
          <t>BBG01VRH9TJ0 Equity</t>
        </is>
      </c>
      <c r="B1042" t="inlineStr">
        <is>
          <t>TSLL US 08/15/25 P28</t>
        </is>
      </c>
      <c r="C1042" t="inlineStr">
        <is>
          <t>2025-08-15</t>
        </is>
      </c>
      <c r="D1042" t="n">
        <v>28</v>
      </c>
      <c r="E1042" t="inlineStr">
        <is>
          <t>BBG01VRH9TJ0</t>
        </is>
      </c>
    </row>
    <row r="1043">
      <c r="A1043" t="inlineStr">
        <is>
          <t>BBG01SP0DR41 Equity</t>
        </is>
      </c>
      <c r="B1043" t="inlineStr">
        <is>
          <t>TSLL US 09/19/25 P1</t>
        </is>
      </c>
      <c r="C1043" t="inlineStr">
        <is>
          <t>2025-09-19</t>
        </is>
      </c>
      <c r="D1043" t="n">
        <v>1</v>
      </c>
      <c r="E1043" t="inlineStr">
        <is>
          <t>BBG01SP0DR41</t>
        </is>
      </c>
    </row>
    <row r="1044">
      <c r="A1044" t="inlineStr">
        <is>
          <t>BBG01SP0DSC0 Equity</t>
        </is>
      </c>
      <c r="B1044" t="inlineStr">
        <is>
          <t>TSLL US 09/19/25 P2</t>
        </is>
      </c>
      <c r="C1044" t="inlineStr">
        <is>
          <t>2025-09-19</t>
        </is>
      </c>
      <c r="D1044" t="n">
        <v>2</v>
      </c>
      <c r="E1044" t="inlineStr">
        <is>
          <t>BBG01SP0DSC0</t>
        </is>
      </c>
    </row>
    <row r="1045">
      <c r="A1045" t="inlineStr">
        <is>
          <t>BBG01SP0DRR6 Equity</t>
        </is>
      </c>
      <c r="B1045" t="inlineStr">
        <is>
          <t>TSLL US 09/19/25 P3</t>
        </is>
      </c>
      <c r="C1045" t="inlineStr">
        <is>
          <t>2025-09-19</t>
        </is>
      </c>
      <c r="D1045" t="n">
        <v>3</v>
      </c>
      <c r="E1045" t="inlineStr">
        <is>
          <t>BBG01SP0DRR6</t>
        </is>
      </c>
    </row>
    <row r="1046">
      <c r="A1046" t="inlineStr">
        <is>
          <t>BBG01SP0FVB2 Equity</t>
        </is>
      </c>
      <c r="B1046" t="inlineStr">
        <is>
          <t>TSLL US 09/19/25 P4</t>
        </is>
      </c>
      <c r="C1046" t="inlineStr">
        <is>
          <t>2025-09-19</t>
        </is>
      </c>
      <c r="D1046" t="n">
        <v>4</v>
      </c>
      <c r="E1046" t="inlineStr">
        <is>
          <t>BBG01SP0FVB2</t>
        </is>
      </c>
    </row>
    <row r="1047">
      <c r="A1047" t="inlineStr">
        <is>
          <t>BBG01S896B62 Equity</t>
        </is>
      </c>
      <c r="B1047" t="inlineStr">
        <is>
          <t>TSLL US 09/19/25 P5</t>
        </is>
      </c>
      <c r="C1047" t="inlineStr">
        <is>
          <t>2025-09-19</t>
        </is>
      </c>
      <c r="D1047" t="n">
        <v>5</v>
      </c>
      <c r="E1047" t="inlineStr">
        <is>
          <t>BBG01S896B62</t>
        </is>
      </c>
    </row>
    <row r="1048">
      <c r="A1048" t="inlineStr">
        <is>
          <t>BBG01S896HP8 Equity</t>
        </is>
      </c>
      <c r="B1048" t="inlineStr">
        <is>
          <t>TSLL US 09/19/25 P6</t>
        </is>
      </c>
      <c r="C1048" t="inlineStr">
        <is>
          <t>2025-09-19</t>
        </is>
      </c>
      <c r="D1048" t="n">
        <v>6</v>
      </c>
      <c r="E1048" t="inlineStr">
        <is>
          <t>BBG01S896HP8</t>
        </is>
      </c>
    </row>
    <row r="1049">
      <c r="A1049" t="inlineStr">
        <is>
          <t>BBG01S896SF5 Equity</t>
        </is>
      </c>
      <c r="B1049" t="inlineStr">
        <is>
          <t>TSLL US 09/19/25 P7</t>
        </is>
      </c>
      <c r="C1049" t="inlineStr">
        <is>
          <t>2025-09-19</t>
        </is>
      </c>
      <c r="D1049" t="n">
        <v>7</v>
      </c>
      <c r="E1049" t="inlineStr">
        <is>
          <t>BBG01S896SF5</t>
        </is>
      </c>
    </row>
    <row r="1050">
      <c r="A1050" t="inlineStr">
        <is>
          <t>BBG01S896BT7 Equity</t>
        </is>
      </c>
      <c r="B1050" t="inlineStr">
        <is>
          <t>TSLL US 09/19/25 P8</t>
        </is>
      </c>
      <c r="C1050" t="inlineStr">
        <is>
          <t>2025-09-19</t>
        </is>
      </c>
      <c r="D1050" t="n">
        <v>8</v>
      </c>
      <c r="E1050" t="inlineStr">
        <is>
          <t>BBG01S896BT7</t>
        </is>
      </c>
    </row>
    <row r="1051">
      <c r="A1051" t="inlineStr">
        <is>
          <t>BBG01S896CF0 Equity</t>
        </is>
      </c>
      <c r="B1051" t="inlineStr">
        <is>
          <t>TSLL US 09/19/25 P9</t>
        </is>
      </c>
      <c r="C1051" t="inlineStr">
        <is>
          <t>2025-09-19</t>
        </is>
      </c>
      <c r="D1051" t="n">
        <v>9</v>
      </c>
      <c r="E1051" t="inlineStr">
        <is>
          <t>BBG01S896CF0</t>
        </is>
      </c>
    </row>
    <row r="1052">
      <c r="A1052" t="inlineStr">
        <is>
          <t>BBG01S896R67 Equity</t>
        </is>
      </c>
      <c r="B1052" t="inlineStr">
        <is>
          <t>TSLL US 09/19/25 P10</t>
        </is>
      </c>
      <c r="C1052" t="inlineStr">
        <is>
          <t>2025-09-19</t>
        </is>
      </c>
      <c r="D1052" t="n">
        <v>10</v>
      </c>
      <c r="E1052" t="inlineStr">
        <is>
          <t>BBG01S896R67</t>
        </is>
      </c>
    </row>
    <row r="1053">
      <c r="A1053" t="inlineStr">
        <is>
          <t>BBG01S8974C0 Equity</t>
        </is>
      </c>
      <c r="B1053" t="inlineStr">
        <is>
          <t>TSLL US 09/19/25 P11</t>
        </is>
      </c>
      <c r="C1053" t="inlineStr">
        <is>
          <t>2025-09-19</t>
        </is>
      </c>
      <c r="D1053" t="n">
        <v>11</v>
      </c>
      <c r="E1053" t="inlineStr">
        <is>
          <t>BBG01S8974C0</t>
        </is>
      </c>
    </row>
    <row r="1054">
      <c r="A1054" t="inlineStr">
        <is>
          <t>BBG01S896J92 Equity</t>
        </is>
      </c>
      <c r="B1054" t="inlineStr">
        <is>
          <t>TSLL US 09/19/25 P12</t>
        </is>
      </c>
      <c r="C1054" t="inlineStr">
        <is>
          <t>2025-09-19</t>
        </is>
      </c>
      <c r="D1054" t="n">
        <v>12</v>
      </c>
      <c r="E1054" t="inlineStr">
        <is>
          <t>BBG01S896J92</t>
        </is>
      </c>
    </row>
    <row r="1055">
      <c r="A1055" t="inlineStr">
        <is>
          <t>BBG01S8969L0 Equity</t>
        </is>
      </c>
      <c r="B1055" t="inlineStr">
        <is>
          <t>TSLL US 09/19/25 P13</t>
        </is>
      </c>
      <c r="C1055" t="inlineStr">
        <is>
          <t>2025-09-19</t>
        </is>
      </c>
      <c r="D1055" t="n">
        <v>13</v>
      </c>
      <c r="E1055" t="inlineStr">
        <is>
          <t>BBG01S8969L0</t>
        </is>
      </c>
    </row>
    <row r="1056">
      <c r="A1056" t="inlineStr">
        <is>
          <t>BBG01S8976W3 Equity</t>
        </is>
      </c>
      <c r="B1056" t="inlineStr">
        <is>
          <t>TSLL US 09/19/25 P14</t>
        </is>
      </c>
      <c r="C1056" t="inlineStr">
        <is>
          <t>2025-09-19</t>
        </is>
      </c>
      <c r="D1056" t="n">
        <v>14</v>
      </c>
      <c r="E1056" t="inlineStr">
        <is>
          <t>BBG01S8976W3</t>
        </is>
      </c>
    </row>
    <row r="1057">
      <c r="A1057" t="inlineStr">
        <is>
          <t>BBG01RVVHSR7 Equity</t>
        </is>
      </c>
      <c r="B1057" t="inlineStr">
        <is>
          <t>TSLL US 09/19/25 P15</t>
        </is>
      </c>
      <c r="C1057" t="inlineStr">
        <is>
          <t>2025-09-19</t>
        </is>
      </c>
      <c r="D1057" t="n">
        <v>15</v>
      </c>
      <c r="E1057" t="inlineStr">
        <is>
          <t>BBG01RVVHSR7</t>
        </is>
      </c>
    </row>
    <row r="1058">
      <c r="A1058" t="inlineStr">
        <is>
          <t>BBG01S896RT2 Equity</t>
        </is>
      </c>
      <c r="B1058" t="inlineStr">
        <is>
          <t>TSLL US 09/19/25 P16</t>
        </is>
      </c>
      <c r="C1058" t="inlineStr">
        <is>
          <t>2025-09-19</t>
        </is>
      </c>
      <c r="D1058" t="n">
        <v>16</v>
      </c>
      <c r="E1058" t="inlineStr">
        <is>
          <t>BBG01S896RT2</t>
        </is>
      </c>
    </row>
    <row r="1059">
      <c r="A1059" t="inlineStr">
        <is>
          <t>BBG01S8973R6 Equity</t>
        </is>
      </c>
      <c r="B1059" t="inlineStr">
        <is>
          <t>TSLL US 09/19/25 P17</t>
        </is>
      </c>
      <c r="C1059" t="inlineStr">
        <is>
          <t>2025-09-19</t>
        </is>
      </c>
      <c r="D1059" t="n">
        <v>17</v>
      </c>
      <c r="E1059" t="inlineStr">
        <is>
          <t>BBG01S8973R6</t>
        </is>
      </c>
    </row>
    <row r="1060">
      <c r="A1060" t="inlineStr">
        <is>
          <t>BBG01RTV0GF7 Equity</t>
        </is>
      </c>
      <c r="B1060" t="inlineStr">
        <is>
          <t>TSLL US 09/19/25 P18</t>
        </is>
      </c>
      <c r="C1060" t="inlineStr">
        <is>
          <t>2025-09-19</t>
        </is>
      </c>
      <c r="D1060" t="n">
        <v>18</v>
      </c>
      <c r="E1060" t="inlineStr">
        <is>
          <t>BBG01RTV0GF7</t>
        </is>
      </c>
    </row>
    <row r="1061">
      <c r="A1061" t="inlineStr">
        <is>
          <t>BBG01RTV0696 Equity</t>
        </is>
      </c>
      <c r="B1061" t="inlineStr">
        <is>
          <t>TSLL US 09/19/25 P19</t>
        </is>
      </c>
      <c r="C1061" t="inlineStr">
        <is>
          <t>2025-09-19</t>
        </is>
      </c>
      <c r="D1061" t="n">
        <v>19</v>
      </c>
      <c r="E1061" t="inlineStr">
        <is>
          <t>BBG01RTV0696</t>
        </is>
      </c>
    </row>
    <row r="1062">
      <c r="A1062" t="inlineStr">
        <is>
          <t>BBG01RTTZWF9 Equity</t>
        </is>
      </c>
      <c r="B1062" t="inlineStr">
        <is>
          <t>TSLL US 09/19/25 P20</t>
        </is>
      </c>
      <c r="C1062" t="inlineStr">
        <is>
          <t>2025-09-19</t>
        </is>
      </c>
      <c r="D1062" t="n">
        <v>20</v>
      </c>
      <c r="E1062" t="inlineStr">
        <is>
          <t>BBG01RTTZWF9</t>
        </is>
      </c>
    </row>
    <row r="1063">
      <c r="A1063" t="inlineStr">
        <is>
          <t>BBG01RTV0WJ8 Equity</t>
        </is>
      </c>
      <c r="B1063" t="inlineStr">
        <is>
          <t>TSLL US 09/19/25 P21</t>
        </is>
      </c>
      <c r="C1063" t="inlineStr">
        <is>
          <t>2025-09-19</t>
        </is>
      </c>
      <c r="D1063" t="n">
        <v>21</v>
      </c>
      <c r="E1063" t="inlineStr">
        <is>
          <t>BBG01RTV0WJ8</t>
        </is>
      </c>
    </row>
    <row r="1064">
      <c r="A1064" t="inlineStr">
        <is>
          <t>BBG01RTV10K5 Equity</t>
        </is>
      </c>
      <c r="B1064" t="inlineStr">
        <is>
          <t>TSLL US 09/19/25 P22</t>
        </is>
      </c>
      <c r="C1064" t="inlineStr">
        <is>
          <t>2025-09-19</t>
        </is>
      </c>
      <c r="D1064" t="n">
        <v>22</v>
      </c>
      <c r="E1064" t="inlineStr">
        <is>
          <t>BBG01RTV10K5</t>
        </is>
      </c>
    </row>
    <row r="1065">
      <c r="A1065" t="inlineStr">
        <is>
          <t>BBG01RTV0VX4 Equity</t>
        </is>
      </c>
      <c r="B1065" t="inlineStr">
        <is>
          <t>TSLL US 09/19/25 P23</t>
        </is>
      </c>
      <c r="C1065" t="inlineStr">
        <is>
          <t>2025-09-19</t>
        </is>
      </c>
      <c r="D1065" t="n">
        <v>23</v>
      </c>
      <c r="E1065" t="inlineStr">
        <is>
          <t>BBG01RTV0VX4</t>
        </is>
      </c>
    </row>
    <row r="1066">
      <c r="A1066" t="inlineStr">
        <is>
          <t>BBG01RTTZQ62 Equity</t>
        </is>
      </c>
      <c r="B1066" t="inlineStr">
        <is>
          <t>TSLL US 09/19/25 P24</t>
        </is>
      </c>
      <c r="C1066" t="inlineStr">
        <is>
          <t>2025-09-19</t>
        </is>
      </c>
      <c r="D1066" t="n">
        <v>24</v>
      </c>
      <c r="E1066" t="inlineStr">
        <is>
          <t>BBG01RTTZQ62</t>
        </is>
      </c>
    </row>
    <row r="1067">
      <c r="A1067" t="inlineStr">
        <is>
          <t>BBG01RTTZX12 Equity</t>
        </is>
      </c>
      <c r="B1067" t="inlineStr">
        <is>
          <t>TSLL US 09/19/25 P25</t>
        </is>
      </c>
      <c r="C1067" t="inlineStr">
        <is>
          <t>2025-09-19</t>
        </is>
      </c>
      <c r="D1067" t="n">
        <v>25</v>
      </c>
      <c r="E1067" t="inlineStr">
        <is>
          <t>BBG01RTTZX12</t>
        </is>
      </c>
    </row>
    <row r="1068">
      <c r="A1068" t="inlineStr">
        <is>
          <t>BBG01RTTZVT6 Equity</t>
        </is>
      </c>
      <c r="B1068" t="inlineStr">
        <is>
          <t>TSLL US 09/19/25 P26</t>
        </is>
      </c>
      <c r="C1068" t="inlineStr">
        <is>
          <t>2025-09-19</t>
        </is>
      </c>
      <c r="D1068" t="n">
        <v>26</v>
      </c>
      <c r="E1068" t="inlineStr">
        <is>
          <t>BBG01RTTZVT6</t>
        </is>
      </c>
    </row>
    <row r="1069">
      <c r="A1069" t="inlineStr">
        <is>
          <t>BBG01RTV0ZY4 Equity</t>
        </is>
      </c>
      <c r="B1069" t="inlineStr">
        <is>
          <t>TSLL US 09/19/25 P27</t>
        </is>
      </c>
      <c r="C1069" t="inlineStr">
        <is>
          <t>2025-09-19</t>
        </is>
      </c>
      <c r="D1069" t="n">
        <v>27</v>
      </c>
      <c r="E1069" t="inlineStr">
        <is>
          <t>BBG01RTV0ZY4</t>
        </is>
      </c>
    </row>
    <row r="1070">
      <c r="A1070" t="inlineStr">
        <is>
          <t>BBG01RTTZPL7 Equity</t>
        </is>
      </c>
      <c r="B1070" t="inlineStr">
        <is>
          <t>TSLL US 09/19/25 P28</t>
        </is>
      </c>
      <c r="C1070" t="inlineStr">
        <is>
          <t>2025-09-19</t>
        </is>
      </c>
      <c r="D1070" t="n">
        <v>28</v>
      </c>
      <c r="E1070" t="inlineStr">
        <is>
          <t>BBG01RTTZPL7</t>
        </is>
      </c>
    </row>
    <row r="1071">
      <c r="A1071" t="inlineStr">
        <is>
          <t>BBG01RTV05P0 Equity</t>
        </is>
      </c>
      <c r="B1071" t="inlineStr">
        <is>
          <t>TSLL US 09/19/25 P29</t>
        </is>
      </c>
      <c r="C1071" t="inlineStr">
        <is>
          <t>2025-09-19</t>
        </is>
      </c>
      <c r="D1071" t="n">
        <v>29</v>
      </c>
      <c r="E1071" t="inlineStr">
        <is>
          <t>BBG01RTV05P0</t>
        </is>
      </c>
    </row>
    <row r="1072">
      <c r="A1072" t="inlineStr">
        <is>
          <t>BBG01RTTZNZ7 Equity</t>
        </is>
      </c>
      <c r="B1072" t="inlineStr">
        <is>
          <t>TSLL US 09/19/25 P30</t>
        </is>
      </c>
      <c r="C1072" t="inlineStr">
        <is>
          <t>2025-09-19</t>
        </is>
      </c>
      <c r="D1072" t="n">
        <v>30</v>
      </c>
      <c r="E1072" t="inlineStr">
        <is>
          <t>BBG01RTTZNZ7</t>
        </is>
      </c>
    </row>
    <row r="1073">
      <c r="A1073" t="inlineStr">
        <is>
          <t>BBG01RTV03W7 Equity</t>
        </is>
      </c>
      <c r="B1073" t="inlineStr">
        <is>
          <t>TSLL US 09/19/25 P31</t>
        </is>
      </c>
      <c r="C1073" t="inlineStr">
        <is>
          <t>2025-09-19</t>
        </is>
      </c>
      <c r="D1073" t="n">
        <v>31</v>
      </c>
      <c r="E1073" t="inlineStr">
        <is>
          <t>BBG01RTV03W7</t>
        </is>
      </c>
    </row>
    <row r="1074">
      <c r="A1074" t="inlineStr">
        <is>
          <t>BBG01RTV11S5 Equity</t>
        </is>
      </c>
      <c r="B1074" t="inlineStr">
        <is>
          <t>TSLL US 09/19/25 P32</t>
        </is>
      </c>
      <c r="C1074" t="inlineStr">
        <is>
          <t>2025-09-19</t>
        </is>
      </c>
      <c r="D1074" t="n">
        <v>32</v>
      </c>
      <c r="E1074" t="inlineStr">
        <is>
          <t>BBG01RTV11S5</t>
        </is>
      </c>
    </row>
    <row r="1075">
      <c r="A1075" t="inlineStr">
        <is>
          <t>BBG01RTV06X9 Equity</t>
        </is>
      </c>
      <c r="B1075" t="inlineStr">
        <is>
          <t>TSLL US 09/19/25 P33</t>
        </is>
      </c>
      <c r="C1075" t="inlineStr">
        <is>
          <t>2025-09-19</t>
        </is>
      </c>
      <c r="D1075" t="n">
        <v>33</v>
      </c>
      <c r="E1075" t="inlineStr">
        <is>
          <t>BBG01RTV06X9</t>
        </is>
      </c>
    </row>
    <row r="1076">
      <c r="A1076" t="inlineStr">
        <is>
          <t>BBG01RTV0NW3 Equity</t>
        </is>
      </c>
      <c r="B1076" t="inlineStr">
        <is>
          <t>TSLL US 09/19/25 P34</t>
        </is>
      </c>
      <c r="C1076" t="inlineStr">
        <is>
          <t>2025-09-19</t>
        </is>
      </c>
      <c r="D1076" t="n">
        <v>34</v>
      </c>
      <c r="E1076" t="inlineStr">
        <is>
          <t>BBG01RTV0NW3</t>
        </is>
      </c>
    </row>
    <row r="1077">
      <c r="A1077" t="inlineStr">
        <is>
          <t>BBG01RTTZXN8 Equity</t>
        </is>
      </c>
      <c r="B1077" t="inlineStr">
        <is>
          <t>TSLL US 09/19/25 P35</t>
        </is>
      </c>
      <c r="C1077" t="inlineStr">
        <is>
          <t>2025-09-19</t>
        </is>
      </c>
      <c r="D1077" t="n">
        <v>35</v>
      </c>
      <c r="E1077" t="inlineStr">
        <is>
          <t>BBG01RTTZXN8</t>
        </is>
      </c>
    </row>
    <row r="1078">
      <c r="A1078" t="inlineStr">
        <is>
          <t>BBG01RTV1150 Equity</t>
        </is>
      </c>
      <c r="B1078" t="inlineStr">
        <is>
          <t>TSLL US 09/19/25 P36</t>
        </is>
      </c>
      <c r="C1078" t="inlineStr">
        <is>
          <t>2025-09-19</t>
        </is>
      </c>
      <c r="D1078" t="n">
        <v>36</v>
      </c>
      <c r="E1078" t="inlineStr">
        <is>
          <t>BBG01RTV1150</t>
        </is>
      </c>
    </row>
    <row r="1079">
      <c r="A1079" t="inlineStr">
        <is>
          <t>BBG01RTV0ZB9 Equity</t>
        </is>
      </c>
      <c r="B1079" t="inlineStr">
        <is>
          <t>TSLL US 09/19/25 P37</t>
        </is>
      </c>
      <c r="C1079" t="inlineStr">
        <is>
          <t>2025-09-19</t>
        </is>
      </c>
      <c r="D1079" t="n">
        <v>37</v>
      </c>
      <c r="E1079" t="inlineStr">
        <is>
          <t>BBG01RTV0ZB9</t>
        </is>
      </c>
    </row>
    <row r="1080">
      <c r="A1080" t="inlineStr">
        <is>
          <t>BBG01RTV0PH5 Equity</t>
        </is>
      </c>
      <c r="B1080" t="inlineStr">
        <is>
          <t>TSLL US 09/19/25 P38</t>
        </is>
      </c>
      <c r="C1080" t="inlineStr">
        <is>
          <t>2025-09-19</t>
        </is>
      </c>
      <c r="D1080" t="n">
        <v>38</v>
      </c>
      <c r="E1080" t="inlineStr">
        <is>
          <t>BBG01RTV0PH5</t>
        </is>
      </c>
    </row>
    <row r="1081">
      <c r="A1081" t="inlineStr">
        <is>
          <t>BBG01RVVLMR5 Equity</t>
        </is>
      </c>
      <c r="B1081" t="inlineStr">
        <is>
          <t>TSLL US 09/19/25 P40</t>
        </is>
      </c>
      <c r="C1081" t="inlineStr">
        <is>
          <t>2025-09-19</t>
        </is>
      </c>
      <c r="D1081" t="n">
        <v>40</v>
      </c>
      <c r="E1081" t="inlineStr">
        <is>
          <t>BBG01RVVLMR5</t>
        </is>
      </c>
    </row>
    <row r="1082">
      <c r="A1082" t="inlineStr">
        <is>
          <t>BBG01WQQ0B16 Equity</t>
        </is>
      </c>
      <c r="B1082" t="inlineStr">
        <is>
          <t>TSLL US 10/17/25 P3</t>
        </is>
      </c>
      <c r="C1082" t="inlineStr">
        <is>
          <t>2025-10-17</t>
        </is>
      </c>
      <c r="D1082" t="n">
        <v>3</v>
      </c>
      <c r="E1082" t="inlineStr">
        <is>
          <t>BBG01WQQ0B16</t>
        </is>
      </c>
    </row>
    <row r="1083">
      <c r="A1083" t="inlineStr">
        <is>
          <t>BBG01WQPZQ17 Equity</t>
        </is>
      </c>
      <c r="B1083" t="inlineStr">
        <is>
          <t>TSLL US 10/17/25 P4</t>
        </is>
      </c>
      <c r="C1083" t="inlineStr">
        <is>
          <t>2025-10-17</t>
        </is>
      </c>
      <c r="D1083" t="n">
        <v>4</v>
      </c>
      <c r="E1083" t="inlineStr">
        <is>
          <t>BBG01WQPZQ17</t>
        </is>
      </c>
    </row>
    <row r="1084">
      <c r="A1084" t="inlineStr">
        <is>
          <t>BBG01WQPW598 Equity</t>
        </is>
      </c>
      <c r="B1084" t="inlineStr">
        <is>
          <t>TSLL US 10/17/25 P5</t>
        </is>
      </c>
      <c r="C1084" t="inlineStr">
        <is>
          <t>2025-10-17</t>
        </is>
      </c>
      <c r="D1084" t="n">
        <v>5</v>
      </c>
      <c r="E1084" t="inlineStr">
        <is>
          <t>BBG01WQPW598</t>
        </is>
      </c>
    </row>
    <row r="1085">
      <c r="A1085" t="inlineStr">
        <is>
          <t>BBG01WQPVMQ3 Equity</t>
        </is>
      </c>
      <c r="B1085" t="inlineStr">
        <is>
          <t>TSLL US 10/17/25 P6</t>
        </is>
      </c>
      <c r="C1085" t="inlineStr">
        <is>
          <t>2025-10-17</t>
        </is>
      </c>
      <c r="D1085" t="n">
        <v>6</v>
      </c>
      <c r="E1085" t="inlineStr">
        <is>
          <t>BBG01WQPVMQ3</t>
        </is>
      </c>
    </row>
    <row r="1086">
      <c r="A1086" t="inlineStr">
        <is>
          <t>BBG01WQPW6J5 Equity</t>
        </is>
      </c>
      <c r="B1086" t="inlineStr">
        <is>
          <t>TSLL US 10/17/25 P7</t>
        </is>
      </c>
      <c r="C1086" t="inlineStr">
        <is>
          <t>2025-10-17</t>
        </is>
      </c>
      <c r="D1086" t="n">
        <v>7</v>
      </c>
      <c r="E1086" t="inlineStr">
        <is>
          <t>BBG01WQPW6J5</t>
        </is>
      </c>
    </row>
    <row r="1087">
      <c r="A1087" t="inlineStr">
        <is>
          <t>BBG01WQPWY13 Equity</t>
        </is>
      </c>
      <c r="B1087" t="inlineStr">
        <is>
          <t>TSLL US 10/17/25 P8</t>
        </is>
      </c>
      <c r="C1087" t="inlineStr">
        <is>
          <t>2025-10-17</t>
        </is>
      </c>
      <c r="D1087" t="n">
        <v>8</v>
      </c>
      <c r="E1087" t="inlineStr">
        <is>
          <t>BBG01WQPWY13</t>
        </is>
      </c>
    </row>
    <row r="1088">
      <c r="A1088" t="inlineStr">
        <is>
          <t>BBG01WQPZQN3 Equity</t>
        </is>
      </c>
      <c r="B1088" t="inlineStr">
        <is>
          <t>TSLL US 10/17/25 P9</t>
        </is>
      </c>
      <c r="C1088" t="inlineStr">
        <is>
          <t>2025-10-17</t>
        </is>
      </c>
      <c r="D1088" t="n">
        <v>9</v>
      </c>
      <c r="E1088" t="inlineStr">
        <is>
          <t>BBG01WQPZQN3</t>
        </is>
      </c>
    </row>
    <row r="1089">
      <c r="A1089" t="inlineStr">
        <is>
          <t>BBG01WQPWW62 Equity</t>
        </is>
      </c>
      <c r="B1089" t="inlineStr">
        <is>
          <t>TSLL US 10/17/25 P10</t>
        </is>
      </c>
      <c r="C1089" t="inlineStr">
        <is>
          <t>2025-10-17</t>
        </is>
      </c>
      <c r="D1089" t="n">
        <v>10</v>
      </c>
      <c r="E1089" t="inlineStr">
        <is>
          <t>BBG01WQPWW62</t>
        </is>
      </c>
    </row>
    <row r="1090">
      <c r="A1090" t="inlineStr">
        <is>
          <t>BBG01WQPWVL7 Equity</t>
        </is>
      </c>
      <c r="B1090" t="inlineStr">
        <is>
          <t>TSLL US 10/17/25 P11</t>
        </is>
      </c>
      <c r="C1090" t="inlineStr">
        <is>
          <t>2025-10-17</t>
        </is>
      </c>
      <c r="D1090" t="n">
        <v>11</v>
      </c>
      <c r="E1090" t="inlineStr">
        <is>
          <t>BBG01WQPWVL7</t>
        </is>
      </c>
    </row>
    <row r="1091">
      <c r="A1091" t="inlineStr">
        <is>
          <t>BBG01WQPVNB7 Equity</t>
        </is>
      </c>
      <c r="B1091" t="inlineStr">
        <is>
          <t>TSLL US 10/17/25 P12</t>
        </is>
      </c>
      <c r="C1091" t="inlineStr">
        <is>
          <t>2025-10-17</t>
        </is>
      </c>
      <c r="D1091" t="n">
        <v>12</v>
      </c>
      <c r="E1091" t="inlineStr">
        <is>
          <t>BBG01WQPVNB7</t>
        </is>
      </c>
    </row>
    <row r="1092">
      <c r="A1092" t="inlineStr">
        <is>
          <t>BBG01WQQ09F6 Equity</t>
        </is>
      </c>
      <c r="B1092" t="inlineStr">
        <is>
          <t>TSLL US 10/17/25 P13</t>
        </is>
      </c>
      <c r="C1092" t="inlineStr">
        <is>
          <t>2025-10-17</t>
        </is>
      </c>
      <c r="D1092" t="n">
        <v>13</v>
      </c>
      <c r="E1092" t="inlineStr">
        <is>
          <t>BBG01WQQ09F6</t>
        </is>
      </c>
    </row>
    <row r="1093">
      <c r="A1093" t="inlineStr">
        <is>
          <t>BBG01WQPZPF4 Equity</t>
        </is>
      </c>
      <c r="B1093" t="inlineStr">
        <is>
          <t>TSLL US 10/17/25 P14</t>
        </is>
      </c>
      <c r="C1093" t="inlineStr">
        <is>
          <t>2025-10-17</t>
        </is>
      </c>
      <c r="D1093" t="n">
        <v>14</v>
      </c>
      <c r="E1093" t="inlineStr">
        <is>
          <t>BBG01WQPZPF4</t>
        </is>
      </c>
    </row>
    <row r="1094">
      <c r="A1094" t="inlineStr">
        <is>
          <t>BBG01XGXP366 Equity</t>
        </is>
      </c>
      <c r="B1094" t="inlineStr">
        <is>
          <t>TSLL US 10/17/25 P14.5</t>
        </is>
      </c>
      <c r="C1094" t="inlineStr">
        <is>
          <t>2025-10-17</t>
        </is>
      </c>
      <c r="D1094" t="n">
        <v>14.5</v>
      </c>
      <c r="E1094" t="inlineStr">
        <is>
          <t>BBG01XGXP366</t>
        </is>
      </c>
    </row>
    <row r="1095">
      <c r="A1095" t="inlineStr">
        <is>
          <t>BBG01WQPW4P3 Equity</t>
        </is>
      </c>
      <c r="B1095" t="inlineStr">
        <is>
          <t>TSLL US 10/17/25 P15</t>
        </is>
      </c>
      <c r="C1095" t="inlineStr">
        <is>
          <t>2025-10-17</t>
        </is>
      </c>
      <c r="D1095" t="n">
        <v>15</v>
      </c>
      <c r="E1095" t="inlineStr">
        <is>
          <t>BBG01WQPW4P3</t>
        </is>
      </c>
    </row>
    <row r="1096">
      <c r="A1096" t="inlineStr">
        <is>
          <t>BBG01XGXP4F4 Equity</t>
        </is>
      </c>
      <c r="B1096" t="inlineStr">
        <is>
          <t>TSLL US 10/17/25 P15.5</t>
        </is>
      </c>
      <c r="C1096" t="inlineStr">
        <is>
          <t>2025-10-17</t>
        </is>
      </c>
      <c r="D1096" t="n">
        <v>15.5</v>
      </c>
      <c r="E1096" t="inlineStr">
        <is>
          <t>BBG01XGXP4F4</t>
        </is>
      </c>
    </row>
    <row r="1097">
      <c r="A1097" t="inlineStr">
        <is>
          <t>BBG01WQPWXF0 Equity</t>
        </is>
      </c>
      <c r="B1097" t="inlineStr">
        <is>
          <t>TSLL US 10/17/25 P16</t>
        </is>
      </c>
      <c r="C1097" t="inlineStr">
        <is>
          <t>2025-10-17</t>
        </is>
      </c>
      <c r="D1097" t="n">
        <v>16</v>
      </c>
      <c r="E1097" t="inlineStr">
        <is>
          <t>BBG01WQPWXF0</t>
        </is>
      </c>
    </row>
    <row r="1098">
      <c r="A1098" t="inlineStr">
        <is>
          <t>BBG01XGXP2L1 Equity</t>
        </is>
      </c>
      <c r="B1098" t="inlineStr">
        <is>
          <t>TSLL US 10/17/25 P16.5</t>
        </is>
      </c>
      <c r="C1098" t="inlineStr">
        <is>
          <t>2025-10-17</t>
        </is>
      </c>
      <c r="D1098" t="n">
        <v>16.5</v>
      </c>
      <c r="E1098" t="inlineStr">
        <is>
          <t>BBG01XGXP2L1</t>
        </is>
      </c>
    </row>
    <row r="1099">
      <c r="A1099" t="inlineStr">
        <is>
          <t>BBG01WQPW5X1 Equity</t>
        </is>
      </c>
      <c r="B1099" t="inlineStr">
        <is>
          <t>TSLL US 10/17/25 P17</t>
        </is>
      </c>
      <c r="C1099" t="inlineStr">
        <is>
          <t>2025-10-17</t>
        </is>
      </c>
      <c r="D1099" t="n">
        <v>17</v>
      </c>
      <c r="E1099" t="inlineStr">
        <is>
          <t>BBG01WQPW5X1</t>
        </is>
      </c>
    </row>
    <row r="1100">
      <c r="A1100" t="inlineStr">
        <is>
          <t>BBG01XGXP3T1 Equity</t>
        </is>
      </c>
      <c r="B1100" t="inlineStr">
        <is>
          <t>TSLL US 10/17/25 P17.5</t>
        </is>
      </c>
      <c r="C1100" t="inlineStr">
        <is>
          <t>2025-10-17</t>
        </is>
      </c>
      <c r="D1100" t="n">
        <v>17.5</v>
      </c>
      <c r="E1100" t="inlineStr">
        <is>
          <t>BBG01XGXP3T1</t>
        </is>
      </c>
    </row>
    <row r="1101">
      <c r="A1101" t="inlineStr">
        <is>
          <t>BBG01WQPVPK2 Equity</t>
        </is>
      </c>
      <c r="B1101" t="inlineStr">
        <is>
          <t>TSLL US 10/17/25 P18</t>
        </is>
      </c>
      <c r="C1101" t="inlineStr">
        <is>
          <t>2025-10-17</t>
        </is>
      </c>
      <c r="D1101" t="n">
        <v>18</v>
      </c>
      <c r="E1101" t="inlineStr">
        <is>
          <t>BBG01WQPVPK2</t>
        </is>
      </c>
    </row>
    <row r="1102">
      <c r="A1102" t="inlineStr">
        <is>
          <t>BBG01XGXP516 Equity</t>
        </is>
      </c>
      <c r="B1102" t="inlineStr">
        <is>
          <t>TSLL US 10/17/25 P18.5</t>
        </is>
      </c>
      <c r="C1102" t="inlineStr">
        <is>
          <t>2025-10-17</t>
        </is>
      </c>
      <c r="D1102" t="n">
        <v>18.5</v>
      </c>
      <c r="E1102" t="inlineStr">
        <is>
          <t>BBG01XGXP516</t>
        </is>
      </c>
    </row>
    <row r="1103">
      <c r="A1103" t="inlineStr">
        <is>
          <t>BBG01WQPW428 Equity</t>
        </is>
      </c>
      <c r="B1103" t="inlineStr">
        <is>
          <t>TSLL US 10/17/25 P19</t>
        </is>
      </c>
      <c r="C1103" t="inlineStr">
        <is>
          <t>2025-10-17</t>
        </is>
      </c>
      <c r="D1103" t="n">
        <v>19</v>
      </c>
      <c r="E1103" t="inlineStr">
        <is>
          <t>BBG01WQPW428</t>
        </is>
      </c>
    </row>
    <row r="1104">
      <c r="A1104" t="inlineStr">
        <is>
          <t>BBG01WQPWWT7 Equity</t>
        </is>
      </c>
      <c r="B1104" t="inlineStr">
        <is>
          <t>TSLL US 10/17/25 P20</t>
        </is>
      </c>
      <c r="C1104" t="inlineStr">
        <is>
          <t>2025-10-17</t>
        </is>
      </c>
      <c r="D1104" t="n">
        <v>20</v>
      </c>
      <c r="E1104" t="inlineStr">
        <is>
          <t>BBG01WQPWWT7</t>
        </is>
      </c>
    </row>
    <row r="1105">
      <c r="A1105" t="inlineStr">
        <is>
          <t>BBG01WQPZR88 Equity</t>
        </is>
      </c>
      <c r="B1105" t="inlineStr">
        <is>
          <t>TSLL US 10/17/25 P21</t>
        </is>
      </c>
      <c r="C1105" t="inlineStr">
        <is>
          <t>2025-10-17</t>
        </is>
      </c>
      <c r="D1105" t="n">
        <v>21</v>
      </c>
      <c r="E1105" t="inlineStr">
        <is>
          <t>BBG01WQPZR88</t>
        </is>
      </c>
    </row>
    <row r="1106">
      <c r="A1106" t="inlineStr">
        <is>
          <t>BBG01WQPVNY2 Equity</t>
        </is>
      </c>
      <c r="B1106" t="inlineStr">
        <is>
          <t>TSLL US 10/17/25 P22</t>
        </is>
      </c>
      <c r="C1106" t="inlineStr">
        <is>
          <t>2025-10-17</t>
        </is>
      </c>
      <c r="D1106" t="n">
        <v>22</v>
      </c>
      <c r="E1106" t="inlineStr">
        <is>
          <t>BBG01WQPVNY2</t>
        </is>
      </c>
    </row>
    <row r="1107">
      <c r="A1107" t="inlineStr">
        <is>
          <t>BBG01WQPZNT4 Equity</t>
        </is>
      </c>
      <c r="B1107" t="inlineStr">
        <is>
          <t>TSLL US 10/17/25 P23</t>
        </is>
      </c>
      <c r="C1107" t="inlineStr">
        <is>
          <t>2025-10-17</t>
        </is>
      </c>
      <c r="D1107" t="n">
        <v>23</v>
      </c>
      <c r="E1107" t="inlineStr">
        <is>
          <t>BBG01WQPZNT4</t>
        </is>
      </c>
    </row>
    <row r="1108">
      <c r="A1108" t="inlineStr">
        <is>
          <t>BBG01WTJGCT0 Equity</t>
        </is>
      </c>
      <c r="B1108" t="inlineStr">
        <is>
          <t>TSLL US 10/17/25 P24</t>
        </is>
      </c>
      <c r="C1108" t="inlineStr">
        <is>
          <t>2025-10-17</t>
        </is>
      </c>
      <c r="D1108" t="n">
        <v>24</v>
      </c>
      <c r="E1108" t="inlineStr">
        <is>
          <t>BBG01WTJGCT0</t>
        </is>
      </c>
    </row>
    <row r="1109">
      <c r="A1109" t="inlineStr">
        <is>
          <t>BBG01WY3W3K0 Equity</t>
        </is>
      </c>
      <c r="B1109" t="inlineStr">
        <is>
          <t>TSLL US 10/17/25 P25</t>
        </is>
      </c>
      <c r="C1109" t="inlineStr">
        <is>
          <t>2025-10-17</t>
        </is>
      </c>
      <c r="D1109" t="n">
        <v>25</v>
      </c>
      <c r="E1109" t="inlineStr">
        <is>
          <t>BBG01WY3W3K0</t>
        </is>
      </c>
    </row>
    <row r="1110">
      <c r="A1110" t="inlineStr">
        <is>
          <t>BBG01X7JMS74 Equity</t>
        </is>
      </c>
      <c r="B1110" t="inlineStr">
        <is>
          <t>TSLL US 10/17/25 P26</t>
        </is>
      </c>
      <c r="C1110" t="inlineStr">
        <is>
          <t>2025-10-17</t>
        </is>
      </c>
      <c r="D1110" t="n">
        <v>26</v>
      </c>
      <c r="E1110" t="inlineStr">
        <is>
          <t>BBG01X7JMS74</t>
        </is>
      </c>
    </row>
    <row r="1111">
      <c r="A1111" t="inlineStr">
        <is>
          <t>BBG01X7JMTG2 Equity</t>
        </is>
      </c>
      <c r="B1111" t="inlineStr">
        <is>
          <t>TSLL US 10/17/25 P27</t>
        </is>
      </c>
      <c r="C1111" t="inlineStr">
        <is>
          <t>2025-10-17</t>
        </is>
      </c>
      <c r="D1111" t="n">
        <v>27</v>
      </c>
      <c r="E1111" t="inlineStr">
        <is>
          <t>BBG01X7JMTG2</t>
        </is>
      </c>
    </row>
    <row r="1112">
      <c r="A1112" t="inlineStr">
        <is>
          <t>BBG01X7JMSV7 Equity</t>
        </is>
      </c>
      <c r="B1112" t="inlineStr">
        <is>
          <t>TSLL US 10/17/25 P28</t>
        </is>
      </c>
      <c r="C1112" t="inlineStr">
        <is>
          <t>2025-10-17</t>
        </is>
      </c>
      <c r="D1112" t="n">
        <v>28</v>
      </c>
      <c r="E1112" t="inlineStr">
        <is>
          <t>BBG01X7JMSV7</t>
        </is>
      </c>
    </row>
    <row r="1113">
      <c r="A1113" t="inlineStr">
        <is>
          <t>BBG01X7JMRM9 Equity</t>
        </is>
      </c>
      <c r="B1113" t="inlineStr">
        <is>
          <t>TSLL US 10/17/25 P29</t>
        </is>
      </c>
      <c r="C1113" t="inlineStr">
        <is>
          <t>2025-10-17</t>
        </is>
      </c>
      <c r="D1113" t="n">
        <v>29</v>
      </c>
      <c r="E1113" t="inlineStr">
        <is>
          <t>BBG01X7JMRM9</t>
        </is>
      </c>
    </row>
    <row r="1114">
      <c r="A1114" t="inlineStr">
        <is>
          <t>BBG01X8X3555 Equity</t>
        </is>
      </c>
      <c r="B1114" t="inlineStr">
        <is>
          <t>TSLL US 10/17/25 P30</t>
        </is>
      </c>
      <c r="C1114" t="inlineStr">
        <is>
          <t>2025-10-17</t>
        </is>
      </c>
      <c r="D1114" t="n">
        <v>30</v>
      </c>
      <c r="E1114" t="inlineStr">
        <is>
          <t>BBG01X8X3555</t>
        </is>
      </c>
    </row>
    <row r="1115">
      <c r="A1115" t="inlineStr">
        <is>
          <t>BBG01X8X3706 Equity</t>
        </is>
      </c>
      <c r="B1115" t="inlineStr">
        <is>
          <t>TSLL US 10/17/25 P31</t>
        </is>
      </c>
      <c r="C1115" t="inlineStr">
        <is>
          <t>2025-10-17</t>
        </is>
      </c>
      <c r="D1115" t="n">
        <v>31</v>
      </c>
      <c r="E1115" t="inlineStr">
        <is>
          <t>BBG01X8X3706</t>
        </is>
      </c>
    </row>
    <row r="1116">
      <c r="A1116" t="inlineStr">
        <is>
          <t>BBG01X8X35S0 Equity</t>
        </is>
      </c>
      <c r="B1116" t="inlineStr">
        <is>
          <t>TSLL US 10/17/25 P32</t>
        </is>
      </c>
      <c r="C1116" t="inlineStr">
        <is>
          <t>2025-10-17</t>
        </is>
      </c>
      <c r="D1116" t="n">
        <v>32</v>
      </c>
      <c r="E1116" t="inlineStr">
        <is>
          <t>BBG01X8X35S0</t>
        </is>
      </c>
    </row>
    <row r="1117">
      <c r="A1117" t="inlineStr">
        <is>
          <t>BBG01X8X0YS0 Equity</t>
        </is>
      </c>
      <c r="B1117" t="inlineStr">
        <is>
          <t>TSLL US 10/17/25 P33</t>
        </is>
      </c>
      <c r="C1117" t="inlineStr">
        <is>
          <t>2025-10-17</t>
        </is>
      </c>
      <c r="D1117" t="n">
        <v>33</v>
      </c>
      <c r="E1117" t="inlineStr">
        <is>
          <t>BBG01X8X0YS0</t>
        </is>
      </c>
    </row>
    <row r="1118">
      <c r="A1118" t="inlineStr">
        <is>
          <t>BBG01X8X36D4 Equity</t>
        </is>
      </c>
      <c r="B1118" t="inlineStr">
        <is>
          <t>TSLL US 10/17/25 P34</t>
        </is>
      </c>
      <c r="C1118" t="inlineStr">
        <is>
          <t>2025-10-17</t>
        </is>
      </c>
      <c r="D1118" t="n">
        <v>34</v>
      </c>
      <c r="E1118" t="inlineStr">
        <is>
          <t>BBG01X8X36D4</t>
        </is>
      </c>
    </row>
    <row r="1119">
      <c r="A1119" t="inlineStr">
        <is>
          <t>BBG01XF0TVX3 Equity</t>
        </is>
      </c>
      <c r="B1119" t="inlineStr">
        <is>
          <t>TSLL US 11/21/25 P9</t>
        </is>
      </c>
      <c r="C1119" t="inlineStr">
        <is>
          <t>2025-11-21</t>
        </is>
      </c>
      <c r="D1119" t="n">
        <v>9</v>
      </c>
      <c r="E1119" t="inlineStr">
        <is>
          <t>BBG01XF0TVX3</t>
        </is>
      </c>
    </row>
    <row r="1120">
      <c r="A1120" t="inlineStr">
        <is>
          <t>BBG01XF0TS88 Equity</t>
        </is>
      </c>
      <c r="B1120" t="inlineStr">
        <is>
          <t>TSLL US 11/21/25 P10</t>
        </is>
      </c>
      <c r="C1120" t="inlineStr">
        <is>
          <t>2025-11-21</t>
        </is>
      </c>
      <c r="D1120" t="n">
        <v>10</v>
      </c>
      <c r="E1120" t="inlineStr">
        <is>
          <t>BBG01XF0TS88</t>
        </is>
      </c>
    </row>
    <row r="1121">
      <c r="A1121" t="inlineStr">
        <is>
          <t>BBG01XF0QZP6 Equity</t>
        </is>
      </c>
      <c r="B1121" t="inlineStr">
        <is>
          <t>TSLL US 11/21/25 P11</t>
        </is>
      </c>
      <c r="C1121" t="inlineStr">
        <is>
          <t>2025-11-21</t>
        </is>
      </c>
      <c r="D1121" t="n">
        <v>11</v>
      </c>
      <c r="E1121" t="inlineStr">
        <is>
          <t>BBG01XF0QZP6</t>
        </is>
      </c>
    </row>
    <row r="1122">
      <c r="A1122" t="inlineStr">
        <is>
          <t>BBG01XF0R3J3 Equity</t>
        </is>
      </c>
      <c r="B1122" t="inlineStr">
        <is>
          <t>TSLL US 11/21/25 P12</t>
        </is>
      </c>
      <c r="C1122" t="inlineStr">
        <is>
          <t>2025-11-21</t>
        </is>
      </c>
      <c r="D1122" t="n">
        <v>12</v>
      </c>
      <c r="E1122" t="inlineStr">
        <is>
          <t>BBG01XF0R3J3</t>
        </is>
      </c>
    </row>
    <row r="1123">
      <c r="A1123" t="inlineStr">
        <is>
          <t>BBG01XF0V2K8 Equity</t>
        </is>
      </c>
      <c r="B1123" t="inlineStr">
        <is>
          <t>TSLL US 11/21/25 P13</t>
        </is>
      </c>
      <c r="C1123" t="inlineStr">
        <is>
          <t>2025-11-21</t>
        </is>
      </c>
      <c r="D1123" t="n">
        <v>13</v>
      </c>
      <c r="E1123" t="inlineStr">
        <is>
          <t>BBG01XF0V2K8</t>
        </is>
      </c>
    </row>
    <row r="1124">
      <c r="A1124" t="inlineStr">
        <is>
          <t>BBG01XF0TYT2 Equity</t>
        </is>
      </c>
      <c r="B1124" t="inlineStr">
        <is>
          <t>TSLL US 11/21/25 P14</t>
        </is>
      </c>
      <c r="C1124" t="inlineStr">
        <is>
          <t>2025-11-21</t>
        </is>
      </c>
      <c r="D1124" t="n">
        <v>14</v>
      </c>
      <c r="E1124" t="inlineStr">
        <is>
          <t>BBG01XF0TYT2</t>
        </is>
      </c>
    </row>
    <row r="1125">
      <c r="A1125" t="inlineStr">
        <is>
          <t>BBG01XF0R6F0 Equity</t>
        </is>
      </c>
      <c r="B1125" t="inlineStr">
        <is>
          <t>TSLL US 11/21/25 P15</t>
        </is>
      </c>
      <c r="C1125" t="inlineStr">
        <is>
          <t>2025-11-21</t>
        </is>
      </c>
      <c r="D1125" t="n">
        <v>15</v>
      </c>
      <c r="E1125" t="inlineStr">
        <is>
          <t>BBG01XF0R6F0</t>
        </is>
      </c>
    </row>
    <row r="1126">
      <c r="A1126" t="inlineStr">
        <is>
          <t>BBG01XF0R562 Equity</t>
        </is>
      </c>
      <c r="B1126" t="inlineStr">
        <is>
          <t>TSLL US 11/21/25 P16</t>
        </is>
      </c>
      <c r="C1126" t="inlineStr">
        <is>
          <t>2025-11-21</t>
        </is>
      </c>
      <c r="D1126" t="n">
        <v>16</v>
      </c>
      <c r="E1126" t="inlineStr">
        <is>
          <t>BBG01XF0R562</t>
        </is>
      </c>
    </row>
    <row r="1127">
      <c r="A1127" t="inlineStr">
        <is>
          <t>BBG01XF0R090 Equity</t>
        </is>
      </c>
      <c r="B1127" t="inlineStr">
        <is>
          <t>TSLL US 11/21/25 P17</t>
        </is>
      </c>
      <c r="C1127" t="inlineStr">
        <is>
          <t>2025-11-21</t>
        </is>
      </c>
      <c r="D1127" t="n">
        <v>17</v>
      </c>
      <c r="E1127" t="inlineStr">
        <is>
          <t>BBG01XF0R090</t>
        </is>
      </c>
    </row>
    <row r="1128">
      <c r="A1128" t="inlineStr">
        <is>
          <t>BBG01XF0V1Y5 Equity</t>
        </is>
      </c>
      <c r="B1128" t="inlineStr">
        <is>
          <t>TSLL US 11/21/25 P18</t>
        </is>
      </c>
      <c r="C1128" t="inlineStr">
        <is>
          <t>2025-11-21</t>
        </is>
      </c>
      <c r="D1128" t="n">
        <v>18</v>
      </c>
      <c r="E1128" t="inlineStr">
        <is>
          <t>BBG01XF0V1Y5</t>
        </is>
      </c>
    </row>
    <row r="1129">
      <c r="A1129" t="inlineStr">
        <is>
          <t>BBG01XF0R5T7 Equity</t>
        </is>
      </c>
      <c r="B1129" t="inlineStr">
        <is>
          <t>TSLL US 11/21/25 P19</t>
        </is>
      </c>
      <c r="C1129" t="inlineStr">
        <is>
          <t>2025-11-21</t>
        </is>
      </c>
      <c r="D1129" t="n">
        <v>19</v>
      </c>
      <c r="E1129" t="inlineStr">
        <is>
          <t>BBG01XF0R5T7</t>
        </is>
      </c>
    </row>
    <row r="1130">
      <c r="A1130" t="inlineStr">
        <is>
          <t>BBG01XF0R2X9 Equity</t>
        </is>
      </c>
      <c r="B1130" t="inlineStr">
        <is>
          <t>TSLL US 11/21/25 P20</t>
        </is>
      </c>
      <c r="C1130" t="inlineStr">
        <is>
          <t>2025-11-21</t>
        </is>
      </c>
      <c r="D1130" t="n">
        <v>20</v>
      </c>
      <c r="E1130" t="inlineStr">
        <is>
          <t>BBG01XF0R2X9</t>
        </is>
      </c>
    </row>
    <row r="1131">
      <c r="A1131" t="inlineStr">
        <is>
          <t>BBG01XF0TY67 Equity</t>
        </is>
      </c>
      <c r="B1131" t="inlineStr">
        <is>
          <t>TSLL US 11/21/25 P21</t>
        </is>
      </c>
      <c r="C1131" t="inlineStr">
        <is>
          <t>2025-11-21</t>
        </is>
      </c>
      <c r="D1131" t="n">
        <v>21</v>
      </c>
      <c r="E1131" t="inlineStr">
        <is>
          <t>BBG01XF0TY67</t>
        </is>
      </c>
    </row>
    <row r="1132">
      <c r="A1132" t="inlineStr">
        <is>
          <t>BBG01XF0TV90 Equity</t>
        </is>
      </c>
      <c r="B1132" t="inlineStr">
        <is>
          <t>TSLL US 11/21/25 P22</t>
        </is>
      </c>
      <c r="C1132" t="inlineStr">
        <is>
          <t>2025-11-21</t>
        </is>
      </c>
      <c r="D1132" t="n">
        <v>22</v>
      </c>
      <c r="E1132" t="inlineStr">
        <is>
          <t>BBG01XF0TV90</t>
        </is>
      </c>
    </row>
    <row r="1133">
      <c r="A1133" t="inlineStr">
        <is>
          <t>BBG01XF0L979 Equity</t>
        </is>
      </c>
      <c r="B1133" t="inlineStr">
        <is>
          <t>TSLL US 11/21/25 P23</t>
        </is>
      </c>
      <c r="C1133" t="inlineStr">
        <is>
          <t>2025-11-21</t>
        </is>
      </c>
      <c r="D1133" t="n">
        <v>23</v>
      </c>
      <c r="E1133" t="inlineStr">
        <is>
          <t>BBG01XF0L979</t>
        </is>
      </c>
    </row>
    <row r="1134">
      <c r="A1134" t="inlineStr">
        <is>
          <t>BBG01XF0L808 Equity</t>
        </is>
      </c>
      <c r="B1134" t="inlineStr">
        <is>
          <t>TSLL US 11/21/25 P24</t>
        </is>
      </c>
      <c r="C1134" t="inlineStr">
        <is>
          <t>2025-11-21</t>
        </is>
      </c>
      <c r="D1134" t="n">
        <v>24</v>
      </c>
      <c r="E1134" t="inlineStr">
        <is>
          <t>BBG01XF0L808</t>
        </is>
      </c>
    </row>
    <row r="1135">
      <c r="A1135" t="inlineStr">
        <is>
          <t>BBG01XF0TWJ7 Equity</t>
        </is>
      </c>
      <c r="B1135" t="inlineStr">
        <is>
          <t>TSLL US 11/21/25 P25</t>
        </is>
      </c>
      <c r="C1135" t="inlineStr">
        <is>
          <t>2025-11-21</t>
        </is>
      </c>
      <c r="D1135" t="n">
        <v>25</v>
      </c>
      <c r="E1135" t="inlineStr">
        <is>
          <t>BBG01XF0TWJ7</t>
        </is>
      </c>
    </row>
    <row r="1136">
      <c r="A1136" t="inlineStr">
        <is>
          <t>BBG01XF0TRN3 Equity</t>
        </is>
      </c>
      <c r="B1136" t="inlineStr">
        <is>
          <t>TSLL US 11/21/25 P26</t>
        </is>
      </c>
      <c r="C1136" t="inlineStr">
        <is>
          <t>2025-11-21</t>
        </is>
      </c>
      <c r="D1136" t="n">
        <v>26</v>
      </c>
      <c r="E1136" t="inlineStr">
        <is>
          <t>BBG01XF0TRN3</t>
        </is>
      </c>
    </row>
    <row r="1137">
      <c r="A1137" t="inlineStr">
        <is>
          <t>BBG01XF0TR17 Equity</t>
        </is>
      </c>
      <c r="B1137" t="inlineStr">
        <is>
          <t>TSLL US 11/21/25 P27</t>
        </is>
      </c>
      <c r="C1137" t="inlineStr">
        <is>
          <t>2025-11-21</t>
        </is>
      </c>
      <c r="D1137" t="n">
        <v>27</v>
      </c>
      <c r="E1137" t="inlineStr">
        <is>
          <t>BBG01XF0TR17</t>
        </is>
      </c>
    </row>
    <row r="1138">
      <c r="A1138" t="inlineStr">
        <is>
          <t>BBG01XF0L8M4 Equity</t>
        </is>
      </c>
      <c r="B1138" t="inlineStr">
        <is>
          <t>TSLL US 11/21/25 P28</t>
        </is>
      </c>
      <c r="C1138" t="inlineStr">
        <is>
          <t>2025-11-21</t>
        </is>
      </c>
      <c r="D1138" t="n">
        <v>28</v>
      </c>
      <c r="E1138" t="inlineStr">
        <is>
          <t>BBG01XF0L8M4</t>
        </is>
      </c>
    </row>
    <row r="1139">
      <c r="A1139" t="inlineStr">
        <is>
          <t>BBG01XF0L7D6 Equity</t>
        </is>
      </c>
      <c r="B1139" t="inlineStr">
        <is>
          <t>TSLL US 11/21/25 P29</t>
        </is>
      </c>
      <c r="C1139" t="inlineStr">
        <is>
          <t>2025-11-21</t>
        </is>
      </c>
      <c r="D1139" t="n">
        <v>29</v>
      </c>
      <c r="E1139" t="inlineStr">
        <is>
          <t>BBG01XF0L7D6</t>
        </is>
      </c>
    </row>
    <row r="1140">
      <c r="A1140" t="inlineStr">
        <is>
          <t>BBG01XJXB6P0 Equity</t>
        </is>
      </c>
      <c r="B1140" t="inlineStr">
        <is>
          <t>TSLL US 11/21/25 P30</t>
        </is>
      </c>
      <c r="C1140" t="inlineStr">
        <is>
          <t>2025-11-21</t>
        </is>
      </c>
      <c r="D1140" t="n">
        <v>30</v>
      </c>
      <c r="E1140" t="inlineStr">
        <is>
          <t>BBG01XJXB6P0</t>
        </is>
      </c>
    </row>
    <row r="1141">
      <c r="A1141" t="inlineStr">
        <is>
          <t>BBG01TL3ZTK1 Equity</t>
        </is>
      </c>
      <c r="B1141" t="inlineStr">
        <is>
          <t>TSLL1 US 12/19/25 P1</t>
        </is>
      </c>
      <c r="C1141" t="inlineStr">
        <is>
          <t>2025-12-19</t>
        </is>
      </c>
      <c r="D1141" t="n">
        <v>1</v>
      </c>
      <c r="E1141" t="inlineStr">
        <is>
          <t>BBG01TL3ZTK1</t>
        </is>
      </c>
    </row>
    <row r="1142">
      <c r="A1142" t="inlineStr">
        <is>
          <t>BBG01TL405P4 Equity</t>
        </is>
      </c>
      <c r="B1142" t="inlineStr">
        <is>
          <t>TSLL1 US 12/19/25 P2</t>
        </is>
      </c>
      <c r="C1142" t="inlineStr">
        <is>
          <t>2025-12-19</t>
        </is>
      </c>
      <c r="D1142" t="n">
        <v>2</v>
      </c>
      <c r="E1142" t="inlineStr">
        <is>
          <t>BBG01TL405P4</t>
        </is>
      </c>
    </row>
    <row r="1143">
      <c r="A1143" t="inlineStr">
        <is>
          <t>BBG01TL3ZV53 Equity</t>
        </is>
      </c>
      <c r="B1143" t="inlineStr">
        <is>
          <t>TSLL1 US 12/19/25 P3</t>
        </is>
      </c>
      <c r="C1143" t="inlineStr">
        <is>
          <t>2025-12-19</t>
        </is>
      </c>
      <c r="D1143" t="n">
        <v>3</v>
      </c>
      <c r="E1143" t="inlineStr">
        <is>
          <t>BBG01TL3ZV53</t>
        </is>
      </c>
    </row>
    <row r="1144">
      <c r="A1144" t="inlineStr">
        <is>
          <t>BBG01TL41243 Equity</t>
        </is>
      </c>
      <c r="B1144" t="inlineStr">
        <is>
          <t>TSLL1 US 12/19/25 P4</t>
        </is>
      </c>
      <c r="C1144" t="inlineStr">
        <is>
          <t>2025-12-19</t>
        </is>
      </c>
      <c r="D1144" t="n">
        <v>4</v>
      </c>
      <c r="E1144" t="inlineStr">
        <is>
          <t>BBG01TL41243</t>
        </is>
      </c>
    </row>
    <row r="1145">
      <c r="A1145" t="inlineStr">
        <is>
          <t>BBG01TL3Z9T6 Equity</t>
        </is>
      </c>
      <c r="B1145" t="inlineStr">
        <is>
          <t>TSLL1 US 12/19/25 P5</t>
        </is>
      </c>
      <c r="C1145" t="inlineStr">
        <is>
          <t>2025-12-19</t>
        </is>
      </c>
      <c r="D1145" t="n">
        <v>5</v>
      </c>
      <c r="E1145" t="inlineStr">
        <is>
          <t>BBG01TL3Z9T6</t>
        </is>
      </c>
    </row>
    <row r="1146">
      <c r="A1146" t="inlineStr">
        <is>
          <t>BBG01TL40FM5 Equity</t>
        </is>
      </c>
      <c r="B1146" t="inlineStr">
        <is>
          <t>TSLL1 US 12/19/25 P6</t>
        </is>
      </c>
      <c r="C1146" t="inlineStr">
        <is>
          <t>2025-12-19</t>
        </is>
      </c>
      <c r="D1146" t="n">
        <v>6</v>
      </c>
      <c r="E1146" t="inlineStr">
        <is>
          <t>BBG01TL40FM5</t>
        </is>
      </c>
    </row>
    <row r="1147">
      <c r="A1147" t="inlineStr">
        <is>
          <t>BBG01TL40F09 Equity</t>
        </is>
      </c>
      <c r="B1147" t="inlineStr">
        <is>
          <t>TSLL1 US 12/19/25 P7</t>
        </is>
      </c>
      <c r="C1147" t="inlineStr">
        <is>
          <t>2025-12-19</t>
        </is>
      </c>
      <c r="D1147" t="n">
        <v>7</v>
      </c>
      <c r="E1147" t="inlineStr">
        <is>
          <t>BBG01TL40F09</t>
        </is>
      </c>
    </row>
    <row r="1148">
      <c r="A1148" t="inlineStr">
        <is>
          <t>BBG01TL40M77 Equity</t>
        </is>
      </c>
      <c r="B1148" t="inlineStr">
        <is>
          <t>TSLL1 US 12/19/25 P8</t>
        </is>
      </c>
      <c r="C1148" t="inlineStr">
        <is>
          <t>2025-12-19</t>
        </is>
      </c>
      <c r="D1148" t="n">
        <v>8</v>
      </c>
      <c r="E1148" t="inlineStr">
        <is>
          <t>BBG01TL40M77</t>
        </is>
      </c>
    </row>
    <row r="1149">
      <c r="A1149" t="inlineStr">
        <is>
          <t>BBG01TL411J9 Equity</t>
        </is>
      </c>
      <c r="B1149" t="inlineStr">
        <is>
          <t>TSLL1 US 12/19/25 P9</t>
        </is>
      </c>
      <c r="C1149" t="inlineStr">
        <is>
          <t>2025-12-19</t>
        </is>
      </c>
      <c r="D1149" t="n">
        <v>9</v>
      </c>
      <c r="E1149" t="inlineStr">
        <is>
          <t>BBG01TL411J9</t>
        </is>
      </c>
    </row>
    <row r="1150">
      <c r="A1150" t="inlineStr">
        <is>
          <t>BBG01TL410X5 Equity</t>
        </is>
      </c>
      <c r="B1150" t="inlineStr">
        <is>
          <t>TSLL1 US 12/19/25 P10</t>
        </is>
      </c>
      <c r="C1150" t="inlineStr">
        <is>
          <t>2025-12-19</t>
        </is>
      </c>
      <c r="D1150" t="n">
        <v>10</v>
      </c>
      <c r="E1150" t="inlineStr">
        <is>
          <t>BBG01TL410X5</t>
        </is>
      </c>
    </row>
    <row r="1151">
      <c r="A1151" t="inlineStr">
        <is>
          <t>BBG01TL40NB0 Equity</t>
        </is>
      </c>
      <c r="B1151" t="inlineStr">
        <is>
          <t>TSLL1 US 12/19/25 P11</t>
        </is>
      </c>
      <c r="C1151" t="inlineStr">
        <is>
          <t>2025-12-19</t>
        </is>
      </c>
      <c r="D1151" t="n">
        <v>11</v>
      </c>
      <c r="E1151" t="inlineStr">
        <is>
          <t>BBG01TL40NB0</t>
        </is>
      </c>
    </row>
    <row r="1152">
      <c r="A1152" t="inlineStr">
        <is>
          <t>BBG01TL40529 Equity</t>
        </is>
      </c>
      <c r="B1152" t="inlineStr">
        <is>
          <t>TSLL1 US 12/19/25 P12</t>
        </is>
      </c>
      <c r="C1152" t="inlineStr">
        <is>
          <t>2025-12-19</t>
        </is>
      </c>
      <c r="D1152" t="n">
        <v>12</v>
      </c>
      <c r="E1152" t="inlineStr">
        <is>
          <t>BBG01TL40529</t>
        </is>
      </c>
    </row>
    <row r="1153">
      <c r="A1153" t="inlineStr">
        <is>
          <t>BBG01TL3ZVS8 Equity</t>
        </is>
      </c>
      <c r="B1153" t="inlineStr">
        <is>
          <t>TSLL1 US 12/19/25 P13</t>
        </is>
      </c>
      <c r="C1153" t="inlineStr">
        <is>
          <t>2025-12-19</t>
        </is>
      </c>
      <c r="D1153" t="n">
        <v>13</v>
      </c>
      <c r="E1153" t="inlineStr">
        <is>
          <t>BBG01TL3ZVS8</t>
        </is>
      </c>
    </row>
    <row r="1154">
      <c r="A1154" t="inlineStr">
        <is>
          <t>BBG01TL41BR8 Equity</t>
        </is>
      </c>
      <c r="B1154" t="inlineStr">
        <is>
          <t>TSLL1 US 12/19/25 P14</t>
        </is>
      </c>
      <c r="C1154" t="inlineStr">
        <is>
          <t>2025-12-19</t>
        </is>
      </c>
      <c r="D1154" t="n">
        <v>14</v>
      </c>
      <c r="E1154" t="inlineStr">
        <is>
          <t>BBG01TL41BR8</t>
        </is>
      </c>
    </row>
    <row r="1155">
      <c r="A1155" t="inlineStr">
        <is>
          <t>BBG01TL3ZBF6 Equity</t>
        </is>
      </c>
      <c r="B1155" t="inlineStr">
        <is>
          <t>TSLL1 US 12/19/25 P15</t>
        </is>
      </c>
      <c r="C1155" t="inlineStr">
        <is>
          <t>2025-12-19</t>
        </is>
      </c>
      <c r="D1155" t="n">
        <v>15</v>
      </c>
      <c r="E1155" t="inlineStr">
        <is>
          <t>BBG01TL3ZBF6</t>
        </is>
      </c>
    </row>
    <row r="1156">
      <c r="A1156" t="inlineStr">
        <is>
          <t>BBG01TL40DD0 Equity</t>
        </is>
      </c>
      <c r="B1156" t="inlineStr">
        <is>
          <t>TSLL1 US 12/19/25 P16</t>
        </is>
      </c>
      <c r="C1156" t="inlineStr">
        <is>
          <t>2025-12-19</t>
        </is>
      </c>
      <c r="D1156" t="n">
        <v>16</v>
      </c>
      <c r="E1156" t="inlineStr">
        <is>
          <t>BBG01TL40DD0</t>
        </is>
      </c>
    </row>
    <row r="1157">
      <c r="A1157" t="inlineStr">
        <is>
          <t>BBG01TL40MQ6 Equity</t>
        </is>
      </c>
      <c r="B1157" t="inlineStr">
        <is>
          <t>TSLL1 US 12/19/25 P17</t>
        </is>
      </c>
      <c r="C1157" t="inlineStr">
        <is>
          <t>2025-12-19</t>
        </is>
      </c>
      <c r="D1157" t="n">
        <v>17</v>
      </c>
      <c r="E1157" t="inlineStr">
        <is>
          <t>BBG01TL40MQ6</t>
        </is>
      </c>
    </row>
    <row r="1158">
      <c r="A1158" t="inlineStr">
        <is>
          <t>BBG01TQYS5P3 Equity</t>
        </is>
      </c>
      <c r="B1158" t="inlineStr">
        <is>
          <t>TSLL1 US 12/19/25 P18</t>
        </is>
      </c>
      <c r="C1158" t="inlineStr">
        <is>
          <t>2025-12-19</t>
        </is>
      </c>
      <c r="D1158" t="n">
        <v>18</v>
      </c>
      <c r="E1158" t="inlineStr">
        <is>
          <t>BBG01TQYS5P3</t>
        </is>
      </c>
    </row>
    <row r="1159">
      <c r="A1159" t="inlineStr">
        <is>
          <t>BBG01TQYS6X2 Equity</t>
        </is>
      </c>
      <c r="B1159" t="inlineStr">
        <is>
          <t>TSLL1 US 12/19/25 P19</t>
        </is>
      </c>
      <c r="C1159" t="inlineStr">
        <is>
          <t>2025-12-19</t>
        </is>
      </c>
      <c r="D1159" t="n">
        <v>19</v>
      </c>
      <c r="E1159" t="inlineStr">
        <is>
          <t>BBG01TQYS6X2</t>
        </is>
      </c>
    </row>
    <row r="1160">
      <c r="A1160" t="inlineStr">
        <is>
          <t>BBG01TQYS699 Equity</t>
        </is>
      </c>
      <c r="B1160" t="inlineStr">
        <is>
          <t>TSLL1 US 12/19/25 P20</t>
        </is>
      </c>
      <c r="C1160" t="inlineStr">
        <is>
          <t>2025-12-19</t>
        </is>
      </c>
      <c r="D1160" t="n">
        <v>20</v>
      </c>
      <c r="E1160" t="inlineStr">
        <is>
          <t>BBG01TQYS699</t>
        </is>
      </c>
    </row>
    <row r="1161">
      <c r="A1161" t="inlineStr">
        <is>
          <t>BBG01TQYS528 Equity</t>
        </is>
      </c>
      <c r="B1161" t="inlineStr">
        <is>
          <t>TSLL1 US 12/19/25 P21</t>
        </is>
      </c>
      <c r="C1161" t="inlineStr">
        <is>
          <t>2025-12-19</t>
        </is>
      </c>
      <c r="D1161" t="n">
        <v>21</v>
      </c>
      <c r="E1161" t="inlineStr">
        <is>
          <t>BBG01TQYS528</t>
        </is>
      </c>
    </row>
    <row r="1162">
      <c r="A1162" t="inlineStr">
        <is>
          <t>BBG01TYSWRV7 Equity</t>
        </is>
      </c>
      <c r="B1162" t="inlineStr">
        <is>
          <t>TSLL1 US 12/19/25 P22</t>
        </is>
      </c>
      <c r="C1162" t="inlineStr">
        <is>
          <t>2025-12-19</t>
        </is>
      </c>
      <c r="D1162" t="n">
        <v>22</v>
      </c>
      <c r="E1162" t="inlineStr">
        <is>
          <t>BBG01TYSWRV7</t>
        </is>
      </c>
    </row>
    <row r="1163">
      <c r="A1163" t="inlineStr">
        <is>
          <t>BBG01TYSWR74 Equity</t>
        </is>
      </c>
      <c r="B1163" t="inlineStr">
        <is>
          <t>TSLL1 US 12/19/25 P23</t>
        </is>
      </c>
      <c r="C1163" t="inlineStr">
        <is>
          <t>2025-12-19</t>
        </is>
      </c>
      <c r="D1163" t="n">
        <v>23</v>
      </c>
      <c r="E1163" t="inlineStr">
        <is>
          <t>BBG01TYSWR74</t>
        </is>
      </c>
    </row>
    <row r="1164">
      <c r="A1164" t="inlineStr">
        <is>
          <t>BBG01TYSWSG2 Equity</t>
        </is>
      </c>
      <c r="B1164" t="inlineStr">
        <is>
          <t>TSLL1 US 12/19/25 P24</t>
        </is>
      </c>
      <c r="C1164" t="inlineStr">
        <is>
          <t>2025-12-19</t>
        </is>
      </c>
      <c r="D1164" t="n">
        <v>24</v>
      </c>
      <c r="E1164" t="inlineStr">
        <is>
          <t>BBG01TYSWSG2</t>
        </is>
      </c>
    </row>
    <row r="1165">
      <c r="A1165" t="inlineStr">
        <is>
          <t>BBG01TYSWQM9 Equity</t>
        </is>
      </c>
      <c r="B1165" t="inlineStr">
        <is>
          <t>TSLL1 US 12/19/25 P25</t>
        </is>
      </c>
      <c r="C1165" t="inlineStr">
        <is>
          <t>2025-12-19</t>
        </is>
      </c>
      <c r="D1165" t="n">
        <v>25</v>
      </c>
      <c r="E1165" t="inlineStr">
        <is>
          <t>BBG01TYSWQM9</t>
        </is>
      </c>
    </row>
    <row r="1166">
      <c r="A1166" t="inlineStr">
        <is>
          <t>BBG01TZ9PFK4 Equity</t>
        </is>
      </c>
      <c r="B1166" t="inlineStr">
        <is>
          <t>TSLL1 US 12/19/25 P26</t>
        </is>
      </c>
      <c r="C1166" t="inlineStr">
        <is>
          <t>2025-12-19</t>
        </is>
      </c>
      <c r="D1166" t="n">
        <v>26</v>
      </c>
      <c r="E1166" t="inlineStr">
        <is>
          <t>BBG01TZ9PFK4</t>
        </is>
      </c>
    </row>
    <row r="1167">
      <c r="A1167" t="inlineStr">
        <is>
          <t>BBG01TZ9PDY4 Equity</t>
        </is>
      </c>
      <c r="B1167" t="inlineStr">
        <is>
          <t>TSLL1 US 12/19/25 P27</t>
        </is>
      </c>
      <c r="C1167" t="inlineStr">
        <is>
          <t>2025-12-19</t>
        </is>
      </c>
      <c r="D1167" t="n">
        <v>27</v>
      </c>
      <c r="E1167" t="inlineStr">
        <is>
          <t>BBG01TZ9PDY4</t>
        </is>
      </c>
    </row>
    <row r="1168">
      <c r="A1168" t="inlineStr">
        <is>
          <t>BBG01TZ9PG59 Equity</t>
        </is>
      </c>
      <c r="B1168" t="inlineStr">
        <is>
          <t>TSLL1 US 12/19/25 P28</t>
        </is>
      </c>
      <c r="C1168" t="inlineStr">
        <is>
          <t>2025-12-19</t>
        </is>
      </c>
      <c r="D1168" t="n">
        <v>28</v>
      </c>
      <c r="E1168" t="inlineStr">
        <is>
          <t>BBG01TZ9PG59</t>
        </is>
      </c>
    </row>
    <row r="1169">
      <c r="A1169" t="inlineStr">
        <is>
          <t>BBG01V55H745 Equity</t>
        </is>
      </c>
      <c r="B1169" t="inlineStr">
        <is>
          <t>TSLL1 US 12/19/25 P29</t>
        </is>
      </c>
      <c r="C1169" t="inlineStr">
        <is>
          <t>2025-12-19</t>
        </is>
      </c>
      <c r="D1169" t="n">
        <v>29</v>
      </c>
      <c r="E1169" t="inlineStr">
        <is>
          <t>BBG01V55H745</t>
        </is>
      </c>
    </row>
    <row r="1170">
      <c r="A1170" t="inlineStr">
        <is>
          <t>BBG01V1T19S4 Equity</t>
        </is>
      </c>
      <c r="B1170" t="inlineStr">
        <is>
          <t>TSLL1 US 12/19/25 P30</t>
        </is>
      </c>
      <c r="C1170" t="inlineStr">
        <is>
          <t>2025-12-19</t>
        </is>
      </c>
      <c r="D1170" t="n">
        <v>30</v>
      </c>
      <c r="E1170" t="inlineStr">
        <is>
          <t>BBG01V1T19S4</t>
        </is>
      </c>
    </row>
    <row r="1171">
      <c r="A1171" t="inlineStr">
        <is>
          <t>BBG01V55H6J1 Equity</t>
        </is>
      </c>
      <c r="B1171" t="inlineStr">
        <is>
          <t>TSLL1 US 12/19/25 P31</t>
        </is>
      </c>
      <c r="C1171" t="inlineStr">
        <is>
          <t>2025-12-19</t>
        </is>
      </c>
      <c r="D1171" t="n">
        <v>31</v>
      </c>
      <c r="E1171" t="inlineStr">
        <is>
          <t>BBG01V55H6J1</t>
        </is>
      </c>
    </row>
    <row r="1172">
      <c r="A1172" t="inlineStr">
        <is>
          <t>BBG01V8NGCG0 Equity</t>
        </is>
      </c>
      <c r="B1172" t="inlineStr">
        <is>
          <t>TSLL1 US 12/19/25 P32</t>
        </is>
      </c>
      <c r="C1172" t="inlineStr">
        <is>
          <t>2025-12-19</t>
        </is>
      </c>
      <c r="D1172" t="n">
        <v>32</v>
      </c>
      <c r="E1172" t="inlineStr">
        <is>
          <t>BBG01V8NGCG0</t>
        </is>
      </c>
    </row>
    <row r="1173">
      <c r="A1173" t="inlineStr">
        <is>
          <t>BBG01V8NG129 Equity</t>
        </is>
      </c>
      <c r="B1173" t="inlineStr">
        <is>
          <t>TSLL1 US 12/19/25 P33</t>
        </is>
      </c>
      <c r="C1173" t="inlineStr">
        <is>
          <t>2025-12-19</t>
        </is>
      </c>
      <c r="D1173" t="n">
        <v>33</v>
      </c>
      <c r="E1173" t="inlineStr">
        <is>
          <t>BBG01V8NG129</t>
        </is>
      </c>
    </row>
    <row r="1174">
      <c r="A1174" t="inlineStr">
        <is>
          <t>BBG01X8WZXK4 Equity</t>
        </is>
      </c>
      <c r="B1174" t="inlineStr">
        <is>
          <t>TSLL1 US 12/19/25 P34</t>
        </is>
      </c>
      <c r="C1174" t="inlineStr">
        <is>
          <t>2025-12-19</t>
        </is>
      </c>
      <c r="D1174" t="n">
        <v>34</v>
      </c>
      <c r="E1174" t="inlineStr">
        <is>
          <t>BBG01X8WZXK4</t>
        </is>
      </c>
    </row>
    <row r="1175">
      <c r="A1175" t="inlineStr">
        <is>
          <t>BBG01JWHKL78 Equity</t>
        </is>
      </c>
      <c r="B1175" t="inlineStr">
        <is>
          <t>TSLL1 US 01/16/26 P0.43</t>
        </is>
      </c>
      <c r="C1175" t="inlineStr">
        <is>
          <t>2026-01-16</t>
        </is>
      </c>
      <c r="D1175" t="n">
        <v>0.43</v>
      </c>
      <c r="E1175" t="inlineStr">
        <is>
          <t>BBG01JWHKL78</t>
        </is>
      </c>
    </row>
    <row r="1176">
      <c r="A1176" t="inlineStr">
        <is>
          <t>BBG01JWHKM67 Equity</t>
        </is>
      </c>
      <c r="B1176" t="inlineStr">
        <is>
          <t>TSLL1 US 01/16/26 P1.43</t>
        </is>
      </c>
      <c r="C1176" t="inlineStr">
        <is>
          <t>2026-01-16</t>
        </is>
      </c>
      <c r="D1176" t="n">
        <v>1.43</v>
      </c>
      <c r="E1176" t="inlineStr">
        <is>
          <t>BBG01JWHKM67</t>
        </is>
      </c>
    </row>
    <row r="1177">
      <c r="A1177" t="inlineStr">
        <is>
          <t>BBG01JWHKN65 Equity</t>
        </is>
      </c>
      <c r="B1177" t="inlineStr">
        <is>
          <t>TSLL1 US 01/16/26 P2.43</t>
        </is>
      </c>
      <c r="C1177" t="inlineStr">
        <is>
          <t>2026-01-16</t>
        </is>
      </c>
      <c r="D1177" t="n">
        <v>2.43</v>
      </c>
      <c r="E1177" t="inlineStr">
        <is>
          <t>BBG01JWHKN65</t>
        </is>
      </c>
    </row>
    <row r="1178">
      <c r="A1178" t="inlineStr">
        <is>
          <t>BBG01JWHKP51 Equity</t>
        </is>
      </c>
      <c r="B1178" t="inlineStr">
        <is>
          <t>TSLL1 US 01/16/26 P3.43</t>
        </is>
      </c>
      <c r="C1178" t="inlineStr">
        <is>
          <t>2026-01-16</t>
        </is>
      </c>
      <c r="D1178" t="n">
        <v>3.43</v>
      </c>
      <c r="E1178" t="inlineStr">
        <is>
          <t>BBG01JWHKP51</t>
        </is>
      </c>
    </row>
    <row r="1179">
      <c r="A1179" t="inlineStr">
        <is>
          <t>BBG01J9FL420 Equity</t>
        </is>
      </c>
      <c r="B1179" t="inlineStr">
        <is>
          <t>TSLL1 US 01/16/26 P4.43</t>
        </is>
      </c>
      <c r="C1179" t="inlineStr">
        <is>
          <t>2026-01-16</t>
        </is>
      </c>
      <c r="D1179" t="n">
        <v>4.43</v>
      </c>
      <c r="E1179" t="inlineStr">
        <is>
          <t>BBG01J9FL420</t>
        </is>
      </c>
    </row>
    <row r="1180">
      <c r="A1180" t="inlineStr">
        <is>
          <t>BBG01Z0JYXS9 Equity</t>
        </is>
      </c>
      <c r="B1180" t="inlineStr">
        <is>
          <t>TSLL US 01/16/26 P5</t>
        </is>
      </c>
      <c r="C1180" t="inlineStr">
        <is>
          <t>2026-01-16</t>
        </is>
      </c>
      <c r="D1180" t="n">
        <v>5</v>
      </c>
      <c r="E1180" t="inlineStr">
        <is>
          <t>BBG01Z0JYXS9</t>
        </is>
      </c>
    </row>
    <row r="1181">
      <c r="A1181" t="inlineStr">
        <is>
          <t>BBG01JWHKQ40 Equity</t>
        </is>
      </c>
      <c r="B1181" t="inlineStr">
        <is>
          <t>TSLL1 US 01/16/26 P5.43</t>
        </is>
      </c>
      <c r="C1181" t="inlineStr">
        <is>
          <t>2026-01-16</t>
        </is>
      </c>
      <c r="D1181" t="n">
        <v>5.43</v>
      </c>
      <c r="E1181" t="inlineStr">
        <is>
          <t>BBG01JWHKQ40</t>
        </is>
      </c>
    </row>
    <row r="1182">
      <c r="A1182" t="inlineStr">
        <is>
          <t>BBG01JWHKR39 Equity</t>
        </is>
      </c>
      <c r="B1182" t="inlineStr">
        <is>
          <t>TSLL1 US 01/16/26 P6.43</t>
        </is>
      </c>
      <c r="C1182" t="inlineStr">
        <is>
          <t>2026-01-16</t>
        </is>
      </c>
      <c r="D1182" t="n">
        <v>6.43</v>
      </c>
      <c r="E1182" t="inlineStr">
        <is>
          <t>BBG01JWHKR39</t>
        </is>
      </c>
    </row>
    <row r="1183">
      <c r="A1183" t="inlineStr">
        <is>
          <t>BBG01JWHKS37 Equity</t>
        </is>
      </c>
      <c r="B1183" t="inlineStr">
        <is>
          <t>TSLL1 US 01/16/26 P7.43</t>
        </is>
      </c>
      <c r="C1183" t="inlineStr">
        <is>
          <t>2026-01-16</t>
        </is>
      </c>
      <c r="D1183" t="n">
        <v>7.43</v>
      </c>
      <c r="E1183" t="inlineStr">
        <is>
          <t>BBG01JWHKS37</t>
        </is>
      </c>
    </row>
    <row r="1184">
      <c r="A1184" t="inlineStr">
        <is>
          <t>BBG01JWHKT26 Equity</t>
        </is>
      </c>
      <c r="B1184" t="inlineStr">
        <is>
          <t>TSLL1 US 01/16/26 P8.43</t>
        </is>
      </c>
      <c r="C1184" t="inlineStr">
        <is>
          <t>2026-01-16</t>
        </is>
      </c>
      <c r="D1184" t="n">
        <v>8.43</v>
      </c>
      <c r="E1184" t="inlineStr">
        <is>
          <t>BBG01JWHKT26</t>
        </is>
      </c>
    </row>
    <row r="1185">
      <c r="A1185" t="inlineStr">
        <is>
          <t>BBG01J9FL518 Equity</t>
        </is>
      </c>
      <c r="B1185" t="inlineStr">
        <is>
          <t>TSLL1 US 01/16/26 P9.43</t>
        </is>
      </c>
      <c r="C1185" t="inlineStr">
        <is>
          <t>2026-01-16</t>
        </is>
      </c>
      <c r="D1185" t="n">
        <v>9.43</v>
      </c>
      <c r="E1185" t="inlineStr">
        <is>
          <t>BBG01J9FL518</t>
        </is>
      </c>
    </row>
    <row r="1186">
      <c r="A1186" t="inlineStr">
        <is>
          <t>BBG01Z0JXQZ7 Equity</t>
        </is>
      </c>
      <c r="B1186" t="inlineStr">
        <is>
          <t>TSLL US 01/16/26 P10</t>
        </is>
      </c>
      <c r="C1186" t="inlineStr">
        <is>
          <t>2026-01-16</t>
        </is>
      </c>
      <c r="D1186" t="n">
        <v>10</v>
      </c>
      <c r="E1186" t="inlineStr">
        <is>
          <t>BBG01Z0JXQZ7</t>
        </is>
      </c>
    </row>
    <row r="1187">
      <c r="A1187" t="inlineStr">
        <is>
          <t>BBG01JWHKV12 Equity</t>
        </is>
      </c>
      <c r="B1187" t="inlineStr">
        <is>
          <t>TSLL1 US 01/16/26 P10.43</t>
        </is>
      </c>
      <c r="C1187" t="inlineStr">
        <is>
          <t>2026-01-16</t>
        </is>
      </c>
      <c r="D1187" t="n">
        <v>10.43</v>
      </c>
      <c r="E1187" t="inlineStr">
        <is>
          <t>BBG01JWHKV12</t>
        </is>
      </c>
    </row>
    <row r="1188">
      <c r="A1188" t="inlineStr">
        <is>
          <t>BBG01Z0K2CX1 Equity</t>
        </is>
      </c>
      <c r="B1188" t="inlineStr">
        <is>
          <t>TSLL US 01/16/26 P11</t>
        </is>
      </c>
      <c r="C1188" t="inlineStr">
        <is>
          <t>2026-01-16</t>
        </is>
      </c>
      <c r="D1188" t="n">
        <v>11</v>
      </c>
      <c r="E1188" t="inlineStr">
        <is>
          <t>BBG01Z0K2CX1</t>
        </is>
      </c>
    </row>
    <row r="1189">
      <c r="A1189" t="inlineStr">
        <is>
          <t>BBG01JWHKW10 Equity</t>
        </is>
      </c>
      <c r="B1189" t="inlineStr">
        <is>
          <t>TSLL1 US 01/16/26 P11.43</t>
        </is>
      </c>
      <c r="C1189" t="inlineStr">
        <is>
          <t>2026-01-16</t>
        </is>
      </c>
      <c r="D1189" t="n">
        <v>11.43</v>
      </c>
      <c r="E1189" t="inlineStr">
        <is>
          <t>BBG01JWHKW10</t>
        </is>
      </c>
    </row>
    <row r="1190">
      <c r="A1190" t="inlineStr">
        <is>
          <t>BBG01Z0K2F46 Equity</t>
        </is>
      </c>
      <c r="B1190" t="inlineStr">
        <is>
          <t>TSLL US 01/16/26 P12</t>
        </is>
      </c>
      <c r="C1190" t="inlineStr">
        <is>
          <t>2026-01-16</t>
        </is>
      </c>
      <c r="D1190" t="n">
        <v>12</v>
      </c>
      <c r="E1190" t="inlineStr">
        <is>
          <t>BBG01Z0K2F46</t>
        </is>
      </c>
    </row>
    <row r="1191">
      <c r="A1191" t="inlineStr">
        <is>
          <t>BBG01JWHKX09 Equity</t>
        </is>
      </c>
      <c r="B1191" t="inlineStr">
        <is>
          <t>TSLL1 US 01/16/26 P12.43</t>
        </is>
      </c>
      <c r="C1191" t="inlineStr">
        <is>
          <t>2026-01-16</t>
        </is>
      </c>
      <c r="D1191" t="n">
        <v>12.43</v>
      </c>
      <c r="E1191" t="inlineStr">
        <is>
          <t>BBG01JWHKX09</t>
        </is>
      </c>
    </row>
    <row r="1192">
      <c r="A1192" t="inlineStr">
        <is>
          <t>BBG01Z0K1BK8 Equity</t>
        </is>
      </c>
      <c r="B1192" t="inlineStr">
        <is>
          <t>TSLL US 01/16/26 P13</t>
        </is>
      </c>
      <c r="C1192" t="inlineStr">
        <is>
          <t>2026-01-16</t>
        </is>
      </c>
      <c r="D1192" t="n">
        <v>13</v>
      </c>
      <c r="E1192" t="inlineStr">
        <is>
          <t>BBG01Z0K1BK8</t>
        </is>
      </c>
    </row>
    <row r="1193">
      <c r="A1193" t="inlineStr">
        <is>
          <t>BBG01J8XCZ32 Equity</t>
        </is>
      </c>
      <c r="B1193" t="inlineStr">
        <is>
          <t>TSLL1 US 01/16/26 P13.43</t>
        </is>
      </c>
      <c r="C1193" t="inlineStr">
        <is>
          <t>2026-01-16</t>
        </is>
      </c>
      <c r="D1193" t="n">
        <v>13.43</v>
      </c>
      <c r="E1193" t="inlineStr">
        <is>
          <t>BBG01J8XCZ32</t>
        </is>
      </c>
    </row>
    <row r="1194">
      <c r="A1194" t="inlineStr">
        <is>
          <t>BBG01Z0K1C53 Equity</t>
        </is>
      </c>
      <c r="B1194" t="inlineStr">
        <is>
          <t>TSLL US 01/16/26 P14</t>
        </is>
      </c>
      <c r="C1194" t="inlineStr">
        <is>
          <t>2026-01-16</t>
        </is>
      </c>
      <c r="D1194" t="n">
        <v>14</v>
      </c>
      <c r="E1194" t="inlineStr">
        <is>
          <t>BBG01Z0K1C53</t>
        </is>
      </c>
    </row>
    <row r="1195">
      <c r="A1195" t="inlineStr">
        <is>
          <t>BBG01J8XCZM1 Equity</t>
        </is>
      </c>
      <c r="B1195" t="inlineStr">
        <is>
          <t>TSLL1 US 01/16/26 P14.43</t>
        </is>
      </c>
      <c r="C1195" t="inlineStr">
        <is>
          <t>2026-01-16</t>
        </is>
      </c>
      <c r="D1195" t="n">
        <v>14.43</v>
      </c>
      <c r="E1195" t="inlineStr">
        <is>
          <t>BBG01J8XCZM1</t>
        </is>
      </c>
    </row>
    <row r="1196">
      <c r="A1196" t="inlineStr">
        <is>
          <t>BBG01Z0K1SS3 Equity</t>
        </is>
      </c>
      <c r="B1196" t="inlineStr">
        <is>
          <t>TSLL US 01/16/26 P15</t>
        </is>
      </c>
      <c r="C1196" t="inlineStr">
        <is>
          <t>2026-01-16</t>
        </is>
      </c>
      <c r="D1196" t="n">
        <v>15</v>
      </c>
      <c r="E1196" t="inlineStr">
        <is>
          <t>BBG01Z0K1SS3</t>
        </is>
      </c>
    </row>
    <row r="1197">
      <c r="A1197" t="inlineStr">
        <is>
          <t>BBG01J8XD047 Equity</t>
        </is>
      </c>
      <c r="B1197" t="inlineStr">
        <is>
          <t>TSLL1 US 01/16/26 P15.43</t>
        </is>
      </c>
      <c r="C1197" t="inlineStr">
        <is>
          <t>2026-01-16</t>
        </is>
      </c>
      <c r="D1197" t="n">
        <v>15.43</v>
      </c>
      <c r="E1197" t="inlineStr">
        <is>
          <t>BBG01J8XD047</t>
        </is>
      </c>
    </row>
    <row r="1198">
      <c r="A1198" t="inlineStr">
        <is>
          <t>BBG01Z0JV4T5 Equity</t>
        </is>
      </c>
      <c r="B1198" t="inlineStr">
        <is>
          <t>TSLL US 01/16/26 P16</t>
        </is>
      </c>
      <c r="C1198" t="inlineStr">
        <is>
          <t>2026-01-16</t>
        </is>
      </c>
      <c r="D1198" t="n">
        <v>16</v>
      </c>
      <c r="E1198" t="inlineStr">
        <is>
          <t>BBG01Z0JV4T5</t>
        </is>
      </c>
    </row>
    <row r="1199">
      <c r="A1199" t="inlineStr">
        <is>
          <t>BBG01J8XD0P4 Equity</t>
        </is>
      </c>
      <c r="B1199" t="inlineStr">
        <is>
          <t>TSLL1 US 01/16/26 P16.43</t>
        </is>
      </c>
      <c r="C1199" t="inlineStr">
        <is>
          <t>2026-01-16</t>
        </is>
      </c>
      <c r="D1199" t="n">
        <v>16.43</v>
      </c>
      <c r="E1199" t="inlineStr">
        <is>
          <t>BBG01J8XD0P4</t>
        </is>
      </c>
    </row>
    <row r="1200">
      <c r="A1200" t="inlineStr">
        <is>
          <t>BBG01Z76VKL8 Equity</t>
        </is>
      </c>
      <c r="B1200" t="inlineStr">
        <is>
          <t>TSLL US 01/16/26 P16.5</t>
        </is>
      </c>
      <c r="C1200" t="inlineStr">
        <is>
          <t>2026-01-16</t>
        </is>
      </c>
      <c r="D1200" t="n">
        <v>16.5</v>
      </c>
      <c r="E1200" t="inlineStr">
        <is>
          <t>BBG01Z76VKL8</t>
        </is>
      </c>
    </row>
    <row r="1201">
      <c r="A1201" t="inlineStr">
        <is>
          <t>BBG01Z0K2FR1 Equity</t>
        </is>
      </c>
      <c r="B1201" t="inlineStr">
        <is>
          <t>TSLL US 01/16/26 P17</t>
        </is>
      </c>
      <c r="C1201" t="inlineStr">
        <is>
          <t>2026-01-16</t>
        </is>
      </c>
      <c r="D1201" t="n">
        <v>17</v>
      </c>
      <c r="E1201" t="inlineStr">
        <is>
          <t>BBG01Z0K2FR1</t>
        </is>
      </c>
    </row>
    <row r="1202">
      <c r="A1202" t="inlineStr">
        <is>
          <t>BBG01J8XD163 Equity</t>
        </is>
      </c>
      <c r="B1202" t="inlineStr">
        <is>
          <t>TSLL1 US 01/16/26 P17.43</t>
        </is>
      </c>
      <c r="C1202" t="inlineStr">
        <is>
          <t>2026-01-16</t>
        </is>
      </c>
      <c r="D1202" t="n">
        <v>17.43</v>
      </c>
      <c r="E1202" t="inlineStr">
        <is>
          <t>BBG01J8XD163</t>
        </is>
      </c>
    </row>
    <row r="1203">
      <c r="A1203" t="inlineStr">
        <is>
          <t>BBG01Z76JF24 Equity</t>
        </is>
      </c>
      <c r="B1203" t="inlineStr">
        <is>
          <t>TSLL US 01/16/26 P17.5</t>
        </is>
      </c>
      <c r="C1203" t="inlineStr">
        <is>
          <t>2026-01-16</t>
        </is>
      </c>
      <c r="D1203" t="n">
        <v>17.5</v>
      </c>
      <c r="E1203" t="inlineStr">
        <is>
          <t>BBG01Z76JF24</t>
        </is>
      </c>
    </row>
    <row r="1204">
      <c r="A1204" t="inlineStr">
        <is>
          <t>BBG01Z0JYX54 Equity</t>
        </is>
      </c>
      <c r="B1204" t="inlineStr">
        <is>
          <t>TSLL US 01/16/26 P18</t>
        </is>
      </c>
      <c r="C1204" t="inlineStr">
        <is>
          <t>2026-01-16</t>
        </is>
      </c>
      <c r="D1204" t="n">
        <v>18</v>
      </c>
      <c r="E1204" t="inlineStr">
        <is>
          <t>BBG01Z0JYX54</t>
        </is>
      </c>
    </row>
    <row r="1205">
      <c r="A1205" t="inlineStr">
        <is>
          <t>BBG01JWHKXZ1 Equity</t>
        </is>
      </c>
      <c r="B1205" t="inlineStr">
        <is>
          <t>TSLL1 US 01/16/26 P18.43</t>
        </is>
      </c>
      <c r="C1205" t="inlineStr">
        <is>
          <t>2026-01-16</t>
        </is>
      </c>
      <c r="D1205" t="n">
        <v>18.43</v>
      </c>
      <c r="E1205" t="inlineStr">
        <is>
          <t>BBG01JWHKXZ1</t>
        </is>
      </c>
    </row>
    <row r="1206">
      <c r="A1206" t="inlineStr">
        <is>
          <t>BBG01Z76JDG4 Equity</t>
        </is>
      </c>
      <c r="B1206" t="inlineStr">
        <is>
          <t>TSLL US 01/16/26 P18.5</t>
        </is>
      </c>
      <c r="C1206" t="inlineStr">
        <is>
          <t>2026-01-16</t>
        </is>
      </c>
      <c r="D1206" t="n">
        <v>18.5</v>
      </c>
      <c r="E1206" t="inlineStr">
        <is>
          <t>BBG01Z76JDG4</t>
        </is>
      </c>
    </row>
    <row r="1207">
      <c r="A1207" t="inlineStr">
        <is>
          <t>BBG01Z0JXRL0 Equity</t>
        </is>
      </c>
      <c r="B1207" t="inlineStr">
        <is>
          <t>TSLL US 01/16/26 P19</t>
        </is>
      </c>
      <c r="C1207" t="inlineStr">
        <is>
          <t>2026-01-16</t>
        </is>
      </c>
      <c r="D1207" t="n">
        <v>19</v>
      </c>
      <c r="E1207" t="inlineStr">
        <is>
          <t>BBG01Z0JXRL0</t>
        </is>
      </c>
    </row>
    <row r="1208">
      <c r="A1208" t="inlineStr">
        <is>
          <t>BBG01J9FL616 Equity</t>
        </is>
      </c>
      <c r="B1208" t="inlineStr">
        <is>
          <t>TSLL1 US 01/16/26 P19.43</t>
        </is>
      </c>
      <c r="C1208" t="inlineStr">
        <is>
          <t>2026-01-16</t>
        </is>
      </c>
      <c r="D1208" t="n">
        <v>19.43</v>
      </c>
      <c r="E1208" t="inlineStr">
        <is>
          <t>BBG01J9FL616</t>
        </is>
      </c>
    </row>
    <row r="1209">
      <c r="A1209" t="inlineStr">
        <is>
          <t>BBG01Z76VLT8 Equity</t>
        </is>
      </c>
      <c r="B1209" t="inlineStr">
        <is>
          <t>TSLL US 01/16/26 P19.5</t>
        </is>
      </c>
      <c r="C1209" t="inlineStr">
        <is>
          <t>2026-01-16</t>
        </is>
      </c>
      <c r="D1209" t="n">
        <v>19.5</v>
      </c>
      <c r="E1209" t="inlineStr">
        <is>
          <t>BBG01Z76VLT8</t>
        </is>
      </c>
    </row>
    <row r="1210">
      <c r="A1210" t="inlineStr">
        <is>
          <t>BBG01Z0JXS65 Equity</t>
        </is>
      </c>
      <c r="B1210" t="inlineStr">
        <is>
          <t>TSLL US 01/16/26 P20</t>
        </is>
      </c>
      <c r="C1210" t="inlineStr">
        <is>
          <t>2026-01-16</t>
        </is>
      </c>
      <c r="D1210" t="n">
        <v>20</v>
      </c>
      <c r="E1210" t="inlineStr">
        <is>
          <t>BBG01Z0JXS65</t>
        </is>
      </c>
    </row>
    <row r="1211">
      <c r="A1211" t="inlineStr">
        <is>
          <t>BBG01JWHKYZ9 Equity</t>
        </is>
      </c>
      <c r="B1211" t="inlineStr">
        <is>
          <t>TSLL1 US 01/16/26 P20.43</t>
        </is>
      </c>
      <c r="C1211" t="inlineStr">
        <is>
          <t>2026-01-16</t>
        </is>
      </c>
      <c r="D1211" t="n">
        <v>20.43</v>
      </c>
      <c r="E1211" t="inlineStr">
        <is>
          <t>BBG01JWHKYZ9</t>
        </is>
      </c>
    </row>
    <row r="1212">
      <c r="A1212" t="inlineStr">
        <is>
          <t>BBG01Z76VL63 Equity</t>
        </is>
      </c>
      <c r="B1212" t="inlineStr">
        <is>
          <t>TSLL US 01/16/26 P20.5</t>
        </is>
      </c>
      <c r="C1212" t="inlineStr">
        <is>
          <t>2026-01-16</t>
        </is>
      </c>
      <c r="D1212" t="n">
        <v>20.5</v>
      </c>
      <c r="E1212" t="inlineStr">
        <is>
          <t>BBG01Z76VL63</t>
        </is>
      </c>
    </row>
    <row r="1213">
      <c r="A1213" t="inlineStr">
        <is>
          <t>BBG01Z0K2DJ5 Equity</t>
        </is>
      </c>
      <c r="B1213" t="inlineStr">
        <is>
          <t>TSLL US 01/16/26 P21</t>
        </is>
      </c>
      <c r="C1213" t="inlineStr">
        <is>
          <t>2026-01-16</t>
        </is>
      </c>
      <c r="D1213" t="n">
        <v>21</v>
      </c>
      <c r="E1213" t="inlineStr">
        <is>
          <t>BBG01Z0K2DJ5</t>
        </is>
      </c>
    </row>
    <row r="1214">
      <c r="A1214" t="inlineStr">
        <is>
          <t>BBG01JWHKZY7 Equity</t>
        </is>
      </c>
      <c r="B1214" t="inlineStr">
        <is>
          <t>TSLL1 US 01/16/26 P21.43</t>
        </is>
      </c>
      <c r="C1214" t="inlineStr">
        <is>
          <t>2026-01-16</t>
        </is>
      </c>
      <c r="D1214" t="n">
        <v>21.43</v>
      </c>
      <c r="E1214" t="inlineStr">
        <is>
          <t>BBG01JWHKZY7</t>
        </is>
      </c>
    </row>
    <row r="1215">
      <c r="A1215" t="inlineStr">
        <is>
          <t>BBG01Z76VN14 Equity</t>
        </is>
      </c>
      <c r="B1215" t="inlineStr">
        <is>
          <t>TSLL US 01/16/26 P21.5</t>
        </is>
      </c>
      <c r="C1215" t="inlineStr">
        <is>
          <t>2026-01-16</t>
        </is>
      </c>
      <c r="D1215" t="n">
        <v>21.5</v>
      </c>
      <c r="E1215" t="inlineStr">
        <is>
          <t>BBG01Z76VN14</t>
        </is>
      </c>
    </row>
    <row r="1216">
      <c r="A1216" t="inlineStr">
        <is>
          <t>BBG01Z0JXY80 Equity</t>
        </is>
      </c>
      <c r="B1216" t="inlineStr">
        <is>
          <t>TSLL US 01/16/26 P22</t>
        </is>
      </c>
      <c r="C1216" t="inlineStr">
        <is>
          <t>2026-01-16</t>
        </is>
      </c>
      <c r="D1216" t="n">
        <v>22</v>
      </c>
      <c r="E1216" t="inlineStr">
        <is>
          <t>BBG01Z0JXY80</t>
        </is>
      </c>
    </row>
    <row r="1217">
      <c r="A1217" t="inlineStr">
        <is>
          <t>BBG01JWHL0X4 Equity</t>
        </is>
      </c>
      <c r="B1217" t="inlineStr">
        <is>
          <t>TSLL1 US 01/16/26 P22.43</t>
        </is>
      </c>
      <c r="C1217" t="inlineStr">
        <is>
          <t>2026-01-16</t>
        </is>
      </c>
      <c r="D1217" t="n">
        <v>22.43</v>
      </c>
      <c r="E1217" t="inlineStr">
        <is>
          <t>BBG01JWHL0X4</t>
        </is>
      </c>
    </row>
    <row r="1218">
      <c r="A1218" t="inlineStr">
        <is>
          <t>BBG01Z76VMF1 Equity</t>
        </is>
      </c>
      <c r="B1218" t="inlineStr">
        <is>
          <t>TSLL US 01/16/26 P22.5</t>
        </is>
      </c>
      <c r="C1218" t="inlineStr">
        <is>
          <t>2026-01-16</t>
        </is>
      </c>
      <c r="D1218" t="n">
        <v>22.5</v>
      </c>
      <c r="E1218" t="inlineStr">
        <is>
          <t>BBG01Z76VMF1</t>
        </is>
      </c>
    </row>
    <row r="1219">
      <c r="A1219" t="inlineStr">
        <is>
          <t>BBG01Z0JXJY4 Equity</t>
        </is>
      </c>
      <c r="B1219" t="inlineStr">
        <is>
          <t>TSLL US 01/16/26 P23</t>
        </is>
      </c>
      <c r="C1219" t="inlineStr">
        <is>
          <t>2026-01-16</t>
        </is>
      </c>
      <c r="D1219" t="n">
        <v>23</v>
      </c>
      <c r="E1219" t="inlineStr">
        <is>
          <t>BBG01Z0JXJY4</t>
        </is>
      </c>
    </row>
    <row r="1220">
      <c r="A1220" t="inlineStr">
        <is>
          <t>BBG01JWHL1X2 Equity</t>
        </is>
      </c>
      <c r="B1220" t="inlineStr">
        <is>
          <t>TSLL1 US 01/16/26 P23.43</t>
        </is>
      </c>
      <c r="C1220" t="inlineStr">
        <is>
          <t>2026-01-16</t>
        </is>
      </c>
      <c r="D1220" t="n">
        <v>23.43</v>
      </c>
      <c r="E1220" t="inlineStr">
        <is>
          <t>BBG01JWHL1X2</t>
        </is>
      </c>
    </row>
    <row r="1221">
      <c r="A1221" t="inlineStr">
        <is>
          <t>BBG01Z76JFP9 Equity</t>
        </is>
      </c>
      <c r="B1221" t="inlineStr">
        <is>
          <t>TSLL US 01/16/26 P23.5</t>
        </is>
      </c>
      <c r="C1221" t="inlineStr">
        <is>
          <t>2026-01-16</t>
        </is>
      </c>
      <c r="D1221" t="n">
        <v>23.5</v>
      </c>
      <c r="E1221" t="inlineStr">
        <is>
          <t>BBG01Z76JFP9</t>
        </is>
      </c>
    </row>
    <row r="1222">
      <c r="A1222" t="inlineStr">
        <is>
          <t>BBG01Z0K1RK3 Equity</t>
        </is>
      </c>
      <c r="B1222" t="inlineStr">
        <is>
          <t>TSLL US 01/16/26 P24</t>
        </is>
      </c>
      <c r="C1222" t="inlineStr">
        <is>
          <t>2026-01-16</t>
        </is>
      </c>
      <c r="D1222" t="n">
        <v>24</v>
      </c>
      <c r="E1222" t="inlineStr">
        <is>
          <t>BBG01Z0K1RK3</t>
        </is>
      </c>
    </row>
    <row r="1223">
      <c r="A1223" t="inlineStr">
        <is>
          <t>BBG01J9FL705 Equity</t>
        </is>
      </c>
      <c r="B1223" t="inlineStr">
        <is>
          <t>TSLL1 US 01/16/26 P24.43</t>
        </is>
      </c>
      <c r="C1223" t="inlineStr">
        <is>
          <t>2026-01-16</t>
        </is>
      </c>
      <c r="D1223" t="n">
        <v>24.43</v>
      </c>
      <c r="E1223" t="inlineStr">
        <is>
          <t>BBG01J9FL705</t>
        </is>
      </c>
    </row>
    <row r="1224">
      <c r="A1224" t="inlineStr">
        <is>
          <t>BBG01Z0K1S58 Equity</t>
        </is>
      </c>
      <c r="B1224" t="inlineStr">
        <is>
          <t>TSLL US 01/16/26 P25</t>
        </is>
      </c>
      <c r="C1224" t="inlineStr">
        <is>
          <t>2026-01-16</t>
        </is>
      </c>
      <c r="D1224" t="n">
        <v>25</v>
      </c>
      <c r="E1224" t="inlineStr">
        <is>
          <t>BBG01Z0K1S58</t>
        </is>
      </c>
    </row>
    <row r="1225">
      <c r="A1225" t="inlineStr">
        <is>
          <t>BBG01Z0K22X3 Equity</t>
        </is>
      </c>
      <c r="B1225" t="inlineStr">
        <is>
          <t>TSLL US 01/16/26 P26</t>
        </is>
      </c>
      <c r="C1225" t="inlineStr">
        <is>
          <t>2026-01-16</t>
        </is>
      </c>
      <c r="D1225" t="n">
        <v>26</v>
      </c>
      <c r="E1225" t="inlineStr">
        <is>
          <t>BBG01Z0K22X3</t>
        </is>
      </c>
    </row>
    <row r="1226">
      <c r="A1226" t="inlineStr">
        <is>
          <t>BBG01VRH96B8 Equity</t>
        </is>
      </c>
      <c r="B1226" t="inlineStr">
        <is>
          <t>TSLL1 US 01/16/26 P26</t>
        </is>
      </c>
      <c r="C1226" t="inlineStr">
        <is>
          <t>2026-01-16</t>
        </is>
      </c>
      <c r="D1226" t="n">
        <v>26</v>
      </c>
      <c r="E1226" t="inlineStr">
        <is>
          <t>BBG01VRH96B8</t>
        </is>
      </c>
    </row>
    <row r="1227">
      <c r="A1227" t="inlineStr">
        <is>
          <t>BBG01Z0JXYW3 Equity</t>
        </is>
      </c>
      <c r="B1227" t="inlineStr">
        <is>
          <t>TSLL US 01/16/26 P27</t>
        </is>
      </c>
      <c r="C1227" t="inlineStr">
        <is>
          <t>2026-01-16</t>
        </is>
      </c>
      <c r="D1227" t="n">
        <v>27</v>
      </c>
      <c r="E1227" t="inlineStr">
        <is>
          <t>BBG01Z0JXYW3</t>
        </is>
      </c>
    </row>
    <row r="1228">
      <c r="A1228" t="inlineStr">
        <is>
          <t>BBG01V55GR60 Equity</t>
        </is>
      </c>
      <c r="B1228" t="inlineStr">
        <is>
          <t>TSLL1 US 01/16/26 P27</t>
        </is>
      </c>
      <c r="C1228" t="inlineStr">
        <is>
          <t>2026-01-16</t>
        </is>
      </c>
      <c r="D1228" t="n">
        <v>27</v>
      </c>
      <c r="E1228" t="inlineStr">
        <is>
          <t>BBG01V55GR60</t>
        </is>
      </c>
    </row>
    <row r="1229">
      <c r="A1229" t="inlineStr">
        <is>
          <t>BBG01Z0K1CS8 Equity</t>
        </is>
      </c>
      <c r="B1229" t="inlineStr">
        <is>
          <t>TSLL US 01/16/26 P28</t>
        </is>
      </c>
      <c r="C1229" t="inlineStr">
        <is>
          <t>2026-01-16</t>
        </is>
      </c>
      <c r="D1229" t="n">
        <v>28</v>
      </c>
      <c r="E1229" t="inlineStr">
        <is>
          <t>BBG01Z0K1CS8</t>
        </is>
      </c>
    </row>
    <row r="1230">
      <c r="A1230" t="inlineStr">
        <is>
          <t>BBG01V55GPZ2 Equity</t>
        </is>
      </c>
      <c r="B1230" t="inlineStr">
        <is>
          <t>TSLL1 US 01/16/26 P28</t>
        </is>
      </c>
      <c r="C1230" t="inlineStr">
        <is>
          <t>2026-01-16</t>
        </is>
      </c>
      <c r="D1230" t="n">
        <v>28</v>
      </c>
      <c r="E1230" t="inlineStr">
        <is>
          <t>BBG01V55GPZ2</t>
        </is>
      </c>
    </row>
    <row r="1231">
      <c r="A1231" t="inlineStr">
        <is>
          <t>BBG01Z0JXKK6 Equity</t>
        </is>
      </c>
      <c r="B1231" t="inlineStr">
        <is>
          <t>TSLL US 01/16/26 P29</t>
        </is>
      </c>
      <c r="C1231" t="inlineStr">
        <is>
          <t>2026-01-16</t>
        </is>
      </c>
      <c r="D1231" t="n">
        <v>29</v>
      </c>
      <c r="E1231" t="inlineStr">
        <is>
          <t>BBG01Z0JXKK6</t>
        </is>
      </c>
    </row>
    <row r="1232">
      <c r="A1232" t="inlineStr">
        <is>
          <t>BBG01V55GPC7 Equity</t>
        </is>
      </c>
      <c r="B1232" t="inlineStr">
        <is>
          <t>TSLL1 US 01/16/26 P29</t>
        </is>
      </c>
      <c r="C1232" t="inlineStr">
        <is>
          <t>2026-01-16</t>
        </is>
      </c>
      <c r="D1232" t="n">
        <v>29</v>
      </c>
      <c r="E1232" t="inlineStr">
        <is>
          <t>BBG01V55GPC7</t>
        </is>
      </c>
    </row>
    <row r="1233">
      <c r="A1233" t="inlineStr">
        <is>
          <t>BBG01J9FL7Z7 Equity</t>
        </is>
      </c>
      <c r="B1233" t="inlineStr">
        <is>
          <t>TSLL1 US 01/16/26 P29.43</t>
        </is>
      </c>
      <c r="C1233" t="inlineStr">
        <is>
          <t>2026-01-16</t>
        </is>
      </c>
      <c r="D1233" t="n">
        <v>29.43</v>
      </c>
      <c r="E1233" t="inlineStr">
        <is>
          <t>BBG01J9FL7Z7</t>
        </is>
      </c>
    </row>
    <row r="1234">
      <c r="A1234" t="inlineStr">
        <is>
          <t>BBG01Z0K2290 Equity</t>
        </is>
      </c>
      <c r="B1234" t="inlineStr">
        <is>
          <t>TSLL US 01/16/26 P30</t>
        </is>
      </c>
      <c r="C1234" t="inlineStr">
        <is>
          <t>2026-01-16</t>
        </is>
      </c>
      <c r="D1234" t="n">
        <v>30</v>
      </c>
      <c r="E1234" t="inlineStr">
        <is>
          <t>BBG01Z0K2290</t>
        </is>
      </c>
    </row>
    <row r="1235">
      <c r="A1235" t="inlineStr">
        <is>
          <t>BBG01V55GRT5 Equity</t>
        </is>
      </c>
      <c r="B1235" t="inlineStr">
        <is>
          <t>TSLL1 US 01/16/26 P30</t>
        </is>
      </c>
      <c r="C1235" t="inlineStr">
        <is>
          <t>2026-01-16</t>
        </is>
      </c>
      <c r="D1235" t="n">
        <v>30</v>
      </c>
      <c r="E1235" t="inlineStr">
        <is>
          <t>BBG01V55GRT5</t>
        </is>
      </c>
    </row>
    <row r="1236">
      <c r="A1236" t="inlineStr">
        <is>
          <t>BBG01Z54DNT1 Equity</t>
        </is>
      </c>
      <c r="B1236" t="inlineStr">
        <is>
          <t>TSLL US 01/16/26 P31</t>
        </is>
      </c>
      <c r="C1236" t="inlineStr">
        <is>
          <t>2026-01-16</t>
        </is>
      </c>
      <c r="D1236" t="n">
        <v>31</v>
      </c>
      <c r="E1236" t="inlineStr">
        <is>
          <t>BBG01Z54DNT1</t>
        </is>
      </c>
    </row>
    <row r="1237">
      <c r="A1237" t="inlineStr">
        <is>
          <t>BBG01V55GQL5 Equity</t>
        </is>
      </c>
      <c r="B1237" t="inlineStr">
        <is>
          <t>TSLL1 US 01/16/26 P31</t>
        </is>
      </c>
      <c r="C1237" t="inlineStr">
        <is>
          <t>2026-01-16</t>
        </is>
      </c>
      <c r="D1237" t="n">
        <v>31</v>
      </c>
      <c r="E1237" t="inlineStr">
        <is>
          <t>BBG01V55GQL5</t>
        </is>
      </c>
    </row>
    <row r="1238">
      <c r="A1238" t="inlineStr">
        <is>
          <t>BBG01Z54DQ14 Equity</t>
        </is>
      </c>
      <c r="B1238" t="inlineStr">
        <is>
          <t>TSLL US 01/16/26 P32</t>
        </is>
      </c>
      <c r="C1238" t="inlineStr">
        <is>
          <t>2026-01-16</t>
        </is>
      </c>
      <c r="D1238" t="n">
        <v>32</v>
      </c>
      <c r="E1238" t="inlineStr">
        <is>
          <t>BBG01Z54DQ14</t>
        </is>
      </c>
    </row>
    <row r="1239">
      <c r="A1239" t="inlineStr">
        <is>
          <t>BBG01X8WXJ18 Equity</t>
        </is>
      </c>
      <c r="B1239" t="inlineStr">
        <is>
          <t>TSLL1 US 01/16/26 P32</t>
        </is>
      </c>
      <c r="C1239" t="inlineStr">
        <is>
          <t>2026-01-16</t>
        </is>
      </c>
      <c r="D1239" t="n">
        <v>32</v>
      </c>
      <c r="E1239" t="inlineStr">
        <is>
          <t>BBG01X8WXJ18</t>
        </is>
      </c>
    </row>
    <row r="1240">
      <c r="A1240" t="inlineStr">
        <is>
          <t>BBG01Z548ST6 Equity</t>
        </is>
      </c>
      <c r="B1240" t="inlineStr">
        <is>
          <t>TSLL US 01/16/26 P33</t>
        </is>
      </c>
      <c r="C1240" t="inlineStr">
        <is>
          <t>2026-01-16</t>
        </is>
      </c>
      <c r="D1240" t="n">
        <v>33</v>
      </c>
      <c r="E1240" t="inlineStr">
        <is>
          <t>BBG01Z548ST6</t>
        </is>
      </c>
    </row>
    <row r="1241">
      <c r="A1241" t="inlineStr">
        <is>
          <t>BBG01X8WXHF7 Equity</t>
        </is>
      </c>
      <c r="B1241" t="inlineStr">
        <is>
          <t>TSLL1 US 01/16/26 P33</t>
        </is>
      </c>
      <c r="C1241" t="inlineStr">
        <is>
          <t>2026-01-16</t>
        </is>
      </c>
      <c r="D1241" t="n">
        <v>33</v>
      </c>
      <c r="E1241" t="inlineStr">
        <is>
          <t>BBG01X8WXHF7</t>
        </is>
      </c>
    </row>
    <row r="1242">
      <c r="A1242" t="inlineStr">
        <is>
          <t>BBG01Z54DPF1 Equity</t>
        </is>
      </c>
      <c r="B1242" t="inlineStr">
        <is>
          <t>TSLL US 01/16/26 P34</t>
        </is>
      </c>
      <c r="C1242" t="inlineStr">
        <is>
          <t>2026-01-16</t>
        </is>
      </c>
      <c r="D1242" t="n">
        <v>34</v>
      </c>
      <c r="E1242" t="inlineStr">
        <is>
          <t>BBG01Z54DPF1</t>
        </is>
      </c>
    </row>
    <row r="1243">
      <c r="A1243" t="inlineStr">
        <is>
          <t>BBG01J9FL8Y6 Equity</t>
        </is>
      </c>
      <c r="B1243" t="inlineStr">
        <is>
          <t>TSLL1 US 01/16/26 P34.43</t>
        </is>
      </c>
      <c r="C1243" t="inlineStr">
        <is>
          <t>2026-01-16</t>
        </is>
      </c>
      <c r="D1243" t="n">
        <v>34.43</v>
      </c>
      <c r="E1243" t="inlineStr">
        <is>
          <t>BBG01J9FL8Y6</t>
        </is>
      </c>
    </row>
    <row r="1244">
      <c r="A1244" t="inlineStr">
        <is>
          <t>BBG01R6BLCB6 Equity</t>
        </is>
      </c>
      <c r="B1244" t="inlineStr">
        <is>
          <t>TSLL1 US 01/16/26 P34.7</t>
        </is>
      </c>
      <c r="C1244" t="inlineStr">
        <is>
          <t>2026-01-16</t>
        </is>
      </c>
      <c r="D1244" t="n">
        <v>34.7</v>
      </c>
      <c r="E1244" t="inlineStr">
        <is>
          <t>BBG01R6BLCB6</t>
        </is>
      </c>
    </row>
    <row r="1245">
      <c r="A1245" t="inlineStr">
        <is>
          <t>BBG01Z0JV5F7 Equity</t>
        </is>
      </c>
      <c r="B1245" t="inlineStr">
        <is>
          <t>TSLL US 01/16/26 P35</t>
        </is>
      </c>
      <c r="C1245" t="inlineStr">
        <is>
          <t>2026-01-16</t>
        </is>
      </c>
      <c r="D1245" t="n">
        <v>35</v>
      </c>
      <c r="E1245" t="inlineStr">
        <is>
          <t>BBG01Z0JV5F7</t>
        </is>
      </c>
    </row>
    <row r="1246">
      <c r="A1246" t="inlineStr">
        <is>
          <t>BBG01R6BJ855 Equity</t>
        </is>
      </c>
      <c r="B1246" t="inlineStr">
        <is>
          <t>TSLL1 US 01/16/26 P35.7</t>
        </is>
      </c>
      <c r="C1246" t="inlineStr">
        <is>
          <t>2026-01-16</t>
        </is>
      </c>
      <c r="D1246" t="n">
        <v>35.7</v>
      </c>
      <c r="E1246" t="inlineStr">
        <is>
          <t>BBG01R6BJ855</t>
        </is>
      </c>
    </row>
    <row r="1247">
      <c r="A1247" t="inlineStr">
        <is>
          <t>BBG01R6BLDK4 Equity</t>
        </is>
      </c>
      <c r="B1247" t="inlineStr">
        <is>
          <t>TSLL1 US 01/16/26 P36.7</t>
        </is>
      </c>
      <c r="C1247" t="inlineStr">
        <is>
          <t>2026-01-16</t>
        </is>
      </c>
      <c r="D1247" t="n">
        <v>36.7</v>
      </c>
      <c r="E1247" t="inlineStr">
        <is>
          <t>BBG01R6BLDK4</t>
        </is>
      </c>
    </row>
    <row r="1248">
      <c r="A1248" t="inlineStr">
        <is>
          <t>BBG01R6BLCY1 Equity</t>
        </is>
      </c>
      <c r="B1248" t="inlineStr">
        <is>
          <t>TSLL1 US 01/16/26 P37.7</t>
        </is>
      </c>
      <c r="C1248" t="inlineStr">
        <is>
          <t>2026-01-16</t>
        </is>
      </c>
      <c r="D1248" t="n">
        <v>37.7</v>
      </c>
      <c r="E1248" t="inlineStr">
        <is>
          <t>BBG01R6BLCY1</t>
        </is>
      </c>
    </row>
    <row r="1249">
      <c r="A1249" t="inlineStr">
        <is>
          <t>BBG01R6BLF56 Equity</t>
        </is>
      </c>
      <c r="B1249" t="inlineStr">
        <is>
          <t>TSLL1 US 01/16/26 P38.7</t>
        </is>
      </c>
      <c r="C1249" t="inlineStr">
        <is>
          <t>2026-01-16</t>
        </is>
      </c>
      <c r="D1249" t="n">
        <v>38.7</v>
      </c>
      <c r="E1249" t="inlineStr">
        <is>
          <t>BBG01R6BLF56</t>
        </is>
      </c>
    </row>
    <row r="1250">
      <c r="A1250" t="inlineStr">
        <is>
          <t>BBG01R6BJFX8 Equity</t>
        </is>
      </c>
      <c r="B1250" t="inlineStr">
        <is>
          <t>TSLL1 US 01/16/26 P39.7</t>
        </is>
      </c>
      <c r="C1250" t="inlineStr">
        <is>
          <t>2026-01-16</t>
        </is>
      </c>
      <c r="D1250" t="n">
        <v>39.7</v>
      </c>
      <c r="E1250" t="inlineStr">
        <is>
          <t>BBG01R6BJFX8</t>
        </is>
      </c>
    </row>
    <row r="1251">
      <c r="A1251" t="inlineStr">
        <is>
          <t>BBG01R8RSRX5 Equity</t>
        </is>
      </c>
      <c r="B1251" t="inlineStr">
        <is>
          <t>TSLL1 US 01/16/26 P40</t>
        </is>
      </c>
      <c r="C1251" t="inlineStr">
        <is>
          <t>2026-01-16</t>
        </is>
      </c>
      <c r="D1251" t="n">
        <v>40</v>
      </c>
      <c r="E1251" t="inlineStr">
        <is>
          <t>BBG01R8RSRX5</t>
        </is>
      </c>
    </row>
    <row r="1252">
      <c r="A1252" t="inlineStr">
        <is>
          <t>BBG01R8RSQ21 Equity</t>
        </is>
      </c>
      <c r="B1252" t="inlineStr">
        <is>
          <t>TSLL1 US 01/16/26 P41</t>
        </is>
      </c>
      <c r="C1252" t="inlineStr">
        <is>
          <t>2026-01-16</t>
        </is>
      </c>
      <c r="D1252" t="n">
        <v>41</v>
      </c>
      <c r="E1252" t="inlineStr">
        <is>
          <t>BBG01R8RSQ21</t>
        </is>
      </c>
    </row>
    <row r="1253">
      <c r="A1253" t="inlineStr">
        <is>
          <t>BBG01R8RTG13 Equity</t>
        </is>
      </c>
      <c r="B1253" t="inlineStr">
        <is>
          <t>TSLL1 US 01/16/26 P42</t>
        </is>
      </c>
      <c r="C1253" t="inlineStr">
        <is>
          <t>2026-01-16</t>
        </is>
      </c>
      <c r="D1253" t="n">
        <v>42</v>
      </c>
      <c r="E1253" t="inlineStr">
        <is>
          <t>BBG01R8RTG13</t>
        </is>
      </c>
    </row>
    <row r="1254">
      <c r="A1254" t="inlineStr">
        <is>
          <t>BBG01R8RTHW7 Equity</t>
        </is>
      </c>
      <c r="B1254" t="inlineStr">
        <is>
          <t>TSLL1 US 01/16/26 P43</t>
        </is>
      </c>
      <c r="C1254" t="inlineStr">
        <is>
          <t>2026-01-16</t>
        </is>
      </c>
      <c r="D1254" t="n">
        <v>43</v>
      </c>
      <c r="E1254" t="inlineStr">
        <is>
          <t>BBG01R8RTHW7</t>
        </is>
      </c>
    </row>
    <row r="1255">
      <c r="A1255" t="inlineStr">
        <is>
          <t>BBG01R8RSQP6 Equity</t>
        </is>
      </c>
      <c r="B1255" t="inlineStr">
        <is>
          <t>TSLL1 US 01/16/26 P44</t>
        </is>
      </c>
      <c r="C1255" t="inlineStr">
        <is>
          <t>2026-01-16</t>
        </is>
      </c>
      <c r="D1255" t="n">
        <v>44</v>
      </c>
      <c r="E1255" t="inlineStr">
        <is>
          <t>BBG01R8RSQP6</t>
        </is>
      </c>
    </row>
    <row r="1256">
      <c r="A1256" t="inlineStr">
        <is>
          <t>BBG01R8RTGN9 Equity</t>
        </is>
      </c>
      <c r="B1256" t="inlineStr">
        <is>
          <t>TSLL1 US 01/16/26 P45</t>
        </is>
      </c>
      <c r="C1256" t="inlineStr">
        <is>
          <t>2026-01-16</t>
        </is>
      </c>
      <c r="D1256" t="n">
        <v>45</v>
      </c>
      <c r="E1256" t="inlineStr">
        <is>
          <t>BBG01R8RTGN9</t>
        </is>
      </c>
    </row>
    <row r="1257">
      <c r="A1257" t="inlineStr">
        <is>
          <t>BBG01R8RTH84 Equity</t>
        </is>
      </c>
      <c r="B1257" t="inlineStr">
        <is>
          <t>TSLL1 US 01/16/26 P46</t>
        </is>
      </c>
      <c r="C1257" t="inlineStr">
        <is>
          <t>2026-01-16</t>
        </is>
      </c>
      <c r="D1257" t="n">
        <v>46</v>
      </c>
      <c r="E1257" t="inlineStr">
        <is>
          <t>BBG01R8RTH84</t>
        </is>
      </c>
    </row>
    <row r="1258">
      <c r="A1258" t="inlineStr">
        <is>
          <t>BBG01R8RSR92 Equity</t>
        </is>
      </c>
      <c r="B1258" t="inlineStr">
        <is>
          <t>TSLL1 US 01/16/26 P47</t>
        </is>
      </c>
      <c r="C1258" t="inlineStr">
        <is>
          <t>2026-01-16</t>
        </is>
      </c>
      <c r="D1258" t="n">
        <v>47</v>
      </c>
      <c r="E1258" t="inlineStr">
        <is>
          <t>BBG01R8RSR92</t>
        </is>
      </c>
    </row>
    <row r="1259">
      <c r="A1259" t="inlineStr">
        <is>
          <t>BBG01R8RTFF0 Equity</t>
        </is>
      </c>
      <c r="B1259" t="inlineStr">
        <is>
          <t>TSLL1 US 01/16/26 P48</t>
        </is>
      </c>
      <c r="C1259" t="inlineStr">
        <is>
          <t>2026-01-16</t>
        </is>
      </c>
      <c r="D1259" t="n">
        <v>48</v>
      </c>
      <c r="E1259" t="inlineStr">
        <is>
          <t>BBG01R8RTFF0</t>
        </is>
      </c>
    </row>
    <row r="1260">
      <c r="A1260" t="inlineStr">
        <is>
          <t>BBG01R97Q586 Equity</t>
        </is>
      </c>
      <c r="B1260" t="inlineStr">
        <is>
          <t>TSLL1 US 01/16/26 P49</t>
        </is>
      </c>
      <c r="C1260" t="inlineStr">
        <is>
          <t>2026-01-16</t>
        </is>
      </c>
      <c r="D1260" t="n">
        <v>49</v>
      </c>
      <c r="E1260" t="inlineStr">
        <is>
          <t>BBG01R97Q586</t>
        </is>
      </c>
    </row>
    <row r="1261">
      <c r="A1261" t="inlineStr">
        <is>
          <t>BBG01R9PV1F1 Equity</t>
        </is>
      </c>
      <c r="B1261" t="inlineStr">
        <is>
          <t>TSLL1 US 01/16/26 P50</t>
        </is>
      </c>
      <c r="C1261" t="inlineStr">
        <is>
          <t>2026-01-16</t>
        </is>
      </c>
      <c r="D1261" t="n">
        <v>50</v>
      </c>
      <c r="E1261" t="inlineStr">
        <is>
          <t>BBG01R9PV1F1</t>
        </is>
      </c>
    </row>
    <row r="1262">
      <c r="A1262" t="inlineStr">
        <is>
          <t>BBG01R9PT4H6 Equity</t>
        </is>
      </c>
      <c r="B1262" t="inlineStr">
        <is>
          <t>TSLL1 US 01/16/26 P51</t>
        </is>
      </c>
      <c r="C1262" t="inlineStr">
        <is>
          <t>2026-01-16</t>
        </is>
      </c>
      <c r="D1262" t="n">
        <v>51</v>
      </c>
      <c r="E1262" t="inlineStr">
        <is>
          <t>BBG01R9PT4H6</t>
        </is>
      </c>
    </row>
    <row r="1263">
      <c r="A1263" t="inlineStr">
        <is>
          <t>BBG01R9PV0T8 Equity</t>
        </is>
      </c>
      <c r="B1263" t="inlineStr">
        <is>
          <t>TSLL1 US 01/16/26 P52</t>
        </is>
      </c>
      <c r="C1263" t="inlineStr">
        <is>
          <t>2026-01-16</t>
        </is>
      </c>
      <c r="D1263" t="n">
        <v>52</v>
      </c>
      <c r="E1263" t="inlineStr">
        <is>
          <t>BBG01R9PV0T8</t>
        </is>
      </c>
    </row>
    <row r="1264">
      <c r="A1264" t="inlineStr">
        <is>
          <t>BBG01R9PT538 Equity</t>
        </is>
      </c>
      <c r="B1264" t="inlineStr">
        <is>
          <t>TSLL1 US 01/16/26 P53</t>
        </is>
      </c>
      <c r="C1264" t="inlineStr">
        <is>
          <t>2026-01-16</t>
        </is>
      </c>
      <c r="D1264" t="n">
        <v>53</v>
      </c>
      <c r="E1264" t="inlineStr">
        <is>
          <t>BBG01R9PT538</t>
        </is>
      </c>
    </row>
    <row r="1265">
      <c r="A1265" t="inlineStr">
        <is>
          <t>BBG01R9PTY08 Equity</t>
        </is>
      </c>
      <c r="B1265" t="inlineStr">
        <is>
          <t>TSLL1 US 01/16/26 P54</t>
        </is>
      </c>
      <c r="C1265" t="inlineStr">
        <is>
          <t>2026-01-16</t>
        </is>
      </c>
      <c r="D1265" t="n">
        <v>54</v>
      </c>
      <c r="E1265" t="inlineStr">
        <is>
          <t>BBG01R9PTY08</t>
        </is>
      </c>
    </row>
    <row r="1266">
      <c r="A1266" t="inlineStr">
        <is>
          <t>BBG01R9PT3W1 Equity</t>
        </is>
      </c>
      <c r="B1266" t="inlineStr">
        <is>
          <t>TSLL1 US 01/16/26 P55</t>
        </is>
      </c>
      <c r="C1266" t="inlineStr">
        <is>
          <t>2026-01-16</t>
        </is>
      </c>
      <c r="D1266" t="n">
        <v>55</v>
      </c>
      <c r="E1266" t="inlineStr">
        <is>
          <t>BBG01R9PT3W1</t>
        </is>
      </c>
    </row>
    <row r="1267">
      <c r="A1267" t="inlineStr">
        <is>
          <t>BBG01R9PTXD6 Equity</t>
        </is>
      </c>
      <c r="B1267" t="inlineStr">
        <is>
          <t>TSLL1 US 01/16/26 P56</t>
        </is>
      </c>
      <c r="C1267" t="inlineStr">
        <is>
          <t>2026-01-16</t>
        </is>
      </c>
      <c r="D1267" t="n">
        <v>56</v>
      </c>
      <c r="E1267" t="inlineStr">
        <is>
          <t>BBG01R9PTXD6</t>
        </is>
      </c>
    </row>
    <row r="1268">
      <c r="A1268" t="inlineStr">
        <is>
          <t>BBG01RB3B070 Equity</t>
        </is>
      </c>
      <c r="B1268" t="inlineStr">
        <is>
          <t>TSLL1 US 01/16/26 P57</t>
        </is>
      </c>
      <c r="C1268" t="inlineStr">
        <is>
          <t>2026-01-16</t>
        </is>
      </c>
      <c r="D1268" t="n">
        <v>57</v>
      </c>
      <c r="E1268" t="inlineStr">
        <is>
          <t>BBG01RB3B070</t>
        </is>
      </c>
    </row>
    <row r="1269">
      <c r="A1269" t="inlineStr">
        <is>
          <t>BBG01RB39BK4 Equity</t>
        </is>
      </c>
      <c r="B1269" t="inlineStr">
        <is>
          <t>TSLL1 US 01/16/26 P58</t>
        </is>
      </c>
      <c r="C1269" t="inlineStr">
        <is>
          <t>2026-01-16</t>
        </is>
      </c>
      <c r="D1269" t="n">
        <v>58</v>
      </c>
      <c r="E1269" t="inlineStr">
        <is>
          <t>BBG01RB39BK4</t>
        </is>
      </c>
    </row>
    <row r="1270">
      <c r="A1270" t="inlineStr">
        <is>
          <t>BBG01RB3B0V3 Equity</t>
        </is>
      </c>
      <c r="B1270" t="inlineStr">
        <is>
          <t>TSLL1 US 01/16/26 P59</t>
        </is>
      </c>
      <c r="C1270" t="inlineStr">
        <is>
          <t>2026-01-16</t>
        </is>
      </c>
      <c r="D1270" t="n">
        <v>59</v>
      </c>
      <c r="E1270" t="inlineStr">
        <is>
          <t>BBG01RB3B0V3</t>
        </is>
      </c>
    </row>
    <row r="1271">
      <c r="A1271" t="inlineStr">
        <is>
          <t>BBG01RB3B1G8 Equity</t>
        </is>
      </c>
      <c r="B1271" t="inlineStr">
        <is>
          <t>TSLL1 US 01/16/26 P60</t>
        </is>
      </c>
      <c r="C1271" t="inlineStr">
        <is>
          <t>2026-01-16</t>
        </is>
      </c>
      <c r="D1271" t="n">
        <v>60</v>
      </c>
      <c r="E1271" t="inlineStr">
        <is>
          <t>BBG01RB3B1G8</t>
        </is>
      </c>
    </row>
    <row r="1272">
      <c r="A1272" t="inlineStr">
        <is>
          <t>BBG01RB39C59 Equity</t>
        </is>
      </c>
      <c r="B1272" t="inlineStr">
        <is>
          <t>TSLL1 US 01/16/26 P61</t>
        </is>
      </c>
      <c r="C1272" t="inlineStr">
        <is>
          <t>2026-01-16</t>
        </is>
      </c>
      <c r="D1272" t="n">
        <v>61</v>
      </c>
      <c r="E1272" t="inlineStr">
        <is>
          <t>BBG01RB39C59</t>
        </is>
      </c>
    </row>
    <row r="1273">
      <c r="A1273" t="inlineStr">
        <is>
          <t>BBG01ZD3QL23 Equity</t>
        </is>
      </c>
      <c r="B1273" t="inlineStr">
        <is>
          <t>TSLL US 02/20/26 P10</t>
        </is>
      </c>
      <c r="C1273" t="inlineStr">
        <is>
          <t>2026-02-20</t>
        </is>
      </c>
      <c r="D1273" t="n">
        <v>10</v>
      </c>
      <c r="E1273" t="inlineStr">
        <is>
          <t>BBG01ZD3QL23</t>
        </is>
      </c>
    </row>
    <row r="1274">
      <c r="A1274" t="inlineStr">
        <is>
          <t>BBG01Z54GR64 Equity</t>
        </is>
      </c>
      <c r="B1274" t="inlineStr">
        <is>
          <t>TSLL US 02/20/26 P12</t>
        </is>
      </c>
      <c r="C1274" t="inlineStr">
        <is>
          <t>2026-02-20</t>
        </is>
      </c>
      <c r="D1274" t="n">
        <v>12</v>
      </c>
      <c r="E1274" t="inlineStr">
        <is>
          <t>BBG01Z54GR64</t>
        </is>
      </c>
    </row>
    <row r="1275">
      <c r="A1275" t="inlineStr">
        <is>
          <t>BBG01Z54GSF2 Equity</t>
        </is>
      </c>
      <c r="B1275" t="inlineStr">
        <is>
          <t>TSLL US 02/20/26 P13</t>
        </is>
      </c>
      <c r="C1275" t="inlineStr">
        <is>
          <t>2026-02-20</t>
        </is>
      </c>
      <c r="D1275" t="n">
        <v>13</v>
      </c>
      <c r="E1275" t="inlineStr">
        <is>
          <t>BBG01Z54GSF2</t>
        </is>
      </c>
    </row>
    <row r="1276">
      <c r="A1276" t="inlineStr">
        <is>
          <t>BBG01Z54CBQ1 Equity</t>
        </is>
      </c>
      <c r="B1276" t="inlineStr">
        <is>
          <t>TSLL US 02/20/26 P14</t>
        </is>
      </c>
      <c r="C1276" t="inlineStr">
        <is>
          <t>2026-02-20</t>
        </is>
      </c>
      <c r="D1276" t="n">
        <v>14</v>
      </c>
      <c r="E1276" t="inlineStr">
        <is>
          <t>BBG01Z54CBQ1</t>
        </is>
      </c>
    </row>
    <row r="1277">
      <c r="A1277" t="inlineStr">
        <is>
          <t>BBG01Z54GC30 Equity</t>
        </is>
      </c>
      <c r="B1277" t="inlineStr">
        <is>
          <t>TSLL US 02/20/26 P15</t>
        </is>
      </c>
      <c r="C1277" t="inlineStr">
        <is>
          <t>2026-02-20</t>
        </is>
      </c>
      <c r="D1277" t="n">
        <v>15</v>
      </c>
      <c r="E1277" t="inlineStr">
        <is>
          <t>BBG01Z54GC30</t>
        </is>
      </c>
    </row>
    <row r="1278">
      <c r="A1278" t="inlineStr">
        <is>
          <t>BBG01Z54G4K9 Equity</t>
        </is>
      </c>
      <c r="B1278" t="inlineStr">
        <is>
          <t>TSLL US 02/20/26 P16</t>
        </is>
      </c>
      <c r="C1278" t="inlineStr">
        <is>
          <t>2026-02-20</t>
        </is>
      </c>
      <c r="D1278" t="n">
        <v>16</v>
      </c>
      <c r="E1278" t="inlineStr">
        <is>
          <t>BBG01Z54G4K9</t>
        </is>
      </c>
    </row>
    <row r="1279">
      <c r="A1279" t="inlineStr">
        <is>
          <t>BBG01Z54GT15 Equity</t>
        </is>
      </c>
      <c r="B1279" t="inlineStr">
        <is>
          <t>TSLL US 02/20/26 P17</t>
        </is>
      </c>
      <c r="C1279" t="inlineStr">
        <is>
          <t>2026-02-20</t>
        </is>
      </c>
      <c r="D1279" t="n">
        <v>17</v>
      </c>
      <c r="E1279" t="inlineStr">
        <is>
          <t>BBG01Z54GT15</t>
        </is>
      </c>
    </row>
    <row r="1280">
      <c r="A1280" t="inlineStr">
        <is>
          <t>BBG01Z54C628 Equity</t>
        </is>
      </c>
      <c r="B1280" t="inlineStr">
        <is>
          <t>TSLL US 02/20/26 P18</t>
        </is>
      </c>
      <c r="C1280" t="inlineStr">
        <is>
          <t>2026-02-20</t>
        </is>
      </c>
      <c r="D1280" t="n">
        <v>18</v>
      </c>
      <c r="E1280" t="inlineStr">
        <is>
          <t>BBG01Z54C628</t>
        </is>
      </c>
    </row>
    <row r="1281">
      <c r="A1281" t="inlineStr">
        <is>
          <t>BBG01Z54GDB9 Equity</t>
        </is>
      </c>
      <c r="B1281" t="inlineStr">
        <is>
          <t>TSLL US 02/20/26 P19</t>
        </is>
      </c>
      <c r="C1281" t="inlineStr">
        <is>
          <t>2026-02-20</t>
        </is>
      </c>
      <c r="D1281" t="n">
        <v>19</v>
      </c>
      <c r="E1281" t="inlineStr">
        <is>
          <t>BBG01Z54GDB9</t>
        </is>
      </c>
    </row>
    <row r="1282">
      <c r="A1282" t="inlineStr">
        <is>
          <t>BBG01Z54BN77 Equity</t>
        </is>
      </c>
      <c r="B1282" t="inlineStr">
        <is>
          <t>TSLL US 02/20/26 P20</t>
        </is>
      </c>
      <c r="C1282" t="inlineStr">
        <is>
          <t>2026-02-20</t>
        </is>
      </c>
      <c r="D1282" t="n">
        <v>20</v>
      </c>
      <c r="E1282" t="inlineStr">
        <is>
          <t>BBG01Z54BN77</t>
        </is>
      </c>
    </row>
    <row r="1283">
      <c r="A1283" t="inlineStr">
        <is>
          <t>BBG01Z54G3Y6 Equity</t>
        </is>
      </c>
      <c r="B1283" t="inlineStr">
        <is>
          <t>TSLL US 02/20/26 P21</t>
        </is>
      </c>
      <c r="C1283" t="inlineStr">
        <is>
          <t>2026-02-20</t>
        </is>
      </c>
      <c r="D1283" t="n">
        <v>21</v>
      </c>
      <c r="E1283" t="inlineStr">
        <is>
          <t>BBG01Z54G3Y6</t>
        </is>
      </c>
    </row>
    <row r="1284">
      <c r="A1284" t="inlineStr">
        <is>
          <t>BBG01Z54GRT9 Equity</t>
        </is>
      </c>
      <c r="B1284" t="inlineStr">
        <is>
          <t>TSLL US 02/20/26 P22</t>
        </is>
      </c>
      <c r="C1284" t="inlineStr">
        <is>
          <t>2026-02-20</t>
        </is>
      </c>
      <c r="D1284" t="n">
        <v>22</v>
      </c>
      <c r="E1284" t="inlineStr">
        <is>
          <t>BBG01Z54GRT9</t>
        </is>
      </c>
    </row>
    <row r="1285">
      <c r="A1285" t="inlineStr">
        <is>
          <t>BBG01Z54CCB5 Equity</t>
        </is>
      </c>
      <c r="B1285" t="inlineStr">
        <is>
          <t>TSLL US 02/20/26 P23</t>
        </is>
      </c>
      <c r="C1285" t="inlineStr">
        <is>
          <t>2026-02-20</t>
        </is>
      </c>
      <c r="D1285" t="n">
        <v>23</v>
      </c>
      <c r="E1285" t="inlineStr">
        <is>
          <t>BBG01Z54CCB5</t>
        </is>
      </c>
    </row>
    <row r="1286">
      <c r="A1286" t="inlineStr">
        <is>
          <t>BBG01Z54CCY0 Equity</t>
        </is>
      </c>
      <c r="B1286" t="inlineStr">
        <is>
          <t>TSLL US 02/20/26 P24</t>
        </is>
      </c>
      <c r="C1286" t="inlineStr">
        <is>
          <t>2026-02-20</t>
        </is>
      </c>
      <c r="D1286" t="n">
        <v>24</v>
      </c>
      <c r="E1286" t="inlineStr">
        <is>
          <t>BBG01Z54CCY0</t>
        </is>
      </c>
    </row>
    <row r="1287">
      <c r="A1287" t="inlineStr">
        <is>
          <t>BBG01Z54GBH7 Equity</t>
        </is>
      </c>
      <c r="B1287" t="inlineStr">
        <is>
          <t>TSLL US 02/20/26 P25</t>
        </is>
      </c>
      <c r="C1287" t="inlineStr">
        <is>
          <t>2026-02-20</t>
        </is>
      </c>
      <c r="D1287" t="n">
        <v>25</v>
      </c>
      <c r="E1287" t="inlineStr">
        <is>
          <t>BBG01Z54GBH7</t>
        </is>
      </c>
    </row>
    <row r="1288">
      <c r="A1288" t="inlineStr">
        <is>
          <t>BBG01Z54G553 Equity</t>
        </is>
      </c>
      <c r="B1288" t="inlineStr">
        <is>
          <t>TSLL US 02/20/26 P26</t>
        </is>
      </c>
      <c r="C1288" t="inlineStr">
        <is>
          <t>2026-02-20</t>
        </is>
      </c>
      <c r="D1288" t="n">
        <v>26</v>
      </c>
      <c r="E1288" t="inlineStr">
        <is>
          <t>BBG01Z54G553</t>
        </is>
      </c>
    </row>
    <row r="1289">
      <c r="A1289" t="inlineStr">
        <is>
          <t>BBG01Z54GTN1 Equity</t>
        </is>
      </c>
      <c r="B1289" t="inlineStr">
        <is>
          <t>TSLL US 02/20/26 P27</t>
        </is>
      </c>
      <c r="C1289" t="inlineStr">
        <is>
          <t>2026-02-20</t>
        </is>
      </c>
      <c r="D1289" t="n">
        <v>27</v>
      </c>
      <c r="E1289" t="inlineStr">
        <is>
          <t>BBG01Z54GTN1</t>
        </is>
      </c>
    </row>
    <row r="1290">
      <c r="A1290" t="inlineStr">
        <is>
          <t>BBG01Z54CDK3 Equity</t>
        </is>
      </c>
      <c r="B1290" t="inlineStr">
        <is>
          <t>TSLL US 02/20/26 P28</t>
        </is>
      </c>
      <c r="C1290" t="inlineStr">
        <is>
          <t>2026-02-20</t>
        </is>
      </c>
      <c r="D1290" t="n">
        <v>28</v>
      </c>
      <c r="E1290" t="inlineStr">
        <is>
          <t>BBG01Z54CDK3</t>
        </is>
      </c>
    </row>
    <row r="1291">
      <c r="A1291" t="inlineStr">
        <is>
          <t>BBG01Z54CB36 Equity</t>
        </is>
      </c>
      <c r="B1291" t="inlineStr">
        <is>
          <t>TSLL US 02/20/26 P29</t>
        </is>
      </c>
      <c r="C1291" t="inlineStr">
        <is>
          <t>2026-02-20</t>
        </is>
      </c>
      <c r="D1291" t="n">
        <v>29</v>
      </c>
      <c r="E1291" t="inlineStr">
        <is>
          <t>BBG01Z54CB36</t>
        </is>
      </c>
    </row>
    <row r="1292">
      <c r="A1292" t="inlineStr">
        <is>
          <t>BBG01Z54BNV0 Equity</t>
        </is>
      </c>
      <c r="B1292" t="inlineStr">
        <is>
          <t>TSLL US 02/20/26 P30</t>
        </is>
      </c>
      <c r="C1292" t="inlineStr">
        <is>
          <t>2026-02-20</t>
        </is>
      </c>
      <c r="D1292" t="n">
        <v>30</v>
      </c>
      <c r="E1292" t="inlineStr">
        <is>
          <t>BBG01Z54BNV0</t>
        </is>
      </c>
    </row>
    <row r="1293">
      <c r="A1293" t="inlineStr">
        <is>
          <t>BBG01Z54GCQ5 Equity</t>
        </is>
      </c>
      <c r="B1293" t="inlineStr">
        <is>
          <t>TSLL US 02/20/26 P31</t>
        </is>
      </c>
      <c r="C1293" t="inlineStr">
        <is>
          <t>2026-02-20</t>
        </is>
      </c>
      <c r="D1293" t="n">
        <v>31</v>
      </c>
      <c r="E1293" t="inlineStr">
        <is>
          <t>BBG01Z54GCQ5</t>
        </is>
      </c>
    </row>
    <row r="1294">
      <c r="A1294" t="inlineStr">
        <is>
          <t>BBG01Z54BZF1 Equity</t>
        </is>
      </c>
      <c r="B1294" t="inlineStr">
        <is>
          <t>TSLL US 02/20/26 P32</t>
        </is>
      </c>
      <c r="C1294" t="inlineStr">
        <is>
          <t>2026-02-20</t>
        </is>
      </c>
      <c r="D1294" t="n">
        <v>32</v>
      </c>
      <c r="E1294" t="inlineStr">
        <is>
          <t>BBG01Z54BZF1</t>
        </is>
      </c>
    </row>
    <row r="1295">
      <c r="A1295" t="inlineStr">
        <is>
          <t>BBG01W69RS47 Equity</t>
        </is>
      </c>
      <c r="B1295" t="inlineStr">
        <is>
          <t>TSLL1 US 03/20/26 P1</t>
        </is>
      </c>
      <c r="C1295" t="inlineStr">
        <is>
          <t>2026-03-20</t>
        </is>
      </c>
      <c r="D1295" t="n">
        <v>1</v>
      </c>
      <c r="E1295" t="inlineStr">
        <is>
          <t>BBG01W69RS47</t>
        </is>
      </c>
    </row>
    <row r="1296">
      <c r="A1296" t="inlineStr">
        <is>
          <t>BBG01W69TN64 Equity</t>
        </is>
      </c>
      <c r="B1296" t="inlineStr">
        <is>
          <t>TSLL1 US 03/20/26 P2</t>
        </is>
      </c>
      <c r="C1296" t="inlineStr">
        <is>
          <t>2026-03-20</t>
        </is>
      </c>
      <c r="D1296" t="n">
        <v>2</v>
      </c>
      <c r="E1296" t="inlineStr">
        <is>
          <t>BBG01W69TN64</t>
        </is>
      </c>
    </row>
    <row r="1297">
      <c r="A1297" t="inlineStr">
        <is>
          <t>BBG01W69TKR7 Equity</t>
        </is>
      </c>
      <c r="B1297" t="inlineStr">
        <is>
          <t>TSLL1 US 03/20/26 P3</t>
        </is>
      </c>
      <c r="C1297" t="inlineStr">
        <is>
          <t>2026-03-20</t>
        </is>
      </c>
      <c r="D1297" t="n">
        <v>3</v>
      </c>
      <c r="E1297" t="inlineStr">
        <is>
          <t>BBG01W69TKR7</t>
        </is>
      </c>
    </row>
    <row r="1298">
      <c r="A1298" t="inlineStr">
        <is>
          <t>BBG01W69T9S1 Equity</t>
        </is>
      </c>
      <c r="B1298" t="inlineStr">
        <is>
          <t>TSLL1 US 03/20/26 P4</t>
        </is>
      </c>
      <c r="C1298" t="inlineStr">
        <is>
          <t>2026-03-20</t>
        </is>
      </c>
      <c r="D1298" t="n">
        <v>4</v>
      </c>
      <c r="E1298" t="inlineStr">
        <is>
          <t>BBG01W69T9S1</t>
        </is>
      </c>
    </row>
    <row r="1299">
      <c r="A1299" t="inlineStr">
        <is>
          <t>BBG01Z0KB1F5 Equity</t>
        </is>
      </c>
      <c r="B1299" t="inlineStr">
        <is>
          <t>TSLL US 03/20/26 P5</t>
        </is>
      </c>
      <c r="C1299" t="inlineStr">
        <is>
          <t>2026-03-20</t>
        </is>
      </c>
      <c r="D1299" t="n">
        <v>5</v>
      </c>
      <c r="E1299" t="inlineStr">
        <is>
          <t>BBG01Z0KB1F5</t>
        </is>
      </c>
    </row>
    <row r="1300">
      <c r="A1300" t="inlineStr">
        <is>
          <t>BBG01W69S8V0 Equity</t>
        </is>
      </c>
      <c r="B1300" t="inlineStr">
        <is>
          <t>TSLL1 US 03/20/26 P5</t>
        </is>
      </c>
      <c r="C1300" t="inlineStr">
        <is>
          <t>2026-03-20</t>
        </is>
      </c>
      <c r="D1300" t="n">
        <v>5</v>
      </c>
      <c r="E1300" t="inlineStr">
        <is>
          <t>BBG01W69S8V0</t>
        </is>
      </c>
    </row>
    <row r="1301">
      <c r="A1301" t="inlineStr">
        <is>
          <t>BBG01W69TLC1 Equity</t>
        </is>
      </c>
      <c r="B1301" t="inlineStr">
        <is>
          <t>TSLL1 US 03/20/26 P6</t>
        </is>
      </c>
      <c r="C1301" t="inlineStr">
        <is>
          <t>2026-03-20</t>
        </is>
      </c>
      <c r="D1301" t="n">
        <v>6</v>
      </c>
      <c r="E1301" t="inlineStr">
        <is>
          <t>BBG01W69TLC1</t>
        </is>
      </c>
    </row>
    <row r="1302">
      <c r="A1302" t="inlineStr">
        <is>
          <t>BBG01W69TG32 Equity</t>
        </is>
      </c>
      <c r="B1302" t="inlineStr">
        <is>
          <t>TSLL1 US 03/20/26 P7</t>
        </is>
      </c>
      <c r="C1302" t="inlineStr">
        <is>
          <t>2026-03-20</t>
        </is>
      </c>
      <c r="D1302" t="n">
        <v>7</v>
      </c>
      <c r="E1302" t="inlineStr">
        <is>
          <t>BBG01W69TG32</t>
        </is>
      </c>
    </row>
    <row r="1303">
      <c r="A1303" t="inlineStr">
        <is>
          <t>BBG01W69SX72 Equity</t>
        </is>
      </c>
      <c r="B1303" t="inlineStr">
        <is>
          <t>TSLL1 US 03/20/26 P8</t>
        </is>
      </c>
      <c r="C1303" t="inlineStr">
        <is>
          <t>2026-03-20</t>
        </is>
      </c>
      <c r="D1303" t="n">
        <v>8</v>
      </c>
      <c r="E1303" t="inlineStr">
        <is>
          <t>BBG01W69SX72</t>
        </is>
      </c>
    </row>
    <row r="1304">
      <c r="A1304" t="inlineStr">
        <is>
          <t>BBG01W69T5N4 Equity</t>
        </is>
      </c>
      <c r="B1304" t="inlineStr">
        <is>
          <t>TSLL1 US 03/20/26 P9</t>
        </is>
      </c>
      <c r="C1304" t="inlineStr">
        <is>
          <t>2026-03-20</t>
        </is>
      </c>
      <c r="D1304" t="n">
        <v>9</v>
      </c>
      <c r="E1304" t="inlineStr">
        <is>
          <t>BBG01W69T5N4</t>
        </is>
      </c>
    </row>
    <row r="1305">
      <c r="A1305" t="inlineStr">
        <is>
          <t>BBG01Z0KB5R3 Equity</t>
        </is>
      </c>
      <c r="B1305" t="inlineStr">
        <is>
          <t>TSLL US 03/20/26 P10</t>
        </is>
      </c>
      <c r="C1305" t="inlineStr">
        <is>
          <t>2026-03-20</t>
        </is>
      </c>
      <c r="D1305" t="n">
        <v>10</v>
      </c>
      <c r="E1305" t="inlineStr">
        <is>
          <t>BBG01Z0KB5R3</t>
        </is>
      </c>
    </row>
    <row r="1306">
      <c r="A1306" t="inlineStr">
        <is>
          <t>BBG01W69T518 Equity</t>
        </is>
      </c>
      <c r="B1306" t="inlineStr">
        <is>
          <t>TSLL1 US 03/20/26 P10</t>
        </is>
      </c>
      <c r="C1306" t="inlineStr">
        <is>
          <t>2026-03-20</t>
        </is>
      </c>
      <c r="D1306" t="n">
        <v>10</v>
      </c>
      <c r="E1306" t="inlineStr">
        <is>
          <t>BBG01W69T518</t>
        </is>
      </c>
    </row>
    <row r="1307">
      <c r="A1307" t="inlineStr">
        <is>
          <t>BBG01Z0KBJJ2 Equity</t>
        </is>
      </c>
      <c r="B1307" t="inlineStr">
        <is>
          <t>TSLL US 03/20/26 P11</t>
        </is>
      </c>
      <c r="C1307" t="inlineStr">
        <is>
          <t>2026-03-20</t>
        </is>
      </c>
      <c r="D1307" t="n">
        <v>11</v>
      </c>
      <c r="E1307" t="inlineStr">
        <is>
          <t>BBG01Z0KBJJ2</t>
        </is>
      </c>
    </row>
    <row r="1308">
      <c r="A1308" t="inlineStr">
        <is>
          <t>BBG01W69SVD9 Equity</t>
        </is>
      </c>
      <c r="B1308" t="inlineStr">
        <is>
          <t>TSLL1 US 03/20/26 P11</t>
        </is>
      </c>
      <c r="C1308" t="inlineStr">
        <is>
          <t>2026-03-20</t>
        </is>
      </c>
      <c r="D1308" t="n">
        <v>11</v>
      </c>
      <c r="E1308" t="inlineStr">
        <is>
          <t>BBG01W69SVD9</t>
        </is>
      </c>
    </row>
    <row r="1309">
      <c r="A1309" t="inlineStr">
        <is>
          <t>BBG01Z0KBRP7 Equity</t>
        </is>
      </c>
      <c r="B1309" t="inlineStr">
        <is>
          <t>TSLL US 03/20/26 P12</t>
        </is>
      </c>
      <c r="C1309" t="inlineStr">
        <is>
          <t>2026-03-20</t>
        </is>
      </c>
      <c r="D1309" t="n">
        <v>12</v>
      </c>
      <c r="E1309" t="inlineStr">
        <is>
          <t>BBG01Z0KBRP7</t>
        </is>
      </c>
    </row>
    <row r="1310">
      <c r="A1310" t="inlineStr">
        <is>
          <t>BBG01W69TML9 Equity</t>
        </is>
      </c>
      <c r="B1310" t="inlineStr">
        <is>
          <t>TSLL1 US 03/20/26 P12</t>
        </is>
      </c>
      <c r="C1310" t="inlineStr">
        <is>
          <t>2026-03-20</t>
        </is>
      </c>
      <c r="D1310" t="n">
        <v>12</v>
      </c>
      <c r="E1310" t="inlineStr">
        <is>
          <t>BBG01W69TML9</t>
        </is>
      </c>
    </row>
    <row r="1311">
      <c r="A1311" t="inlineStr">
        <is>
          <t>BBG01Z0KB218 Equity</t>
        </is>
      </c>
      <c r="B1311" t="inlineStr">
        <is>
          <t>TSLL US 03/20/26 P13</t>
        </is>
      </c>
      <c r="C1311" t="inlineStr">
        <is>
          <t>2026-03-20</t>
        </is>
      </c>
      <c r="D1311" t="n">
        <v>13</v>
      </c>
      <c r="E1311" t="inlineStr">
        <is>
          <t>BBG01Z0KB218</t>
        </is>
      </c>
    </row>
    <row r="1312">
      <c r="A1312" t="inlineStr">
        <is>
          <t>BBG01W69T4F6 Equity</t>
        </is>
      </c>
      <c r="B1312" t="inlineStr">
        <is>
          <t>TSLL1 US 03/20/26 P13</t>
        </is>
      </c>
      <c r="C1312" t="inlineStr">
        <is>
          <t>2026-03-20</t>
        </is>
      </c>
      <c r="D1312" t="n">
        <v>13</v>
      </c>
      <c r="E1312" t="inlineStr">
        <is>
          <t>BBG01W69T4F6</t>
        </is>
      </c>
    </row>
    <row r="1313">
      <c r="A1313" t="inlineStr">
        <is>
          <t>BBG01Z0K63N8 Equity</t>
        </is>
      </c>
      <c r="B1313" t="inlineStr">
        <is>
          <t>TSLL US 03/20/26 P14</t>
        </is>
      </c>
      <c r="C1313" t="inlineStr">
        <is>
          <t>2026-03-20</t>
        </is>
      </c>
      <c r="D1313" t="n">
        <v>14</v>
      </c>
      <c r="E1313" t="inlineStr">
        <is>
          <t>BBG01Z0K63N8</t>
        </is>
      </c>
    </row>
    <row r="1314">
      <c r="A1314" t="inlineStr">
        <is>
          <t>BBG01W69TBD2 Equity</t>
        </is>
      </c>
      <c r="B1314" t="inlineStr">
        <is>
          <t>TSLL1 US 03/20/26 P14</t>
        </is>
      </c>
      <c r="C1314" t="inlineStr">
        <is>
          <t>2026-03-20</t>
        </is>
      </c>
      <c r="D1314" t="n">
        <v>14</v>
      </c>
      <c r="E1314" t="inlineStr">
        <is>
          <t>BBG01W69TBD2</t>
        </is>
      </c>
    </row>
    <row r="1315">
      <c r="A1315" t="inlineStr">
        <is>
          <t>BBG01Z0K9ZL6 Equity</t>
        </is>
      </c>
      <c r="B1315" t="inlineStr">
        <is>
          <t>TSLL US 03/20/26 P15</t>
        </is>
      </c>
      <c r="C1315" t="inlineStr">
        <is>
          <t>2026-03-20</t>
        </is>
      </c>
      <c r="D1315" t="n">
        <v>15</v>
      </c>
      <c r="E1315" t="inlineStr">
        <is>
          <t>BBG01Z0K9ZL6</t>
        </is>
      </c>
    </row>
    <row r="1316">
      <c r="A1316" t="inlineStr">
        <is>
          <t>BBG01W69S877 Equity</t>
        </is>
      </c>
      <c r="B1316" t="inlineStr">
        <is>
          <t>TSLL1 US 03/20/26 P15</t>
        </is>
      </c>
      <c r="C1316" t="inlineStr">
        <is>
          <t>2026-03-20</t>
        </is>
      </c>
      <c r="D1316" t="n">
        <v>15</v>
      </c>
      <c r="E1316" t="inlineStr">
        <is>
          <t>BBG01W69S877</t>
        </is>
      </c>
    </row>
    <row r="1317">
      <c r="A1317" t="inlineStr">
        <is>
          <t>BBG01Z0KBR22 Equity</t>
        </is>
      </c>
      <c r="B1317" t="inlineStr">
        <is>
          <t>TSLL US 03/20/26 P16</t>
        </is>
      </c>
      <c r="C1317" t="inlineStr">
        <is>
          <t>2026-03-20</t>
        </is>
      </c>
      <c r="D1317" t="n">
        <v>16</v>
      </c>
      <c r="E1317" t="inlineStr">
        <is>
          <t>BBG01Z0KBR22</t>
        </is>
      </c>
    </row>
    <row r="1318">
      <c r="A1318" t="inlineStr">
        <is>
          <t>BBG01W69TLZ6 Equity</t>
        </is>
      </c>
      <c r="B1318" t="inlineStr">
        <is>
          <t>TSLL1 US 03/20/26 P16</t>
        </is>
      </c>
      <c r="C1318" t="inlineStr">
        <is>
          <t>2026-03-20</t>
        </is>
      </c>
      <c r="D1318" t="n">
        <v>16</v>
      </c>
      <c r="E1318" t="inlineStr">
        <is>
          <t>BBG01W69TLZ6</t>
        </is>
      </c>
    </row>
    <row r="1319">
      <c r="A1319" t="inlineStr">
        <is>
          <t>BBG01Z0KBPV4 Equity</t>
        </is>
      </c>
      <c r="B1319" t="inlineStr">
        <is>
          <t>TSLL US 03/20/26 P17</t>
        </is>
      </c>
      <c r="C1319" t="inlineStr">
        <is>
          <t>2026-03-20</t>
        </is>
      </c>
      <c r="D1319" t="n">
        <v>17</v>
      </c>
      <c r="E1319" t="inlineStr">
        <is>
          <t>BBG01Z0KBPV4</t>
        </is>
      </c>
    </row>
    <row r="1320">
      <c r="A1320" t="inlineStr">
        <is>
          <t>BBG01W69SWM7 Equity</t>
        </is>
      </c>
      <c r="B1320" t="inlineStr">
        <is>
          <t>TSLL1 US 03/20/26 P17</t>
        </is>
      </c>
      <c r="C1320" t="inlineStr">
        <is>
          <t>2026-03-20</t>
        </is>
      </c>
      <c r="D1320" t="n">
        <v>17</v>
      </c>
      <c r="E1320" t="inlineStr">
        <is>
          <t>BBG01W69SWM7</t>
        </is>
      </c>
    </row>
    <row r="1321">
      <c r="A1321" t="inlineStr">
        <is>
          <t>BBG01Z0K6312 Equity</t>
        </is>
      </c>
      <c r="B1321" t="inlineStr">
        <is>
          <t>TSLL US 03/20/26 P18</t>
        </is>
      </c>
      <c r="C1321" t="inlineStr">
        <is>
          <t>2026-03-20</t>
        </is>
      </c>
      <c r="D1321" t="n">
        <v>18</v>
      </c>
      <c r="E1321" t="inlineStr">
        <is>
          <t>BBG01Z0K6312</t>
        </is>
      </c>
    </row>
    <row r="1322">
      <c r="A1322" t="inlineStr">
        <is>
          <t>BBG01W69T956 Equity</t>
        </is>
      </c>
      <c r="B1322" t="inlineStr">
        <is>
          <t>TSLL1 US 03/20/26 P18</t>
        </is>
      </c>
      <c r="C1322" t="inlineStr">
        <is>
          <t>2026-03-20</t>
        </is>
      </c>
      <c r="D1322" t="n">
        <v>18</v>
      </c>
      <c r="E1322" t="inlineStr">
        <is>
          <t>BBG01W69T956</t>
        </is>
      </c>
    </row>
    <row r="1323">
      <c r="A1323" t="inlineStr">
        <is>
          <t>BBG01Z0KB7L5 Equity</t>
        </is>
      </c>
      <c r="B1323" t="inlineStr">
        <is>
          <t>TSLL US 03/20/26 P19</t>
        </is>
      </c>
      <c r="C1323" t="inlineStr">
        <is>
          <t>2026-03-20</t>
        </is>
      </c>
      <c r="D1323" t="n">
        <v>19</v>
      </c>
      <c r="E1323" t="inlineStr">
        <is>
          <t>BBG01Z0KB7L5</t>
        </is>
      </c>
    </row>
    <row r="1324">
      <c r="A1324" t="inlineStr">
        <is>
          <t>BBG01W69T7Y8 Equity</t>
        </is>
      </c>
      <c r="B1324" t="inlineStr">
        <is>
          <t>TSLL1 US 03/20/26 P19</t>
        </is>
      </c>
      <c r="C1324" t="inlineStr">
        <is>
          <t>2026-03-20</t>
        </is>
      </c>
      <c r="D1324" t="n">
        <v>19</v>
      </c>
      <c r="E1324" t="inlineStr">
        <is>
          <t>BBG01W69T7Y8</t>
        </is>
      </c>
    </row>
    <row r="1325">
      <c r="A1325" t="inlineStr">
        <is>
          <t>BBG01Z0K62F9 Equity</t>
        </is>
      </c>
      <c r="B1325" t="inlineStr">
        <is>
          <t>TSLL US 03/20/26 P20</t>
        </is>
      </c>
      <c r="C1325" t="inlineStr">
        <is>
          <t>2026-03-20</t>
        </is>
      </c>
      <c r="D1325" t="n">
        <v>20</v>
      </c>
      <c r="E1325" t="inlineStr">
        <is>
          <t>BBG01Z0K62F9</t>
        </is>
      </c>
    </row>
    <row r="1326">
      <c r="A1326" t="inlineStr">
        <is>
          <t>BBG01W69T8K1 Equity</t>
        </is>
      </c>
      <c r="B1326" t="inlineStr">
        <is>
          <t>TSLL1 US 03/20/26 P20</t>
        </is>
      </c>
      <c r="C1326" t="inlineStr">
        <is>
          <t>2026-03-20</t>
        </is>
      </c>
      <c r="D1326" t="n">
        <v>20</v>
      </c>
      <c r="E1326" t="inlineStr">
        <is>
          <t>BBG01W69T8K1</t>
        </is>
      </c>
    </row>
    <row r="1327">
      <c r="A1327" t="inlineStr">
        <is>
          <t>BBG01Z0K68Z4 Equity</t>
        </is>
      </c>
      <c r="B1327" t="inlineStr">
        <is>
          <t>TSLL US 03/20/26 P21</t>
        </is>
      </c>
      <c r="C1327" t="inlineStr">
        <is>
          <t>2026-03-20</t>
        </is>
      </c>
      <c r="D1327" t="n">
        <v>21</v>
      </c>
      <c r="E1327" t="inlineStr">
        <is>
          <t>BBG01Z0K68Z4</t>
        </is>
      </c>
    </row>
    <row r="1328">
      <c r="A1328" t="inlineStr">
        <is>
          <t>BBG01W69SW01 Equity</t>
        </is>
      </c>
      <c r="B1328" t="inlineStr">
        <is>
          <t>TSLL1 US 03/20/26 P21</t>
        </is>
      </c>
      <c r="C1328" t="inlineStr">
        <is>
          <t>2026-03-20</t>
        </is>
      </c>
      <c r="D1328" t="n">
        <v>21</v>
      </c>
      <c r="E1328" t="inlineStr">
        <is>
          <t>BBG01W69SW01</t>
        </is>
      </c>
    </row>
    <row r="1329">
      <c r="A1329" t="inlineStr">
        <is>
          <t>BBG01Z0KBXR2 Equity</t>
        </is>
      </c>
      <c r="B1329" t="inlineStr">
        <is>
          <t>TSLL US 03/20/26 P22</t>
        </is>
      </c>
      <c r="C1329" t="inlineStr">
        <is>
          <t>2026-03-20</t>
        </is>
      </c>
      <c r="D1329" t="n">
        <v>22</v>
      </c>
      <c r="E1329" t="inlineStr">
        <is>
          <t>BBG01Z0KBXR2</t>
        </is>
      </c>
    </row>
    <row r="1330">
      <c r="A1330" t="inlineStr">
        <is>
          <t>BBG01W89SCX7 Equity</t>
        </is>
      </c>
      <c r="B1330" t="inlineStr">
        <is>
          <t>TSLL1 US 03/20/26 P22</t>
        </is>
      </c>
      <c r="C1330" t="inlineStr">
        <is>
          <t>2026-03-20</t>
        </is>
      </c>
      <c r="D1330" t="n">
        <v>22</v>
      </c>
      <c r="E1330" t="inlineStr">
        <is>
          <t>BBG01W89SCX7</t>
        </is>
      </c>
    </row>
    <row r="1331">
      <c r="A1331" t="inlineStr">
        <is>
          <t>BBG01Z0KB067 Equity</t>
        </is>
      </c>
      <c r="B1331" t="inlineStr">
        <is>
          <t>TSLL US 03/20/26 P23</t>
        </is>
      </c>
      <c r="C1331" t="inlineStr">
        <is>
          <t>2026-03-20</t>
        </is>
      </c>
      <c r="D1331" t="n">
        <v>23</v>
      </c>
      <c r="E1331" t="inlineStr">
        <is>
          <t>BBG01Z0KB067</t>
        </is>
      </c>
    </row>
    <row r="1332">
      <c r="A1332" t="inlineStr">
        <is>
          <t>BBG01W89SC94 Equity</t>
        </is>
      </c>
      <c r="B1332" t="inlineStr">
        <is>
          <t>TSLL1 US 03/20/26 P23</t>
        </is>
      </c>
      <c r="C1332" t="inlineStr">
        <is>
          <t>2026-03-20</t>
        </is>
      </c>
      <c r="D1332" t="n">
        <v>23</v>
      </c>
      <c r="E1332" t="inlineStr">
        <is>
          <t>BBG01W89SC94</t>
        </is>
      </c>
    </row>
    <row r="1333">
      <c r="A1333" t="inlineStr">
        <is>
          <t>BBG01Z0KBHX0 Equity</t>
        </is>
      </c>
      <c r="B1333" t="inlineStr">
        <is>
          <t>TSLL US 03/20/26 P24</t>
        </is>
      </c>
      <c r="C1333" t="inlineStr">
        <is>
          <t>2026-03-20</t>
        </is>
      </c>
      <c r="D1333" t="n">
        <v>24</v>
      </c>
      <c r="E1333" t="inlineStr">
        <is>
          <t>BBG01Z0KBHX0</t>
        </is>
      </c>
    </row>
    <row r="1334">
      <c r="A1334" t="inlineStr">
        <is>
          <t>BBG01W89SDJ1 Equity</t>
        </is>
      </c>
      <c r="B1334" t="inlineStr">
        <is>
          <t>TSLL1 US 03/20/26 P24</t>
        </is>
      </c>
      <c r="C1334" t="inlineStr">
        <is>
          <t>2026-03-20</t>
        </is>
      </c>
      <c r="D1334" t="n">
        <v>24</v>
      </c>
      <c r="E1334" t="inlineStr">
        <is>
          <t>BBG01W89SDJ1</t>
        </is>
      </c>
    </row>
    <row r="1335">
      <c r="A1335" t="inlineStr">
        <is>
          <t>BBG01Z0KB0T2 Equity</t>
        </is>
      </c>
      <c r="B1335" t="inlineStr">
        <is>
          <t>TSLL US 03/20/26 P25</t>
        </is>
      </c>
      <c r="C1335" t="inlineStr">
        <is>
          <t>2026-03-20</t>
        </is>
      </c>
      <c r="D1335" t="n">
        <v>25</v>
      </c>
      <c r="E1335" t="inlineStr">
        <is>
          <t>BBG01Z0KB0T2</t>
        </is>
      </c>
    </row>
    <row r="1336">
      <c r="A1336" t="inlineStr">
        <is>
          <t>BBG01WMX3953 Equity</t>
        </is>
      </c>
      <c r="B1336" t="inlineStr">
        <is>
          <t>TSLL1 US 03/20/26 P25</t>
        </is>
      </c>
      <c r="C1336" t="inlineStr">
        <is>
          <t>2026-03-20</t>
        </is>
      </c>
      <c r="D1336" t="n">
        <v>25</v>
      </c>
      <c r="E1336" t="inlineStr">
        <is>
          <t>BBG01WMX3953</t>
        </is>
      </c>
    </row>
    <row r="1337">
      <c r="A1337" t="inlineStr">
        <is>
          <t>BBG01Z0K6JH0 Equity</t>
        </is>
      </c>
      <c r="B1337" t="inlineStr">
        <is>
          <t>TSLL US 03/20/26 P26</t>
        </is>
      </c>
      <c r="C1337" t="inlineStr">
        <is>
          <t>2026-03-20</t>
        </is>
      </c>
      <c r="D1337" t="n">
        <v>26</v>
      </c>
      <c r="E1337" t="inlineStr">
        <is>
          <t>BBG01Z0K6JH0</t>
        </is>
      </c>
    </row>
    <row r="1338">
      <c r="A1338" t="inlineStr">
        <is>
          <t>BBG01X7JQ730 Equity</t>
        </is>
      </c>
      <c r="B1338" t="inlineStr">
        <is>
          <t>TSLL1 US 03/20/26 P26</t>
        </is>
      </c>
      <c r="C1338" t="inlineStr">
        <is>
          <t>2026-03-20</t>
        </is>
      </c>
      <c r="D1338" t="n">
        <v>26</v>
      </c>
      <c r="E1338" t="inlineStr">
        <is>
          <t>BBG01X7JQ730</t>
        </is>
      </c>
    </row>
    <row r="1339">
      <c r="A1339" t="inlineStr">
        <is>
          <t>BBG01Z0K69L7 Equity</t>
        </is>
      </c>
      <c r="B1339" t="inlineStr">
        <is>
          <t>TSLL US 03/20/26 P27</t>
        </is>
      </c>
      <c r="C1339" t="inlineStr">
        <is>
          <t>2026-03-20</t>
        </is>
      </c>
      <c r="D1339" t="n">
        <v>27</v>
      </c>
      <c r="E1339" t="inlineStr">
        <is>
          <t>BBG01Z0K69L7</t>
        </is>
      </c>
    </row>
    <row r="1340">
      <c r="A1340" t="inlineStr">
        <is>
          <t>BBG01X7JQ589 Equity</t>
        </is>
      </c>
      <c r="B1340" t="inlineStr">
        <is>
          <t>TSLL1 US 03/20/26 P27</t>
        </is>
      </c>
      <c r="C1340" t="inlineStr">
        <is>
          <t>2026-03-20</t>
        </is>
      </c>
      <c r="D1340" t="n">
        <v>27</v>
      </c>
      <c r="E1340" t="inlineStr">
        <is>
          <t>BBG01X7JQ589</t>
        </is>
      </c>
    </row>
    <row r="1341">
      <c r="A1341" t="inlineStr">
        <is>
          <t>BBG01Z0KB6C7 Equity</t>
        </is>
      </c>
      <c r="B1341" t="inlineStr">
        <is>
          <t>TSLL US 03/20/26 P28</t>
        </is>
      </c>
      <c r="C1341" t="inlineStr">
        <is>
          <t>2026-03-20</t>
        </is>
      </c>
      <c r="D1341" t="n">
        <v>28</v>
      </c>
      <c r="E1341" t="inlineStr">
        <is>
          <t>BBG01Z0KB6C7</t>
        </is>
      </c>
    </row>
    <row r="1342">
      <c r="A1342" t="inlineStr">
        <is>
          <t>BBG01X7JQ5W2 Equity</t>
        </is>
      </c>
      <c r="B1342" t="inlineStr">
        <is>
          <t>TSLL1 US 03/20/26 P28</t>
        </is>
      </c>
      <c r="C1342" t="inlineStr">
        <is>
          <t>2026-03-20</t>
        </is>
      </c>
      <c r="D1342" t="n">
        <v>28</v>
      </c>
      <c r="E1342" t="inlineStr">
        <is>
          <t>BBG01X7JQ5W2</t>
        </is>
      </c>
    </row>
    <row r="1343">
      <c r="A1343" t="inlineStr">
        <is>
          <t>BBG01Z0KB6Z2 Equity</t>
        </is>
      </c>
      <c r="B1343" t="inlineStr">
        <is>
          <t>TSLL US 03/20/26 P29</t>
        </is>
      </c>
      <c r="C1343" t="inlineStr">
        <is>
          <t>2026-03-20</t>
        </is>
      </c>
      <c r="D1343" t="n">
        <v>29</v>
      </c>
      <c r="E1343" t="inlineStr">
        <is>
          <t>BBG01Z0KB6Z2</t>
        </is>
      </c>
    </row>
    <row r="1344">
      <c r="A1344" t="inlineStr">
        <is>
          <t>BBG01X7JQ6H7 Equity</t>
        </is>
      </c>
      <c r="B1344" t="inlineStr">
        <is>
          <t>TSLL1 US 03/20/26 P29</t>
        </is>
      </c>
      <c r="C1344" t="inlineStr">
        <is>
          <t>2026-03-20</t>
        </is>
      </c>
      <c r="D1344" t="n">
        <v>29</v>
      </c>
      <c r="E1344" t="inlineStr">
        <is>
          <t>BBG01X7JQ6H7</t>
        </is>
      </c>
    </row>
    <row r="1345">
      <c r="A1345" t="inlineStr">
        <is>
          <t>BBG01Z0KBQG9 Equity</t>
        </is>
      </c>
      <c r="B1345" t="inlineStr">
        <is>
          <t>TSLL US 03/20/26 P30</t>
        </is>
      </c>
      <c r="C1345" t="inlineStr">
        <is>
          <t>2026-03-20</t>
        </is>
      </c>
      <c r="D1345" t="n">
        <v>30</v>
      </c>
      <c r="E1345" t="inlineStr">
        <is>
          <t>BBG01Z0KBQG9</t>
        </is>
      </c>
    </row>
    <row r="1346">
      <c r="A1346" t="inlineStr">
        <is>
          <t>BBG01X8X0DV2 Equity</t>
        </is>
      </c>
      <c r="B1346" t="inlineStr">
        <is>
          <t>TSLL1 US 03/20/26 P30</t>
        </is>
      </c>
      <c r="C1346" t="inlineStr">
        <is>
          <t>2026-03-20</t>
        </is>
      </c>
      <c r="D1346" t="n">
        <v>30</v>
      </c>
      <c r="E1346" t="inlineStr">
        <is>
          <t>BBG01X8X0DV2</t>
        </is>
      </c>
    </row>
    <row r="1347">
      <c r="A1347" t="inlineStr">
        <is>
          <t>BBG01Z54D5J1 Equity</t>
        </is>
      </c>
      <c r="B1347" t="inlineStr">
        <is>
          <t>TSLL US 03/20/26 P31</t>
        </is>
      </c>
      <c r="C1347" t="inlineStr">
        <is>
          <t>2026-03-20</t>
        </is>
      </c>
      <c r="D1347" t="n">
        <v>31</v>
      </c>
      <c r="E1347" t="inlineStr">
        <is>
          <t>BBG01Z54D5J1</t>
        </is>
      </c>
    </row>
    <row r="1348">
      <c r="A1348" t="inlineStr">
        <is>
          <t>BBG01X8X0FG4 Equity</t>
        </is>
      </c>
      <c r="B1348" t="inlineStr">
        <is>
          <t>TSLL1 US 03/20/26 P31</t>
        </is>
      </c>
      <c r="C1348" t="inlineStr">
        <is>
          <t>2026-03-20</t>
        </is>
      </c>
      <c r="D1348" t="n">
        <v>31</v>
      </c>
      <c r="E1348" t="inlineStr">
        <is>
          <t>BBG01X8X0FG4</t>
        </is>
      </c>
    </row>
    <row r="1349">
      <c r="A1349" t="inlineStr">
        <is>
          <t>BBG01Z54D6R0 Equity</t>
        </is>
      </c>
      <c r="B1349" t="inlineStr">
        <is>
          <t>TSLL US 03/20/26 P32</t>
        </is>
      </c>
      <c r="C1349" t="inlineStr">
        <is>
          <t>2026-03-20</t>
        </is>
      </c>
      <c r="D1349" t="n">
        <v>32</v>
      </c>
      <c r="E1349" t="inlineStr">
        <is>
          <t>BBG01Z54D6R0</t>
        </is>
      </c>
    </row>
    <row r="1350">
      <c r="A1350" t="inlineStr">
        <is>
          <t>BBG01X8X3SY3 Equity</t>
        </is>
      </c>
      <c r="B1350" t="inlineStr">
        <is>
          <t>TSLL1 US 03/20/26 P32</t>
        </is>
      </c>
      <c r="C1350" t="inlineStr">
        <is>
          <t>2026-03-20</t>
        </is>
      </c>
      <c r="D1350" t="n">
        <v>32</v>
      </c>
      <c r="E1350" t="inlineStr">
        <is>
          <t>BBG01X8X3SY3</t>
        </is>
      </c>
    </row>
    <row r="1351">
      <c r="A1351" t="inlineStr">
        <is>
          <t>BBG01Z54D645 Equity</t>
        </is>
      </c>
      <c r="B1351" t="inlineStr">
        <is>
          <t>TSLL US 03/20/26 P33</t>
        </is>
      </c>
      <c r="C1351" t="inlineStr">
        <is>
          <t>2026-03-20</t>
        </is>
      </c>
      <c r="D1351" t="n">
        <v>33</v>
      </c>
      <c r="E1351" t="inlineStr">
        <is>
          <t>BBG01Z54D645</t>
        </is>
      </c>
    </row>
    <row r="1352">
      <c r="A1352" t="inlineStr">
        <is>
          <t>BBG01X8X3SB8 Equity</t>
        </is>
      </c>
      <c r="B1352" t="inlineStr">
        <is>
          <t>TSLL1 US 03/20/26 P33</t>
        </is>
      </c>
      <c r="C1352" t="inlineStr">
        <is>
          <t>2026-03-20</t>
        </is>
      </c>
      <c r="D1352" t="n">
        <v>33</v>
      </c>
      <c r="E1352" t="inlineStr">
        <is>
          <t>BBG01X8X3SB8</t>
        </is>
      </c>
    </row>
    <row r="1353">
      <c r="A1353" t="inlineStr">
        <is>
          <t>BBG01Z54D7C4 Equity</t>
        </is>
      </c>
      <c r="B1353" t="inlineStr">
        <is>
          <t>TSLL US 03/20/26 P34</t>
        </is>
      </c>
      <c r="C1353" t="inlineStr">
        <is>
          <t>2026-03-20</t>
        </is>
      </c>
      <c r="D1353" t="n">
        <v>34</v>
      </c>
      <c r="E1353" t="inlineStr">
        <is>
          <t>BBG01Z54D7C4</t>
        </is>
      </c>
    </row>
    <row r="1354">
      <c r="A1354" t="inlineStr">
        <is>
          <t>BBG01X8X3TK6 Equity</t>
        </is>
      </c>
      <c r="B1354" t="inlineStr">
        <is>
          <t>TSLL1 US 03/20/26 P34</t>
        </is>
      </c>
      <c r="C1354" t="inlineStr">
        <is>
          <t>2026-03-20</t>
        </is>
      </c>
      <c r="D1354" t="n">
        <v>34</v>
      </c>
      <c r="E1354" t="inlineStr">
        <is>
          <t>BBG01X8X3TK6</t>
        </is>
      </c>
    </row>
    <row r="1355">
      <c r="A1355" t="inlineStr">
        <is>
          <t>BBG01Z0JYQ40 Equity</t>
        </is>
      </c>
      <c r="B1355" t="inlineStr">
        <is>
          <t>TSLL US 03/20/26 P35</t>
        </is>
      </c>
      <c r="C1355" t="inlineStr">
        <is>
          <t>2026-03-20</t>
        </is>
      </c>
      <c r="D1355" t="n">
        <v>35</v>
      </c>
      <c r="E1355" t="inlineStr">
        <is>
          <t>BBG01Z0JYQ40</t>
        </is>
      </c>
    </row>
    <row r="1356">
      <c r="A1356" t="inlineStr">
        <is>
          <t>BBG01YRRCPS6 Equity</t>
        </is>
      </c>
      <c r="B1356" t="inlineStr">
        <is>
          <t>TSLL1 US 03/20/26 P35</t>
        </is>
      </c>
      <c r="C1356" t="inlineStr">
        <is>
          <t>2026-03-20</t>
        </is>
      </c>
      <c r="D1356" t="n">
        <v>35</v>
      </c>
      <c r="E1356" t="inlineStr">
        <is>
          <t>BBG01YRRCPS6</t>
        </is>
      </c>
    </row>
    <row r="1357">
      <c r="A1357" t="inlineStr">
        <is>
          <t>BBG020LDC555 Equity</t>
        </is>
      </c>
      <c r="B1357" t="inlineStr">
        <is>
          <t>TSLL US 04/17/26 P1</t>
        </is>
      </c>
      <c r="C1357" t="inlineStr">
        <is>
          <t>2026-04-17</t>
        </is>
      </c>
      <c r="D1357" t="n">
        <v>1</v>
      </c>
      <c r="E1357" t="inlineStr">
        <is>
          <t>BBG020LDC555</t>
        </is>
      </c>
    </row>
    <row r="1358">
      <c r="A1358" t="inlineStr">
        <is>
          <t>BBG020LDC3B3 Equity</t>
        </is>
      </c>
      <c r="B1358" t="inlineStr">
        <is>
          <t>TSLL US 04/17/26 P2</t>
        </is>
      </c>
      <c r="C1358" t="inlineStr">
        <is>
          <t>2026-04-17</t>
        </is>
      </c>
      <c r="D1358" t="n">
        <v>2</v>
      </c>
      <c r="E1358" t="inlineStr">
        <is>
          <t>BBG020LDC3B3</t>
        </is>
      </c>
    </row>
    <row r="1359">
      <c r="A1359" t="inlineStr">
        <is>
          <t>BBG020LDC3Y8 Equity</t>
        </is>
      </c>
      <c r="B1359" t="inlineStr">
        <is>
          <t>TSLL US 04/17/26 P3</t>
        </is>
      </c>
      <c r="C1359" t="inlineStr">
        <is>
          <t>2026-04-17</t>
        </is>
      </c>
      <c r="D1359" t="n">
        <v>3</v>
      </c>
      <c r="E1359" t="inlineStr">
        <is>
          <t>BBG020LDC3Y8</t>
        </is>
      </c>
    </row>
    <row r="1360">
      <c r="A1360" t="inlineStr">
        <is>
          <t>BBG020LDC4K1 Equity</t>
        </is>
      </c>
      <c r="B1360" t="inlineStr">
        <is>
          <t>TSLL US 04/17/26 P4</t>
        </is>
      </c>
      <c r="C1360" t="inlineStr">
        <is>
          <t>2026-04-17</t>
        </is>
      </c>
      <c r="D1360" t="n">
        <v>4</v>
      </c>
      <c r="E1360" t="inlineStr">
        <is>
          <t>BBG020LDC4K1</t>
        </is>
      </c>
    </row>
    <row r="1361">
      <c r="A1361" t="inlineStr">
        <is>
          <t>BBG020GWW9Z6 Equity</t>
        </is>
      </c>
      <c r="B1361" t="inlineStr">
        <is>
          <t>TSLL US 04/17/26 P5</t>
        </is>
      </c>
      <c r="C1361" t="inlineStr">
        <is>
          <t>2026-04-17</t>
        </is>
      </c>
      <c r="D1361" t="n">
        <v>5</v>
      </c>
      <c r="E1361" t="inlineStr">
        <is>
          <t>BBG020GWW9Z6</t>
        </is>
      </c>
    </row>
    <row r="1362">
      <c r="A1362" t="inlineStr">
        <is>
          <t>BBG020GWZHT2 Equity</t>
        </is>
      </c>
      <c r="B1362" t="inlineStr">
        <is>
          <t>TSLL US 04/17/26 P6</t>
        </is>
      </c>
      <c r="C1362" t="inlineStr">
        <is>
          <t>2026-04-17</t>
        </is>
      </c>
      <c r="D1362" t="n">
        <v>6</v>
      </c>
      <c r="E1362" t="inlineStr">
        <is>
          <t>BBG020GWZHT2</t>
        </is>
      </c>
    </row>
    <row r="1363">
      <c r="A1363" t="inlineStr">
        <is>
          <t>BBG020GWW7D4 Equity</t>
        </is>
      </c>
      <c r="B1363" t="inlineStr">
        <is>
          <t>TSLL US 04/17/26 P7</t>
        </is>
      </c>
      <c r="C1363" t="inlineStr">
        <is>
          <t>2026-04-17</t>
        </is>
      </c>
      <c r="D1363" t="n">
        <v>7</v>
      </c>
      <c r="E1363" t="inlineStr">
        <is>
          <t>BBG020GWW7D4</t>
        </is>
      </c>
    </row>
    <row r="1364">
      <c r="A1364" t="inlineStr">
        <is>
          <t>BBG020GX05T4 Equity</t>
        </is>
      </c>
      <c r="B1364" t="inlineStr">
        <is>
          <t>TSLL US 04/17/26 P8</t>
        </is>
      </c>
      <c r="C1364" t="inlineStr">
        <is>
          <t>2026-04-17</t>
        </is>
      </c>
      <c r="D1364" t="n">
        <v>8</v>
      </c>
      <c r="E1364" t="inlineStr">
        <is>
          <t>BBG020GX05T4</t>
        </is>
      </c>
    </row>
    <row r="1365">
      <c r="A1365" t="inlineStr">
        <is>
          <t>BBG020GWZB88 Equity</t>
        </is>
      </c>
      <c r="B1365" t="inlineStr">
        <is>
          <t>TSLL US 04/17/26 P9</t>
        </is>
      </c>
      <c r="C1365" t="inlineStr">
        <is>
          <t>2026-04-17</t>
        </is>
      </c>
      <c r="D1365" t="n">
        <v>9</v>
      </c>
      <c r="E1365" t="inlineStr">
        <is>
          <t>BBG020GWZB88</t>
        </is>
      </c>
    </row>
    <row r="1366">
      <c r="A1366" t="inlineStr">
        <is>
          <t>BBG0216DRKT5 Equity</t>
        </is>
      </c>
      <c r="B1366" t="inlineStr">
        <is>
          <t>TSLL US 04/17/26 P9.5</t>
        </is>
      </c>
      <c r="C1366" t="inlineStr">
        <is>
          <t>2026-04-17</t>
        </is>
      </c>
      <c r="D1366" t="n">
        <v>9.5</v>
      </c>
      <c r="E1366" t="inlineStr">
        <is>
          <t>BBG0216DRKT5</t>
        </is>
      </c>
    </row>
    <row r="1367">
      <c r="A1367" t="inlineStr">
        <is>
          <t>BBG020GWVD97 Equity</t>
        </is>
      </c>
      <c r="B1367" t="inlineStr">
        <is>
          <t>TSLL US 04/17/26 P10</t>
        </is>
      </c>
      <c r="C1367" t="inlineStr">
        <is>
          <t>2026-04-17</t>
        </is>
      </c>
      <c r="D1367" t="n">
        <v>10</v>
      </c>
      <c r="E1367" t="inlineStr">
        <is>
          <t>BBG020GWVD97</t>
        </is>
      </c>
    </row>
    <row r="1368">
      <c r="A1368" t="inlineStr">
        <is>
          <t>BBG0216DTT41 Equity</t>
        </is>
      </c>
      <c r="B1368" t="inlineStr">
        <is>
          <t>TSLL US 04/17/26 P10.5</t>
        </is>
      </c>
      <c r="C1368" t="inlineStr">
        <is>
          <t>2026-04-17</t>
        </is>
      </c>
      <c r="D1368" t="n">
        <v>10.5</v>
      </c>
      <c r="E1368" t="inlineStr">
        <is>
          <t>BBG0216DTT41</t>
        </is>
      </c>
    </row>
    <row r="1369">
      <c r="A1369" t="inlineStr">
        <is>
          <t>BBG020GWZJF3 Equity</t>
        </is>
      </c>
      <c r="B1369" t="inlineStr">
        <is>
          <t>TSLL US 04/17/26 P11</t>
        </is>
      </c>
      <c r="C1369" t="inlineStr">
        <is>
          <t>2026-04-17</t>
        </is>
      </c>
      <c r="D1369" t="n">
        <v>11</v>
      </c>
      <c r="E1369" t="inlineStr">
        <is>
          <t>BBG020GWZJF3</t>
        </is>
      </c>
    </row>
    <row r="1370">
      <c r="A1370" t="inlineStr">
        <is>
          <t>BBG0216DTGT2 Equity</t>
        </is>
      </c>
      <c r="B1370" t="inlineStr">
        <is>
          <t>TSLL US 04/17/26 P11.5</t>
        </is>
      </c>
      <c r="C1370" t="inlineStr">
        <is>
          <t>2026-04-17</t>
        </is>
      </c>
      <c r="D1370" t="n">
        <v>11.5</v>
      </c>
      <c r="E1370" t="inlineStr">
        <is>
          <t>BBG0216DTGT2</t>
        </is>
      </c>
    </row>
    <row r="1371">
      <c r="A1371" t="inlineStr">
        <is>
          <t>BBG020GWZ910 Equity</t>
        </is>
      </c>
      <c r="B1371" t="inlineStr">
        <is>
          <t>TSLL US 04/17/26 P12</t>
        </is>
      </c>
      <c r="C1371" t="inlineStr">
        <is>
          <t>2026-04-17</t>
        </is>
      </c>
      <c r="D1371" t="n">
        <v>12</v>
      </c>
      <c r="E1371" t="inlineStr">
        <is>
          <t>BBG020GWZ910</t>
        </is>
      </c>
    </row>
    <row r="1372">
      <c r="A1372" t="inlineStr">
        <is>
          <t>BBG0216DRM11 Equity</t>
        </is>
      </c>
      <c r="B1372" t="inlineStr">
        <is>
          <t>TSLL US 04/17/26 P12.5</t>
        </is>
      </c>
      <c r="C1372" t="inlineStr">
        <is>
          <t>2026-04-17</t>
        </is>
      </c>
      <c r="D1372" t="n">
        <v>12.5</v>
      </c>
      <c r="E1372" t="inlineStr">
        <is>
          <t>BBG0216DRM11</t>
        </is>
      </c>
    </row>
    <row r="1373">
      <c r="A1373" t="inlineStr">
        <is>
          <t>BBG020GX03Z2 Equity</t>
        </is>
      </c>
      <c r="B1373" t="inlineStr">
        <is>
          <t>TSLL US 04/17/26 P13</t>
        </is>
      </c>
      <c r="C1373" t="inlineStr">
        <is>
          <t>2026-04-17</t>
        </is>
      </c>
      <c r="D1373" t="n">
        <v>13</v>
      </c>
      <c r="E1373" t="inlineStr">
        <is>
          <t>BBG020GX03Z2</t>
        </is>
      </c>
    </row>
    <row r="1374">
      <c r="A1374" t="inlineStr">
        <is>
          <t>BBG0216DRJL6 Equity</t>
        </is>
      </c>
      <c r="B1374" t="inlineStr">
        <is>
          <t>TSLL US 04/17/26 P13.5</t>
        </is>
      </c>
      <c r="C1374" t="inlineStr">
        <is>
          <t>2026-04-17</t>
        </is>
      </c>
      <c r="D1374" t="n">
        <v>13.5</v>
      </c>
      <c r="E1374" t="inlineStr">
        <is>
          <t>BBG0216DRJL6</t>
        </is>
      </c>
    </row>
    <row r="1375">
      <c r="A1375" t="inlineStr">
        <is>
          <t>BBG020GX0569 Equity</t>
        </is>
      </c>
      <c r="B1375" t="inlineStr">
        <is>
          <t>TSLL US 04/17/26 P14</t>
        </is>
      </c>
      <c r="C1375" t="inlineStr">
        <is>
          <t>2026-04-17</t>
        </is>
      </c>
      <c r="D1375" t="n">
        <v>14</v>
      </c>
      <c r="E1375" t="inlineStr">
        <is>
          <t>BBG020GX0569</t>
        </is>
      </c>
    </row>
    <row r="1376">
      <c r="A1376" t="inlineStr">
        <is>
          <t>BBG0216DRLF8 Equity</t>
        </is>
      </c>
      <c r="B1376" t="inlineStr">
        <is>
          <t>TSLL US 04/17/26 P14.5</t>
        </is>
      </c>
      <c r="C1376" t="inlineStr">
        <is>
          <t>2026-04-17</t>
        </is>
      </c>
      <c r="D1376" t="n">
        <v>14.5</v>
      </c>
      <c r="E1376" t="inlineStr">
        <is>
          <t>BBG0216DRLF8</t>
        </is>
      </c>
    </row>
    <row r="1377">
      <c r="A1377" t="inlineStr">
        <is>
          <t>BBG020GWW9C1 Equity</t>
        </is>
      </c>
      <c r="B1377" t="inlineStr">
        <is>
          <t>TSLL US 04/17/26 P15</t>
        </is>
      </c>
      <c r="C1377" t="inlineStr">
        <is>
          <t>2026-04-17</t>
        </is>
      </c>
      <c r="D1377" t="n">
        <v>15</v>
      </c>
      <c r="E1377" t="inlineStr">
        <is>
          <t>BBG020GWW9C1</t>
        </is>
      </c>
    </row>
    <row r="1378">
      <c r="A1378" t="inlineStr">
        <is>
          <t>BBG0216DTDZ2 Equity</t>
        </is>
      </c>
      <c r="B1378" t="inlineStr">
        <is>
          <t>TSLL US 04/17/26 P15.5</t>
        </is>
      </c>
      <c r="C1378" t="inlineStr">
        <is>
          <t>2026-04-17</t>
        </is>
      </c>
      <c r="D1378" t="n">
        <v>15.5</v>
      </c>
      <c r="E1378" t="inlineStr">
        <is>
          <t>BBG0216DTDZ2</t>
        </is>
      </c>
    </row>
    <row r="1379">
      <c r="A1379" t="inlineStr">
        <is>
          <t>BBG020GWW8R7 Equity</t>
        </is>
      </c>
      <c r="B1379" t="inlineStr">
        <is>
          <t>TSLL US 04/17/26 P16</t>
        </is>
      </c>
      <c r="C1379" t="inlineStr">
        <is>
          <t>2026-04-17</t>
        </is>
      </c>
      <c r="D1379" t="n">
        <v>16</v>
      </c>
      <c r="E1379" t="inlineStr">
        <is>
          <t>BBG020GWW8R7</t>
        </is>
      </c>
    </row>
    <row r="1380">
      <c r="A1380" t="inlineStr">
        <is>
          <t>BBG0216DRK60 Equity</t>
        </is>
      </c>
      <c r="B1380" t="inlineStr">
        <is>
          <t>TSLL US 04/17/26 P16.5</t>
        </is>
      </c>
      <c r="C1380" t="inlineStr">
        <is>
          <t>2026-04-17</t>
        </is>
      </c>
      <c r="D1380" t="n">
        <v>16.5</v>
      </c>
      <c r="E1380" t="inlineStr">
        <is>
          <t>BBG0216DRK60</t>
        </is>
      </c>
    </row>
    <row r="1381">
      <c r="A1381" t="inlineStr">
        <is>
          <t>BBG020GWW6S0 Equity</t>
        </is>
      </c>
      <c r="B1381" t="inlineStr">
        <is>
          <t>TSLL US 04/17/26 P17</t>
        </is>
      </c>
      <c r="C1381" t="inlineStr">
        <is>
          <t>2026-04-17</t>
        </is>
      </c>
      <c r="D1381" t="n">
        <v>17</v>
      </c>
      <c r="E1381" t="inlineStr">
        <is>
          <t>BBG020GWW6S0</t>
        </is>
      </c>
    </row>
    <row r="1382">
      <c r="A1382" t="inlineStr">
        <is>
          <t>BBG0216DTG67 Equity</t>
        </is>
      </c>
      <c r="B1382" t="inlineStr">
        <is>
          <t>TSLL US 04/17/26 P17.5</t>
        </is>
      </c>
      <c r="C1382" t="inlineStr">
        <is>
          <t>2026-04-17</t>
        </is>
      </c>
      <c r="D1382" t="n">
        <v>17.5</v>
      </c>
      <c r="E1382" t="inlineStr">
        <is>
          <t>BBG0216DTG67</t>
        </is>
      </c>
    </row>
    <row r="1383">
      <c r="A1383" t="inlineStr">
        <is>
          <t>BBG020GWVVS6 Equity</t>
        </is>
      </c>
      <c r="B1383" t="inlineStr">
        <is>
          <t>TSLL US 04/17/26 P18</t>
        </is>
      </c>
      <c r="C1383" t="inlineStr">
        <is>
          <t>2026-04-17</t>
        </is>
      </c>
      <c r="D1383" t="n">
        <v>18</v>
      </c>
      <c r="E1383" t="inlineStr">
        <is>
          <t>BBG020GWVVS6</t>
        </is>
      </c>
    </row>
    <row r="1384">
      <c r="A1384" t="inlineStr">
        <is>
          <t>BBG0216DTFL2 Equity</t>
        </is>
      </c>
      <c r="B1384" t="inlineStr">
        <is>
          <t>TSLL US 04/17/26 P18.5</t>
        </is>
      </c>
      <c r="C1384" t="inlineStr">
        <is>
          <t>2026-04-17</t>
        </is>
      </c>
      <c r="D1384" t="n">
        <v>18.5</v>
      </c>
      <c r="E1384" t="inlineStr">
        <is>
          <t>BBG0216DTFL2</t>
        </is>
      </c>
    </row>
    <row r="1385">
      <c r="A1385" t="inlineStr">
        <is>
          <t>BBG020GWZBW1 Equity</t>
        </is>
      </c>
      <c r="B1385" t="inlineStr">
        <is>
          <t>TSLL US 04/17/26 P19</t>
        </is>
      </c>
      <c r="C1385" t="inlineStr">
        <is>
          <t>2026-04-17</t>
        </is>
      </c>
      <c r="D1385" t="n">
        <v>19</v>
      </c>
      <c r="E1385" t="inlineStr">
        <is>
          <t>BBG020GWZBW1</t>
        </is>
      </c>
    </row>
    <row r="1386">
      <c r="A1386" t="inlineStr">
        <is>
          <t>BBG020GX03C7 Equity</t>
        </is>
      </c>
      <c r="B1386" t="inlineStr">
        <is>
          <t>TSLL US 04/17/26 P20</t>
        </is>
      </c>
      <c r="C1386" t="inlineStr">
        <is>
          <t>2026-04-17</t>
        </is>
      </c>
      <c r="D1386" t="n">
        <v>20</v>
      </c>
      <c r="E1386" t="inlineStr">
        <is>
          <t>BBG020GX03C7</t>
        </is>
      </c>
    </row>
    <row r="1387">
      <c r="A1387" t="inlineStr">
        <is>
          <t>BBG020GWSVF4 Equity</t>
        </is>
      </c>
      <c r="B1387" t="inlineStr">
        <is>
          <t>TSLL US 04/17/26 P21</t>
        </is>
      </c>
      <c r="C1387" t="inlineStr">
        <is>
          <t>2026-04-17</t>
        </is>
      </c>
      <c r="D1387" t="n">
        <v>21</v>
      </c>
      <c r="E1387" t="inlineStr">
        <is>
          <t>BBG020GWSVF4</t>
        </is>
      </c>
    </row>
    <row r="1388">
      <c r="A1388" t="inlineStr">
        <is>
          <t>BBG020GWZ9N6 Equity</t>
        </is>
      </c>
      <c r="B1388" t="inlineStr">
        <is>
          <t>TSLL US 04/17/26 P22</t>
        </is>
      </c>
      <c r="C1388" t="inlineStr">
        <is>
          <t>2026-04-17</t>
        </is>
      </c>
      <c r="D1388" t="n">
        <v>22</v>
      </c>
      <c r="E1388" t="inlineStr">
        <is>
          <t>BBG020GWZ9N6</t>
        </is>
      </c>
    </row>
    <row r="1389">
      <c r="A1389" t="inlineStr">
        <is>
          <t>BBG020GX04L5 Equity</t>
        </is>
      </c>
      <c r="B1389" t="inlineStr">
        <is>
          <t>TSLL US 04/17/26 P23</t>
        </is>
      </c>
      <c r="C1389" t="inlineStr">
        <is>
          <t>2026-04-17</t>
        </is>
      </c>
      <c r="D1389" t="n">
        <v>23</v>
      </c>
      <c r="E1389" t="inlineStr">
        <is>
          <t>BBG020GX04L5</t>
        </is>
      </c>
    </row>
    <row r="1390">
      <c r="A1390" t="inlineStr">
        <is>
          <t>BBG020GWWBL6 Equity</t>
        </is>
      </c>
      <c r="B1390" t="inlineStr">
        <is>
          <t>TSLL US 04/17/26 P24</t>
        </is>
      </c>
      <c r="C1390" t="inlineStr">
        <is>
          <t>2026-04-17</t>
        </is>
      </c>
      <c r="D1390" t="n">
        <v>24</v>
      </c>
      <c r="E1390" t="inlineStr">
        <is>
          <t>BBG020GWWBL6</t>
        </is>
      </c>
    </row>
    <row r="1391">
      <c r="A1391" t="inlineStr">
        <is>
          <t>BBG020GWZSV5 Equity</t>
        </is>
      </c>
      <c r="B1391" t="inlineStr">
        <is>
          <t>TSLL US 04/17/26 P25</t>
        </is>
      </c>
      <c r="C1391" t="inlineStr">
        <is>
          <t>2026-04-17</t>
        </is>
      </c>
      <c r="D1391" t="n">
        <v>25</v>
      </c>
      <c r="E1391" t="inlineStr">
        <is>
          <t>BBG020GWZSV5</t>
        </is>
      </c>
    </row>
    <row r="1392">
      <c r="A1392" t="inlineStr">
        <is>
          <t>BBG020GWZH67 Equity</t>
        </is>
      </c>
      <c r="B1392" t="inlineStr">
        <is>
          <t>TSLL US 04/17/26 P26</t>
        </is>
      </c>
      <c r="C1392" t="inlineStr">
        <is>
          <t>2026-04-17</t>
        </is>
      </c>
      <c r="D1392" t="n">
        <v>26</v>
      </c>
      <c r="E1392" t="inlineStr">
        <is>
          <t>BBG020GWZH67</t>
        </is>
      </c>
    </row>
    <row r="1393">
      <c r="A1393" t="inlineStr">
        <is>
          <t>BBG0213H2XG2 Equity</t>
        </is>
      </c>
      <c r="B1393" t="inlineStr">
        <is>
          <t>TSLL US 05/15/26 P4</t>
        </is>
      </c>
      <c r="C1393" t="inlineStr">
        <is>
          <t>2026-05-15</t>
        </is>
      </c>
      <c r="D1393" t="n">
        <v>4</v>
      </c>
      <c r="E1393" t="inlineStr">
        <is>
          <t>BBG0213H2XG2</t>
        </is>
      </c>
    </row>
    <row r="1394">
      <c r="A1394" t="inlineStr">
        <is>
          <t>BBG0213H2YP0 Equity</t>
        </is>
      </c>
      <c r="B1394" t="inlineStr">
        <is>
          <t>TSLL US 05/15/26 P5</t>
        </is>
      </c>
      <c r="C1394" t="inlineStr">
        <is>
          <t>2026-05-15</t>
        </is>
      </c>
      <c r="D1394" t="n">
        <v>5</v>
      </c>
      <c r="E1394" t="inlineStr">
        <is>
          <t>BBG0213H2YP0</t>
        </is>
      </c>
    </row>
    <row r="1395">
      <c r="A1395" t="inlineStr">
        <is>
          <t>BBG0213GYD00 Equity</t>
        </is>
      </c>
      <c r="B1395" t="inlineStr">
        <is>
          <t>TSLL US 05/15/26 P6</t>
        </is>
      </c>
      <c r="C1395" t="inlineStr">
        <is>
          <t>2026-05-15</t>
        </is>
      </c>
      <c r="D1395" t="n">
        <v>6</v>
      </c>
      <c r="E1395" t="inlineStr">
        <is>
          <t>BBG0213GYD00</t>
        </is>
      </c>
    </row>
    <row r="1396">
      <c r="A1396" t="inlineStr">
        <is>
          <t>BBG0213H2C23 Equity</t>
        </is>
      </c>
      <c r="B1396" t="inlineStr">
        <is>
          <t>TSLL US 05/15/26 P7</t>
        </is>
      </c>
      <c r="C1396" t="inlineStr">
        <is>
          <t>2026-05-15</t>
        </is>
      </c>
      <c r="D1396" t="n">
        <v>7</v>
      </c>
      <c r="E1396" t="inlineStr">
        <is>
          <t>BBG0213H2C23</t>
        </is>
      </c>
    </row>
    <row r="1397">
      <c r="A1397" t="inlineStr">
        <is>
          <t>BBG0213H7JN0 Equity</t>
        </is>
      </c>
      <c r="B1397" t="inlineStr">
        <is>
          <t>TSLL US 05/15/26 P8</t>
        </is>
      </c>
      <c r="C1397" t="inlineStr">
        <is>
          <t>2026-05-15</t>
        </is>
      </c>
      <c r="D1397" t="n">
        <v>8</v>
      </c>
      <c r="E1397" t="inlineStr">
        <is>
          <t>BBG0213H7JN0</t>
        </is>
      </c>
    </row>
    <row r="1398">
      <c r="A1398" t="inlineStr">
        <is>
          <t>BBG0213H2ZX8 Equity</t>
        </is>
      </c>
      <c r="B1398" t="inlineStr">
        <is>
          <t>TSLL US 05/15/26 P9</t>
        </is>
      </c>
      <c r="C1398" t="inlineStr">
        <is>
          <t>2026-05-15</t>
        </is>
      </c>
      <c r="D1398" t="n">
        <v>9</v>
      </c>
      <c r="E1398" t="inlineStr">
        <is>
          <t>BBG0213H2ZX8</t>
        </is>
      </c>
    </row>
    <row r="1399">
      <c r="A1399" t="inlineStr">
        <is>
          <t>BBG0213H2Y25 Equity</t>
        </is>
      </c>
      <c r="B1399" t="inlineStr">
        <is>
          <t>TSLL US 05/15/26 P10</t>
        </is>
      </c>
      <c r="C1399" t="inlineStr">
        <is>
          <t>2026-05-15</t>
        </is>
      </c>
      <c r="D1399" t="n">
        <v>10</v>
      </c>
      <c r="E1399" t="inlineStr">
        <is>
          <t>BBG0213H2Y25</t>
        </is>
      </c>
    </row>
    <row r="1400">
      <c r="A1400" t="inlineStr">
        <is>
          <t>BBG0213H7LP3 Equity</t>
        </is>
      </c>
      <c r="B1400" t="inlineStr">
        <is>
          <t>TSLL US 05/15/26 P11</t>
        </is>
      </c>
      <c r="C1400" t="inlineStr">
        <is>
          <t>2026-05-15</t>
        </is>
      </c>
      <c r="D1400" t="n">
        <v>11</v>
      </c>
      <c r="E1400" t="inlineStr">
        <is>
          <t>BBG0213H7LP3</t>
        </is>
      </c>
    </row>
    <row r="1401">
      <c r="A1401" t="inlineStr">
        <is>
          <t>BBG0213H7HF3 Equity</t>
        </is>
      </c>
      <c r="B1401" t="inlineStr">
        <is>
          <t>TSLL US 05/15/26 P12</t>
        </is>
      </c>
      <c r="C1401" t="inlineStr">
        <is>
          <t>2026-05-15</t>
        </is>
      </c>
      <c r="D1401" t="n">
        <v>12</v>
      </c>
      <c r="E1401" t="inlineStr">
        <is>
          <t>BBG0213H7HF3</t>
        </is>
      </c>
    </row>
    <row r="1402">
      <c r="A1402" t="inlineStr">
        <is>
          <t>BBG0213H7J14 Equity</t>
        </is>
      </c>
      <c r="B1402" t="inlineStr">
        <is>
          <t>TSLL US 05/15/26 P13</t>
        </is>
      </c>
      <c r="C1402" t="inlineStr">
        <is>
          <t>2026-05-15</t>
        </is>
      </c>
      <c r="D1402" t="n">
        <v>13</v>
      </c>
      <c r="E1402" t="inlineStr">
        <is>
          <t>BBG0213H7J14</t>
        </is>
      </c>
    </row>
    <row r="1403">
      <c r="A1403" t="inlineStr">
        <is>
          <t>BBG0213H7M99 Equity</t>
        </is>
      </c>
      <c r="B1403" t="inlineStr">
        <is>
          <t>TSLL US 05/15/26 P14</t>
        </is>
      </c>
      <c r="C1403" t="inlineStr">
        <is>
          <t>2026-05-15</t>
        </is>
      </c>
      <c r="D1403" t="n">
        <v>14</v>
      </c>
      <c r="E1403" t="inlineStr">
        <is>
          <t>BBG0213H7M99</t>
        </is>
      </c>
    </row>
    <row r="1404">
      <c r="A1404" t="inlineStr">
        <is>
          <t>BBG0213GYDM6 Equity</t>
        </is>
      </c>
      <c r="B1404" t="inlineStr">
        <is>
          <t>TSLL US 05/15/26 P15</t>
        </is>
      </c>
      <c r="C1404" t="inlineStr">
        <is>
          <t>2026-05-15</t>
        </is>
      </c>
      <c r="D1404" t="n">
        <v>15</v>
      </c>
      <c r="E1404" t="inlineStr">
        <is>
          <t>BBG0213GYDM6</t>
        </is>
      </c>
    </row>
    <row r="1405">
      <c r="A1405" t="inlineStr">
        <is>
          <t>BBG0213GYF78 Equity</t>
        </is>
      </c>
      <c r="B1405" t="inlineStr">
        <is>
          <t>TSLL US 05/15/26 P16</t>
        </is>
      </c>
      <c r="C1405" t="inlineStr">
        <is>
          <t>2026-05-15</t>
        </is>
      </c>
      <c r="D1405" t="n">
        <v>16</v>
      </c>
      <c r="E1405" t="inlineStr">
        <is>
          <t>BBG0213GYF78</t>
        </is>
      </c>
    </row>
    <row r="1406">
      <c r="A1406" t="inlineStr">
        <is>
          <t>BBG0213H7952 Equity</t>
        </is>
      </c>
      <c r="B1406" t="inlineStr">
        <is>
          <t>TSLL US 05/15/26 P17</t>
        </is>
      </c>
      <c r="C1406" t="inlineStr">
        <is>
          <t>2026-05-15</t>
        </is>
      </c>
      <c r="D1406" t="n">
        <v>17</v>
      </c>
      <c r="E1406" t="inlineStr">
        <is>
          <t>BBG0213H7952</t>
        </is>
      </c>
    </row>
    <row r="1407">
      <c r="A1407" t="inlineStr">
        <is>
          <t>BBG0213H39R2 Equity</t>
        </is>
      </c>
      <c r="B1407" t="inlineStr">
        <is>
          <t>TSLL US 05/15/26 P18</t>
        </is>
      </c>
      <c r="C1407" t="inlineStr">
        <is>
          <t>2026-05-15</t>
        </is>
      </c>
      <c r="D1407" t="n">
        <v>18</v>
      </c>
      <c r="E1407" t="inlineStr">
        <is>
          <t>BBG0213H39R2</t>
        </is>
      </c>
    </row>
    <row r="1408">
      <c r="A1408" t="inlineStr">
        <is>
          <t>BBG0213H7PR2 Equity</t>
        </is>
      </c>
      <c r="B1408" t="inlineStr">
        <is>
          <t>TSLL US 05/15/26 P19</t>
        </is>
      </c>
      <c r="C1408" t="inlineStr">
        <is>
          <t>2026-05-15</t>
        </is>
      </c>
      <c r="D1408" t="n">
        <v>19</v>
      </c>
      <c r="E1408" t="inlineStr">
        <is>
          <t>BBG0213H7PR2</t>
        </is>
      </c>
    </row>
    <row r="1409">
      <c r="A1409" t="inlineStr">
        <is>
          <t>BBG0213H2Z95 Equity</t>
        </is>
      </c>
      <c r="B1409" t="inlineStr">
        <is>
          <t>TSLL US 05/15/26 P20</t>
        </is>
      </c>
      <c r="C1409" t="inlineStr">
        <is>
          <t>2026-05-15</t>
        </is>
      </c>
      <c r="D1409" t="n">
        <v>20</v>
      </c>
      <c r="E1409" t="inlineStr">
        <is>
          <t>BBG0213H2Z95</t>
        </is>
      </c>
    </row>
    <row r="1410">
      <c r="A1410" t="inlineStr">
        <is>
          <t>BBG0213H3947 Equity</t>
        </is>
      </c>
      <c r="B1410" t="inlineStr">
        <is>
          <t>TSLL US 05/15/26 P21</t>
        </is>
      </c>
      <c r="C1410" t="inlineStr">
        <is>
          <t>2026-05-15</t>
        </is>
      </c>
      <c r="D1410" t="n">
        <v>21</v>
      </c>
      <c r="E1410" t="inlineStr">
        <is>
          <t>BBG0213H3947</t>
        </is>
      </c>
    </row>
    <row r="1411">
      <c r="A1411" t="inlineStr">
        <is>
          <t>BBG0213H2CP8 Equity</t>
        </is>
      </c>
      <c r="B1411" t="inlineStr">
        <is>
          <t>TSLL US 05/15/26 P22</t>
        </is>
      </c>
      <c r="C1411" t="inlineStr">
        <is>
          <t>2026-05-15</t>
        </is>
      </c>
      <c r="D1411" t="n">
        <v>22</v>
      </c>
      <c r="E1411" t="inlineStr">
        <is>
          <t>BBG0213H2CP8</t>
        </is>
      </c>
    </row>
    <row r="1412">
      <c r="A1412" t="inlineStr">
        <is>
          <t>BBG0213H79S7 Equity</t>
        </is>
      </c>
      <c r="B1412" t="inlineStr">
        <is>
          <t>TSLL US 05/15/26 P23</t>
        </is>
      </c>
      <c r="C1412" t="inlineStr">
        <is>
          <t>2026-05-15</t>
        </is>
      </c>
      <c r="D1412" t="n">
        <v>23</v>
      </c>
      <c r="E1412" t="inlineStr">
        <is>
          <t>BBG0213H79S7</t>
        </is>
      </c>
    </row>
    <row r="1413">
      <c r="A1413" t="inlineStr">
        <is>
          <t>BBG0213H7MX2 Equity</t>
        </is>
      </c>
      <c r="B1413" t="inlineStr">
        <is>
          <t>TSLL US 05/15/26 P24</t>
        </is>
      </c>
      <c r="C1413" t="inlineStr">
        <is>
          <t>2026-05-15</t>
        </is>
      </c>
      <c r="D1413" t="n">
        <v>24</v>
      </c>
      <c r="E1413" t="inlineStr">
        <is>
          <t>BBG0213H7MX2</t>
        </is>
      </c>
    </row>
    <row r="1414">
      <c r="A1414" t="inlineStr">
        <is>
          <t>BBG020LD6G49 Equity</t>
        </is>
      </c>
      <c r="B1414" t="inlineStr">
        <is>
          <t>TSLL US 06/18/26 P1</t>
        </is>
      </c>
      <c r="C1414" t="inlineStr">
        <is>
          <t>2026-06-18</t>
        </is>
      </c>
      <c r="D1414" t="n">
        <v>1</v>
      </c>
      <c r="E1414" t="inlineStr">
        <is>
          <t>BBG020LD6G49</t>
        </is>
      </c>
    </row>
    <row r="1415">
      <c r="A1415" t="inlineStr">
        <is>
          <t>BBG01YRRVTJ7 Equity</t>
        </is>
      </c>
      <c r="B1415" t="inlineStr">
        <is>
          <t>TSLL1 US 06/18/26 P1</t>
        </is>
      </c>
      <c r="C1415" t="inlineStr">
        <is>
          <t>2026-06-18</t>
        </is>
      </c>
      <c r="D1415" t="n">
        <v>1</v>
      </c>
      <c r="E1415" t="inlineStr">
        <is>
          <t>BBG01YRRVTJ7</t>
        </is>
      </c>
    </row>
    <row r="1416">
      <c r="A1416" t="inlineStr">
        <is>
          <t>BBG020LDGKX7 Equity</t>
        </is>
      </c>
      <c r="B1416" t="inlineStr">
        <is>
          <t>TSLL US 06/18/26 P2</t>
        </is>
      </c>
      <c r="C1416" t="inlineStr">
        <is>
          <t>2026-06-18</t>
        </is>
      </c>
      <c r="D1416" t="n">
        <v>2</v>
      </c>
      <c r="E1416" t="inlineStr">
        <is>
          <t>BBG020LDGKX7</t>
        </is>
      </c>
    </row>
    <row r="1417">
      <c r="A1417" t="inlineStr">
        <is>
          <t>BBG01YRRVR38 Equity</t>
        </is>
      </c>
      <c r="B1417" t="inlineStr">
        <is>
          <t>TSLL1 US 06/18/26 P2</t>
        </is>
      </c>
      <c r="C1417" t="inlineStr">
        <is>
          <t>2026-06-18</t>
        </is>
      </c>
      <c r="D1417" t="n">
        <v>2</v>
      </c>
      <c r="E1417" t="inlineStr">
        <is>
          <t>BBG01YRRVR38</t>
        </is>
      </c>
    </row>
    <row r="1418">
      <c r="A1418" t="inlineStr">
        <is>
          <t>BBG020LDGJ24 Equity</t>
        </is>
      </c>
      <c r="B1418" t="inlineStr">
        <is>
          <t>TSLL US 06/18/26 P3</t>
        </is>
      </c>
      <c r="C1418" t="inlineStr">
        <is>
          <t>2026-06-18</t>
        </is>
      </c>
      <c r="D1418" t="n">
        <v>3</v>
      </c>
      <c r="E1418" t="inlineStr">
        <is>
          <t>BBG020LDGJ24</t>
        </is>
      </c>
    </row>
    <row r="1419">
      <c r="A1419" t="inlineStr">
        <is>
          <t>BBG01YRRVQH5 Equity</t>
        </is>
      </c>
      <c r="B1419" t="inlineStr">
        <is>
          <t>TSLL1 US 06/18/26 P3</t>
        </is>
      </c>
      <c r="C1419" t="inlineStr">
        <is>
          <t>2026-06-18</t>
        </is>
      </c>
      <c r="D1419" t="n">
        <v>3</v>
      </c>
      <c r="E1419" t="inlineStr">
        <is>
          <t>BBG01YRRVQH5</t>
        </is>
      </c>
    </row>
    <row r="1420">
      <c r="A1420" t="inlineStr">
        <is>
          <t>BBG020LD6FJ5 Equity</t>
        </is>
      </c>
      <c r="B1420" t="inlineStr">
        <is>
          <t>TSLL US 06/18/26 P4</t>
        </is>
      </c>
      <c r="C1420" t="inlineStr">
        <is>
          <t>2026-06-18</t>
        </is>
      </c>
      <c r="D1420" t="n">
        <v>4</v>
      </c>
      <c r="E1420" t="inlineStr">
        <is>
          <t>BBG020LD6FJ5</t>
        </is>
      </c>
    </row>
    <row r="1421">
      <c r="A1421" t="inlineStr">
        <is>
          <t>BBG01YRRVSX3 Equity</t>
        </is>
      </c>
      <c r="B1421" t="inlineStr">
        <is>
          <t>TSLL1 US 06/18/26 P4</t>
        </is>
      </c>
      <c r="C1421" t="inlineStr">
        <is>
          <t>2026-06-18</t>
        </is>
      </c>
      <c r="D1421" t="n">
        <v>4</v>
      </c>
      <c r="E1421" t="inlineStr">
        <is>
          <t>BBG01YRRVSX3</t>
        </is>
      </c>
    </row>
    <row r="1422">
      <c r="A1422" t="inlineStr">
        <is>
          <t>BBG01Z0K0GB8 Equity</t>
        </is>
      </c>
      <c r="B1422" t="inlineStr">
        <is>
          <t>TSLL US 06/18/26 P5</t>
        </is>
      </c>
      <c r="C1422" t="inlineStr">
        <is>
          <t>2026-06-18</t>
        </is>
      </c>
      <c r="D1422" t="n">
        <v>5</v>
      </c>
      <c r="E1422" t="inlineStr">
        <is>
          <t>BBG01Z0K0GB8</t>
        </is>
      </c>
    </row>
    <row r="1423">
      <c r="A1423" t="inlineStr">
        <is>
          <t>BBG01YK88LL6 Equity</t>
        </is>
      </c>
      <c r="B1423" t="inlineStr">
        <is>
          <t>TSLL1 US 06/18/26 P5</t>
        </is>
      </c>
      <c r="C1423" t="inlineStr">
        <is>
          <t>2026-06-18</t>
        </is>
      </c>
      <c r="D1423" t="n">
        <v>5</v>
      </c>
      <c r="E1423" t="inlineStr">
        <is>
          <t>BBG01YK88LL6</t>
        </is>
      </c>
    </row>
    <row r="1424">
      <c r="A1424" t="inlineStr">
        <is>
          <t>BBG020LD6C66 Equity</t>
        </is>
      </c>
      <c r="B1424" t="inlineStr">
        <is>
          <t>TSLL US 06/18/26 P6</t>
        </is>
      </c>
      <c r="C1424" t="inlineStr">
        <is>
          <t>2026-06-18</t>
        </is>
      </c>
      <c r="D1424" t="n">
        <v>6</v>
      </c>
      <c r="E1424" t="inlineStr">
        <is>
          <t>BBG020LD6C66</t>
        </is>
      </c>
    </row>
    <row r="1425">
      <c r="A1425" t="inlineStr">
        <is>
          <t>BBG01YK88JR5 Equity</t>
        </is>
      </c>
      <c r="B1425" t="inlineStr">
        <is>
          <t>TSLL1 US 06/18/26 P6</t>
        </is>
      </c>
      <c r="C1425" t="inlineStr">
        <is>
          <t>2026-06-18</t>
        </is>
      </c>
      <c r="D1425" t="n">
        <v>6</v>
      </c>
      <c r="E1425" t="inlineStr">
        <is>
          <t>BBG01YK88JR5</t>
        </is>
      </c>
    </row>
    <row r="1426">
      <c r="A1426" t="inlineStr">
        <is>
          <t>BBG020LDGJP9 Equity</t>
        </is>
      </c>
      <c r="B1426" t="inlineStr">
        <is>
          <t>TSLL US 06/18/26 P7</t>
        </is>
      </c>
      <c r="C1426" t="inlineStr">
        <is>
          <t>2026-06-18</t>
        </is>
      </c>
      <c r="D1426" t="n">
        <v>7</v>
      </c>
      <c r="E1426" t="inlineStr">
        <is>
          <t>BBG020LDGJP9</t>
        </is>
      </c>
    </row>
    <row r="1427">
      <c r="A1427" t="inlineStr">
        <is>
          <t>BBG01YK88KC8 Equity</t>
        </is>
      </c>
      <c r="B1427" t="inlineStr">
        <is>
          <t>TSLL1 US 06/18/26 P7</t>
        </is>
      </c>
      <c r="C1427" t="inlineStr">
        <is>
          <t>2026-06-18</t>
        </is>
      </c>
      <c r="D1427" t="n">
        <v>7</v>
      </c>
      <c r="E1427" t="inlineStr">
        <is>
          <t>BBG01YK88KC8</t>
        </is>
      </c>
    </row>
    <row r="1428">
      <c r="A1428" t="inlineStr">
        <is>
          <t>BBG020LDGM09 Equity</t>
        </is>
      </c>
      <c r="B1428" t="inlineStr">
        <is>
          <t>TSLL US 06/18/26 P8</t>
        </is>
      </c>
      <c r="C1428" t="inlineStr">
        <is>
          <t>2026-06-18</t>
        </is>
      </c>
      <c r="D1428" t="n">
        <v>8</v>
      </c>
      <c r="E1428" t="inlineStr">
        <is>
          <t>BBG020LDGM09</t>
        </is>
      </c>
    </row>
    <row r="1429">
      <c r="A1429" t="inlineStr">
        <is>
          <t>BBG01YK8CBH8 Equity</t>
        </is>
      </c>
      <c r="B1429" t="inlineStr">
        <is>
          <t>TSLL1 US 06/18/26 P8</t>
        </is>
      </c>
      <c r="C1429" t="inlineStr">
        <is>
          <t>2026-06-18</t>
        </is>
      </c>
      <c r="D1429" t="n">
        <v>8</v>
      </c>
      <c r="E1429" t="inlineStr">
        <is>
          <t>BBG01YK8CBH8</t>
        </is>
      </c>
    </row>
    <row r="1430">
      <c r="A1430" t="inlineStr">
        <is>
          <t>BBG020LDGK94 Equity</t>
        </is>
      </c>
      <c r="B1430" t="inlineStr">
        <is>
          <t>TSLL US 06/18/26 P9</t>
        </is>
      </c>
      <c r="C1430" t="inlineStr">
        <is>
          <t>2026-06-18</t>
        </is>
      </c>
      <c r="D1430" t="n">
        <v>9</v>
      </c>
      <c r="E1430" t="inlineStr">
        <is>
          <t>BBG020LDGK94</t>
        </is>
      </c>
    </row>
    <row r="1431">
      <c r="A1431" t="inlineStr">
        <is>
          <t>BBG01YK88KZ3 Equity</t>
        </is>
      </c>
      <c r="B1431" t="inlineStr">
        <is>
          <t>TSLL1 US 06/18/26 P9</t>
        </is>
      </c>
      <c r="C1431" t="inlineStr">
        <is>
          <t>2026-06-18</t>
        </is>
      </c>
      <c r="D1431" t="n">
        <v>9</v>
      </c>
      <c r="E1431" t="inlineStr">
        <is>
          <t>BBG01YK88KZ3</t>
        </is>
      </c>
    </row>
    <row r="1432">
      <c r="A1432" t="inlineStr">
        <is>
          <t>BBG01Z0K20K1 Equity</t>
        </is>
      </c>
      <c r="B1432" t="inlineStr">
        <is>
          <t>TSLL US 06/18/26 P10</t>
        </is>
      </c>
      <c r="C1432" t="inlineStr">
        <is>
          <t>2026-06-18</t>
        </is>
      </c>
      <c r="D1432" t="n">
        <v>10</v>
      </c>
      <c r="E1432" t="inlineStr">
        <is>
          <t>BBG01Z0K20K1</t>
        </is>
      </c>
    </row>
    <row r="1433">
      <c r="A1433" t="inlineStr">
        <is>
          <t>BBG01XZL3SG9 Equity</t>
        </is>
      </c>
      <c r="B1433" t="inlineStr">
        <is>
          <t>TSLL1 US 06/18/26 P10</t>
        </is>
      </c>
      <c r="C1433" t="inlineStr">
        <is>
          <t>2026-06-18</t>
        </is>
      </c>
      <c r="D1433" t="n">
        <v>10</v>
      </c>
      <c r="E1433" t="inlineStr">
        <is>
          <t>BBG01XZL3SG9</t>
        </is>
      </c>
    </row>
    <row r="1434">
      <c r="A1434" t="inlineStr">
        <is>
          <t>BBG01Z0K5M39 Equity</t>
        </is>
      </c>
      <c r="B1434" t="inlineStr">
        <is>
          <t>TSLL US 06/18/26 P11</t>
        </is>
      </c>
      <c r="C1434" t="inlineStr">
        <is>
          <t>2026-06-18</t>
        </is>
      </c>
      <c r="D1434" t="n">
        <v>11</v>
      </c>
      <c r="E1434" t="inlineStr">
        <is>
          <t>BBG01Z0K5M39</t>
        </is>
      </c>
    </row>
    <row r="1435">
      <c r="A1435" t="inlineStr">
        <is>
          <t>BBG01XZL6BR1 Equity</t>
        </is>
      </c>
      <c r="B1435" t="inlineStr">
        <is>
          <t>TSLL1 US 06/18/26 P11</t>
        </is>
      </c>
      <c r="C1435" t="inlineStr">
        <is>
          <t>2026-06-18</t>
        </is>
      </c>
      <c r="D1435" t="n">
        <v>11</v>
      </c>
      <c r="E1435" t="inlineStr">
        <is>
          <t>BBG01XZL6BR1</t>
        </is>
      </c>
    </row>
    <row r="1436">
      <c r="A1436" t="inlineStr">
        <is>
          <t>BBG01Z0K4ZR5 Equity</t>
        </is>
      </c>
      <c r="B1436" t="inlineStr">
        <is>
          <t>TSLL US 06/18/26 P12</t>
        </is>
      </c>
      <c r="C1436" t="inlineStr">
        <is>
          <t>2026-06-18</t>
        </is>
      </c>
      <c r="D1436" t="n">
        <v>12</v>
      </c>
      <c r="E1436" t="inlineStr">
        <is>
          <t>BBG01Z0K4ZR5</t>
        </is>
      </c>
    </row>
    <row r="1437">
      <c r="A1437" t="inlineStr">
        <is>
          <t>BBG01XZL6228 Equity</t>
        </is>
      </c>
      <c r="B1437" t="inlineStr">
        <is>
          <t>TSLL1 US 06/18/26 P12</t>
        </is>
      </c>
      <c r="C1437" t="inlineStr">
        <is>
          <t>2026-06-18</t>
        </is>
      </c>
      <c r="D1437" t="n">
        <v>12</v>
      </c>
      <c r="E1437" t="inlineStr">
        <is>
          <t>BBG01XZL6228</t>
        </is>
      </c>
    </row>
    <row r="1438">
      <c r="A1438" t="inlineStr">
        <is>
          <t>BBG01Z0JZMY5 Equity</t>
        </is>
      </c>
      <c r="B1438" t="inlineStr">
        <is>
          <t>TSLL US 06/18/26 P13</t>
        </is>
      </c>
      <c r="C1438" t="inlineStr">
        <is>
          <t>2026-06-18</t>
        </is>
      </c>
      <c r="D1438" t="n">
        <v>13</v>
      </c>
      <c r="E1438" t="inlineStr">
        <is>
          <t>BBG01Z0JZMY5</t>
        </is>
      </c>
    </row>
    <row r="1439">
      <c r="A1439" t="inlineStr">
        <is>
          <t>BBG01XZL60V0 Equity</t>
        </is>
      </c>
      <c r="B1439" t="inlineStr">
        <is>
          <t>TSLL1 US 06/18/26 P13</t>
        </is>
      </c>
      <c r="C1439" t="inlineStr">
        <is>
          <t>2026-06-18</t>
        </is>
      </c>
      <c r="D1439" t="n">
        <v>13</v>
      </c>
      <c r="E1439" t="inlineStr">
        <is>
          <t>BBG01XZL60V0</t>
        </is>
      </c>
    </row>
    <row r="1440">
      <c r="A1440" t="inlineStr">
        <is>
          <t>BBG01Z0JZF89 Equity</t>
        </is>
      </c>
      <c r="B1440" t="inlineStr">
        <is>
          <t>TSLL US 06/18/26 P14</t>
        </is>
      </c>
      <c r="C1440" t="inlineStr">
        <is>
          <t>2026-06-18</t>
        </is>
      </c>
      <c r="D1440" t="n">
        <v>14</v>
      </c>
      <c r="E1440" t="inlineStr">
        <is>
          <t>BBG01Z0JZF89</t>
        </is>
      </c>
    </row>
    <row r="1441">
      <c r="A1441" t="inlineStr">
        <is>
          <t>BBG01XZL3H46 Equity</t>
        </is>
      </c>
      <c r="B1441" t="inlineStr">
        <is>
          <t>TSLL1 US 06/18/26 P14</t>
        </is>
      </c>
      <c r="C1441" t="inlineStr">
        <is>
          <t>2026-06-18</t>
        </is>
      </c>
      <c r="D1441" t="n">
        <v>14</v>
      </c>
      <c r="E1441" t="inlineStr">
        <is>
          <t>BBG01XZL3H46</t>
        </is>
      </c>
    </row>
    <row r="1442">
      <c r="A1442" t="inlineStr">
        <is>
          <t>BBG01Z0K5G14 Equity</t>
        </is>
      </c>
      <c r="B1442" t="inlineStr">
        <is>
          <t>TSLL US 06/18/26 P15</t>
        </is>
      </c>
      <c r="C1442" t="inlineStr">
        <is>
          <t>2026-06-18</t>
        </is>
      </c>
      <c r="D1442" t="n">
        <v>15</v>
      </c>
      <c r="E1442" t="inlineStr">
        <is>
          <t>BBG01Z0K5G14</t>
        </is>
      </c>
    </row>
    <row r="1443">
      <c r="A1443" t="inlineStr">
        <is>
          <t>BBG01XZL6790 Equity</t>
        </is>
      </c>
      <c r="B1443" t="inlineStr">
        <is>
          <t>TSLL1 US 06/18/26 P15</t>
        </is>
      </c>
      <c r="C1443" t="inlineStr">
        <is>
          <t>2026-06-18</t>
        </is>
      </c>
      <c r="D1443" t="n">
        <v>15</v>
      </c>
      <c r="E1443" t="inlineStr">
        <is>
          <t>BBG01XZL6790</t>
        </is>
      </c>
    </row>
    <row r="1444">
      <c r="A1444" t="inlineStr">
        <is>
          <t>BBG01Z0K5DT1 Equity</t>
        </is>
      </c>
      <c r="B1444" t="inlineStr">
        <is>
          <t>TSLL US 06/18/26 P16</t>
        </is>
      </c>
      <c r="C1444" t="inlineStr">
        <is>
          <t>2026-06-18</t>
        </is>
      </c>
      <c r="D1444" t="n">
        <v>16</v>
      </c>
      <c r="E1444" t="inlineStr">
        <is>
          <t>BBG01Z0K5DT1</t>
        </is>
      </c>
    </row>
    <row r="1445">
      <c r="A1445" t="inlineStr">
        <is>
          <t>BBG01XZL0NY3 Equity</t>
        </is>
      </c>
      <c r="B1445" t="inlineStr">
        <is>
          <t>TSLL1 US 06/18/26 P16</t>
        </is>
      </c>
      <c r="C1445" t="inlineStr">
        <is>
          <t>2026-06-18</t>
        </is>
      </c>
      <c r="D1445" t="n">
        <v>16</v>
      </c>
      <c r="E1445" t="inlineStr">
        <is>
          <t>BBG01XZL0NY3</t>
        </is>
      </c>
    </row>
    <row r="1446">
      <c r="A1446" t="inlineStr">
        <is>
          <t>BBG01Z0K2156 Equity</t>
        </is>
      </c>
      <c r="B1446" t="inlineStr">
        <is>
          <t>TSLL US 06/18/26 P17</t>
        </is>
      </c>
      <c r="C1446" t="inlineStr">
        <is>
          <t>2026-06-18</t>
        </is>
      </c>
      <c r="D1446" t="n">
        <v>17</v>
      </c>
      <c r="E1446" t="inlineStr">
        <is>
          <t>BBG01Z0K2156</t>
        </is>
      </c>
    </row>
    <row r="1447">
      <c r="A1447" t="inlineStr">
        <is>
          <t>BBG01XZL3T22 Equity</t>
        </is>
      </c>
      <c r="B1447" t="inlineStr">
        <is>
          <t>TSLL1 US 06/18/26 P17</t>
        </is>
      </c>
      <c r="C1447" t="inlineStr">
        <is>
          <t>2026-06-18</t>
        </is>
      </c>
      <c r="D1447" t="n">
        <v>17</v>
      </c>
      <c r="E1447" t="inlineStr">
        <is>
          <t>BBG01XZL3T22</t>
        </is>
      </c>
    </row>
    <row r="1448">
      <c r="A1448" t="inlineStr">
        <is>
          <t>BBG01Z0K19R6 Equity</t>
        </is>
      </c>
      <c r="B1448" t="inlineStr">
        <is>
          <t>TSLL US 06/18/26 P18</t>
        </is>
      </c>
      <c r="C1448" t="inlineStr">
        <is>
          <t>2026-06-18</t>
        </is>
      </c>
      <c r="D1448" t="n">
        <v>18</v>
      </c>
      <c r="E1448" t="inlineStr">
        <is>
          <t>BBG01Z0K19R6</t>
        </is>
      </c>
    </row>
    <row r="1449">
      <c r="A1449" t="inlineStr">
        <is>
          <t>BBG01XZL0NB8 Equity</t>
        </is>
      </c>
      <c r="B1449" t="inlineStr">
        <is>
          <t>TSLL1 US 06/18/26 P18</t>
        </is>
      </c>
      <c r="C1449" t="inlineStr">
        <is>
          <t>2026-06-18</t>
        </is>
      </c>
      <c r="D1449" t="n">
        <v>18</v>
      </c>
      <c r="E1449" t="inlineStr">
        <is>
          <t>BBG01XZL0NB8</t>
        </is>
      </c>
    </row>
    <row r="1450">
      <c r="A1450" t="inlineStr">
        <is>
          <t>BBG01Z0JZD11 Equity</t>
        </is>
      </c>
      <c r="B1450" t="inlineStr">
        <is>
          <t>TSLL US 06/18/26 P19</t>
        </is>
      </c>
      <c r="C1450" t="inlineStr">
        <is>
          <t>2026-06-18</t>
        </is>
      </c>
      <c r="D1450" t="n">
        <v>19</v>
      </c>
      <c r="E1450" t="inlineStr">
        <is>
          <t>BBG01Z0JZD11</t>
        </is>
      </c>
    </row>
    <row r="1451">
      <c r="A1451" t="inlineStr">
        <is>
          <t>BBG01XZL3FX8 Equity</t>
        </is>
      </c>
      <c r="B1451" t="inlineStr">
        <is>
          <t>TSLL1 US 06/18/26 P19</t>
        </is>
      </c>
      <c r="C1451" t="inlineStr">
        <is>
          <t>2026-06-18</t>
        </is>
      </c>
      <c r="D1451" t="n">
        <v>19</v>
      </c>
      <c r="E1451" t="inlineStr">
        <is>
          <t>BBG01XZL3FX8</t>
        </is>
      </c>
    </row>
    <row r="1452">
      <c r="A1452" t="inlineStr">
        <is>
          <t>BBG01Z0K1ZY0 Equity</t>
        </is>
      </c>
      <c r="B1452" t="inlineStr">
        <is>
          <t>TSLL US 06/18/26 P20</t>
        </is>
      </c>
      <c r="C1452" t="inlineStr">
        <is>
          <t>2026-06-18</t>
        </is>
      </c>
      <c r="D1452" t="n">
        <v>20</v>
      </c>
      <c r="E1452" t="inlineStr">
        <is>
          <t>BBG01Z0K1ZY0</t>
        </is>
      </c>
    </row>
    <row r="1453">
      <c r="A1453" t="inlineStr">
        <is>
          <t>BBG01XZL67X3 Equity</t>
        </is>
      </c>
      <c r="B1453" t="inlineStr">
        <is>
          <t>TSLL1 US 06/18/26 P20</t>
        </is>
      </c>
      <c r="C1453" t="inlineStr">
        <is>
          <t>2026-06-18</t>
        </is>
      </c>
      <c r="D1453" t="n">
        <v>20</v>
      </c>
      <c r="E1453" t="inlineStr">
        <is>
          <t>BBG01XZL67X3</t>
        </is>
      </c>
    </row>
    <row r="1454">
      <c r="A1454" t="inlineStr">
        <is>
          <t>BBG01Z0K5MQ4 Equity</t>
        </is>
      </c>
      <c r="B1454" t="inlineStr">
        <is>
          <t>TSLL US 06/18/26 P21</t>
        </is>
      </c>
      <c r="C1454" t="inlineStr">
        <is>
          <t>2026-06-18</t>
        </is>
      </c>
      <c r="D1454" t="n">
        <v>21</v>
      </c>
      <c r="E1454" t="inlineStr">
        <is>
          <t>BBG01Z0K5MQ4</t>
        </is>
      </c>
    </row>
    <row r="1455">
      <c r="A1455" t="inlineStr">
        <is>
          <t>BBG01XZL6CC5 Equity</t>
        </is>
      </c>
      <c r="B1455" t="inlineStr">
        <is>
          <t>TSLL1 US 06/18/26 P21</t>
        </is>
      </c>
      <c r="C1455" t="inlineStr">
        <is>
          <t>2026-06-18</t>
        </is>
      </c>
      <c r="D1455" t="n">
        <v>21</v>
      </c>
      <c r="E1455" t="inlineStr">
        <is>
          <t>BBG01XZL6CC5</t>
        </is>
      </c>
    </row>
    <row r="1456">
      <c r="A1456" t="inlineStr">
        <is>
          <t>BBG01Z0JZMB0 Equity</t>
        </is>
      </c>
      <c r="B1456" t="inlineStr">
        <is>
          <t>TSLL US 06/18/26 P22</t>
        </is>
      </c>
      <c r="C1456" t="inlineStr">
        <is>
          <t>2026-06-18</t>
        </is>
      </c>
      <c r="D1456" t="n">
        <v>22</v>
      </c>
      <c r="E1456" t="inlineStr">
        <is>
          <t>BBG01Z0JZMB0</t>
        </is>
      </c>
    </row>
    <row r="1457">
      <c r="A1457" t="inlineStr">
        <is>
          <t>BBG01XZL6077 Equity</t>
        </is>
      </c>
      <c r="B1457" t="inlineStr">
        <is>
          <t>TSLL1 US 06/18/26 P22</t>
        </is>
      </c>
      <c r="C1457" t="inlineStr">
        <is>
          <t>2026-06-18</t>
        </is>
      </c>
      <c r="D1457" t="n">
        <v>22</v>
      </c>
      <c r="E1457" t="inlineStr">
        <is>
          <t>BBG01XZL6077</t>
        </is>
      </c>
    </row>
    <row r="1458">
      <c r="A1458" t="inlineStr">
        <is>
          <t>BBG01Z0JZNK8 Equity</t>
        </is>
      </c>
      <c r="B1458" t="inlineStr">
        <is>
          <t>TSLL US 06/18/26 P23</t>
        </is>
      </c>
      <c r="C1458" t="inlineStr">
        <is>
          <t>2026-06-18</t>
        </is>
      </c>
      <c r="D1458" t="n">
        <v>23</v>
      </c>
      <c r="E1458" t="inlineStr">
        <is>
          <t>BBG01Z0JZNK8</t>
        </is>
      </c>
    </row>
    <row r="1459">
      <c r="A1459" t="inlineStr">
        <is>
          <t>BBG01XZL61G5 Equity</t>
        </is>
      </c>
      <c r="B1459" t="inlineStr">
        <is>
          <t>TSLL1 US 06/18/26 P23</t>
        </is>
      </c>
      <c r="C1459" t="inlineStr">
        <is>
          <t>2026-06-18</t>
        </is>
      </c>
      <c r="D1459" t="n">
        <v>23</v>
      </c>
      <c r="E1459" t="inlineStr">
        <is>
          <t>BBG01XZL61G5</t>
        </is>
      </c>
    </row>
    <row r="1460">
      <c r="A1460" t="inlineStr">
        <is>
          <t>BBG01Z0JZFW2 Equity</t>
        </is>
      </c>
      <c r="B1460" t="inlineStr">
        <is>
          <t>TSLL US 06/18/26 P24</t>
        </is>
      </c>
      <c r="C1460" t="inlineStr">
        <is>
          <t>2026-06-18</t>
        </is>
      </c>
      <c r="D1460" t="n">
        <v>24</v>
      </c>
      <c r="E1460" t="inlineStr">
        <is>
          <t>BBG01Z0JZFW2</t>
        </is>
      </c>
    </row>
    <row r="1461">
      <c r="A1461" t="inlineStr">
        <is>
          <t>BBG01XZL63F2 Equity</t>
        </is>
      </c>
      <c r="B1461" t="inlineStr">
        <is>
          <t>TSLL1 US 06/18/26 P24</t>
        </is>
      </c>
      <c r="C1461" t="inlineStr">
        <is>
          <t>2026-06-18</t>
        </is>
      </c>
      <c r="D1461" t="n">
        <v>24</v>
      </c>
      <c r="E1461" t="inlineStr">
        <is>
          <t>BBG01XZL63F2</t>
        </is>
      </c>
    </row>
    <row r="1462">
      <c r="A1462" t="inlineStr">
        <is>
          <t>BBG01Z0K5FF1 Equity</t>
        </is>
      </c>
      <c r="B1462" t="inlineStr">
        <is>
          <t>TSLL US 06/18/26 P25</t>
        </is>
      </c>
      <c r="C1462" t="inlineStr">
        <is>
          <t>2026-06-18</t>
        </is>
      </c>
      <c r="D1462" t="n">
        <v>25</v>
      </c>
      <c r="E1462" t="inlineStr">
        <is>
          <t>BBG01Z0K5FF1</t>
        </is>
      </c>
    </row>
    <row r="1463">
      <c r="A1463" t="inlineStr">
        <is>
          <t>BBG01XZL66P4 Equity</t>
        </is>
      </c>
      <c r="B1463" t="inlineStr">
        <is>
          <t>TSLL1 US 06/18/26 P25</t>
        </is>
      </c>
      <c r="C1463" t="inlineStr">
        <is>
          <t>2026-06-18</t>
        </is>
      </c>
      <c r="D1463" t="n">
        <v>25</v>
      </c>
      <c r="E1463" t="inlineStr">
        <is>
          <t>BBG01XZL66P4</t>
        </is>
      </c>
    </row>
    <row r="1464">
      <c r="A1464" t="inlineStr">
        <is>
          <t>BBG01Z0K0GY3 Equity</t>
        </is>
      </c>
      <c r="B1464" t="inlineStr">
        <is>
          <t>TSLL US 06/18/26 P26</t>
        </is>
      </c>
      <c r="C1464" t="inlineStr">
        <is>
          <t>2026-06-18</t>
        </is>
      </c>
      <c r="D1464" t="n">
        <v>26</v>
      </c>
      <c r="E1464" t="inlineStr">
        <is>
          <t>BBG01Z0K0GY3</t>
        </is>
      </c>
    </row>
    <row r="1465">
      <c r="A1465" t="inlineStr">
        <is>
          <t>BBG01XZL6CZ0 Equity</t>
        </is>
      </c>
      <c r="B1465" t="inlineStr">
        <is>
          <t>TSLL1 US 06/18/26 P26</t>
        </is>
      </c>
      <c r="C1465" t="inlineStr">
        <is>
          <t>2026-06-18</t>
        </is>
      </c>
      <c r="D1465" t="n">
        <v>26</v>
      </c>
      <c r="E1465" t="inlineStr">
        <is>
          <t>BBG01XZL6CZ0</t>
        </is>
      </c>
    </row>
    <row r="1466">
      <c r="A1466" t="inlineStr">
        <is>
          <t>BBG01Z0JZDN7 Equity</t>
        </is>
      </c>
      <c r="B1466" t="inlineStr">
        <is>
          <t>TSLL US 06/18/26 P27</t>
        </is>
      </c>
      <c r="C1466" t="inlineStr">
        <is>
          <t>2026-06-18</t>
        </is>
      </c>
      <c r="D1466" t="n">
        <v>27</v>
      </c>
      <c r="E1466" t="inlineStr">
        <is>
          <t>BBG01Z0JZDN7</t>
        </is>
      </c>
    </row>
    <row r="1467">
      <c r="A1467" t="inlineStr">
        <is>
          <t>BBG01XZL3GJ2 Equity</t>
        </is>
      </c>
      <c r="B1467" t="inlineStr">
        <is>
          <t>TSLL1 US 06/18/26 P27</t>
        </is>
      </c>
      <c r="C1467" t="inlineStr">
        <is>
          <t>2026-06-18</t>
        </is>
      </c>
      <c r="D1467" t="n">
        <v>27</v>
      </c>
      <c r="E1467" t="inlineStr">
        <is>
          <t>BBG01XZL3GJ2</t>
        </is>
      </c>
    </row>
    <row r="1468">
      <c r="A1468" t="inlineStr">
        <is>
          <t>BBG01Z0K55Z1 Equity</t>
        </is>
      </c>
      <c r="B1468" t="inlineStr">
        <is>
          <t>TSLL US 06/18/26 P28</t>
        </is>
      </c>
      <c r="C1468" t="inlineStr">
        <is>
          <t>2026-06-18</t>
        </is>
      </c>
      <c r="D1468" t="n">
        <v>28</v>
      </c>
      <c r="E1468" t="inlineStr">
        <is>
          <t>BBG01Z0K55Z1</t>
        </is>
      </c>
    </row>
    <row r="1469">
      <c r="A1469" t="inlineStr">
        <is>
          <t>BBG01XZL6415 Equity</t>
        </is>
      </c>
      <c r="B1469" t="inlineStr">
        <is>
          <t>TSLL1 US 06/18/26 P28</t>
        </is>
      </c>
      <c r="C1469" t="inlineStr">
        <is>
          <t>2026-06-18</t>
        </is>
      </c>
      <c r="D1469" t="n">
        <v>28</v>
      </c>
      <c r="E1469" t="inlineStr">
        <is>
          <t>BBG01XZL6415</t>
        </is>
      </c>
    </row>
    <row r="1470">
      <c r="A1470" t="inlineStr">
        <is>
          <t>BBG01Z0K50C7 Equity</t>
        </is>
      </c>
      <c r="B1470" t="inlineStr">
        <is>
          <t>TSLL US 06/18/26 P29</t>
        </is>
      </c>
      <c r="C1470" t="inlineStr">
        <is>
          <t>2026-06-18</t>
        </is>
      </c>
      <c r="D1470" t="n">
        <v>29</v>
      </c>
      <c r="E1470" t="inlineStr">
        <is>
          <t>BBG01Z0K50C7</t>
        </is>
      </c>
    </row>
    <row r="1471">
      <c r="A1471" t="inlineStr">
        <is>
          <t>BBG01XZL62P3 Equity</t>
        </is>
      </c>
      <c r="B1471" t="inlineStr">
        <is>
          <t>TSLL1 US 06/18/26 P29</t>
        </is>
      </c>
      <c r="C1471" t="inlineStr">
        <is>
          <t>2026-06-18</t>
        </is>
      </c>
      <c r="D1471" t="n">
        <v>29</v>
      </c>
      <c r="E1471" t="inlineStr">
        <is>
          <t>BBG01XZL62P3</t>
        </is>
      </c>
    </row>
    <row r="1472">
      <c r="A1472" t="inlineStr">
        <is>
          <t>BBG01Z0K21S1 Equity</t>
        </is>
      </c>
      <c r="B1472" t="inlineStr">
        <is>
          <t>TSLL US 06/18/26 P30</t>
        </is>
      </c>
      <c r="C1472" t="inlineStr">
        <is>
          <t>2026-06-18</t>
        </is>
      </c>
      <c r="D1472" t="n">
        <v>30</v>
      </c>
      <c r="E1472" t="inlineStr">
        <is>
          <t>BBG01Z0K21S1</t>
        </is>
      </c>
    </row>
    <row r="1473">
      <c r="A1473" t="inlineStr">
        <is>
          <t>BBG01XZL6B46 Equity</t>
        </is>
      </c>
      <c r="B1473" t="inlineStr">
        <is>
          <t>TSLL1 US 06/18/26 P30</t>
        </is>
      </c>
      <c r="C1473" t="inlineStr">
        <is>
          <t>2026-06-18</t>
        </is>
      </c>
      <c r="D1473" t="n">
        <v>30</v>
      </c>
      <c r="E1473" t="inlineStr">
        <is>
          <t>BBG01XZL6B46</t>
        </is>
      </c>
    </row>
    <row r="1474">
      <c r="A1474" t="inlineStr">
        <is>
          <t>BBG01Z54DSP4 Equity</t>
        </is>
      </c>
      <c r="B1474" t="inlineStr">
        <is>
          <t>TSLL US 06/18/26 P31</t>
        </is>
      </c>
      <c r="C1474" t="inlineStr">
        <is>
          <t>2026-06-18</t>
        </is>
      </c>
      <c r="D1474" t="n">
        <v>31</v>
      </c>
      <c r="E1474" t="inlineStr">
        <is>
          <t>BBG01Z54DSP4</t>
        </is>
      </c>
    </row>
    <row r="1475">
      <c r="A1475" t="inlineStr">
        <is>
          <t>BBG01Y2B22G3 Equity</t>
        </is>
      </c>
      <c r="B1475" t="inlineStr">
        <is>
          <t>TSLL1 US 06/18/26 P31</t>
        </is>
      </c>
      <c r="C1475" t="inlineStr">
        <is>
          <t>2026-06-18</t>
        </is>
      </c>
      <c r="D1475" t="n">
        <v>31</v>
      </c>
      <c r="E1475" t="inlineStr">
        <is>
          <t>BBG01Y2B22G3</t>
        </is>
      </c>
    </row>
    <row r="1476">
      <c r="A1476" t="inlineStr">
        <is>
          <t>BBG01Z5499C5 Equity</t>
        </is>
      </c>
      <c r="B1476" t="inlineStr">
        <is>
          <t>TSLL US 06/18/26 P32</t>
        </is>
      </c>
      <c r="C1476" t="inlineStr">
        <is>
          <t>2026-06-18</t>
        </is>
      </c>
      <c r="D1476" t="n">
        <v>32</v>
      </c>
      <c r="E1476" t="inlineStr">
        <is>
          <t>BBG01Z5499C5</t>
        </is>
      </c>
    </row>
    <row r="1477">
      <c r="A1477" t="inlineStr">
        <is>
          <t>BBG01YRRVPW0 Equity</t>
        </is>
      </c>
      <c r="B1477" t="inlineStr">
        <is>
          <t>TSLL1 US 06/18/26 P32</t>
        </is>
      </c>
      <c r="C1477" t="inlineStr">
        <is>
          <t>2026-06-18</t>
        </is>
      </c>
      <c r="D1477" t="n">
        <v>32</v>
      </c>
      <c r="E1477" t="inlineStr">
        <is>
          <t>BBG01YRRVPW0</t>
        </is>
      </c>
    </row>
    <row r="1478">
      <c r="A1478" t="inlineStr">
        <is>
          <t>BBG01Z5499Z0 Equity</t>
        </is>
      </c>
      <c r="B1478" t="inlineStr">
        <is>
          <t>TSLL US 06/18/26 P33</t>
        </is>
      </c>
      <c r="C1478" t="inlineStr">
        <is>
          <t>2026-06-18</t>
        </is>
      </c>
      <c r="D1478" t="n">
        <v>33</v>
      </c>
      <c r="E1478" t="inlineStr">
        <is>
          <t>BBG01Z5499Z0</t>
        </is>
      </c>
    </row>
    <row r="1479">
      <c r="A1479" t="inlineStr">
        <is>
          <t>BBG01YRRVRQ3 Equity</t>
        </is>
      </c>
      <c r="B1479" t="inlineStr">
        <is>
          <t>TSLL1 US 06/18/26 P33</t>
        </is>
      </c>
      <c r="C1479" t="inlineStr">
        <is>
          <t>2026-06-18</t>
        </is>
      </c>
      <c r="D1479" t="n">
        <v>33</v>
      </c>
      <c r="E1479" t="inlineStr">
        <is>
          <t>BBG01YRRVRQ3</t>
        </is>
      </c>
    </row>
    <row r="1480">
      <c r="A1480" t="inlineStr">
        <is>
          <t>BBG01Z54DS29 Equity</t>
        </is>
      </c>
      <c r="B1480" t="inlineStr">
        <is>
          <t>TSLL US 06/18/26 P34</t>
        </is>
      </c>
      <c r="C1480" t="inlineStr">
        <is>
          <t>2026-06-18</t>
        </is>
      </c>
      <c r="D1480" t="n">
        <v>34</v>
      </c>
      <c r="E1480" t="inlineStr">
        <is>
          <t>BBG01Z54DS29</t>
        </is>
      </c>
    </row>
    <row r="1481">
      <c r="A1481" t="inlineStr">
        <is>
          <t>BBG01YRRVS90 Equity</t>
        </is>
      </c>
      <c r="B1481" t="inlineStr">
        <is>
          <t>TSLL1 US 06/18/26 P34</t>
        </is>
      </c>
      <c r="C1481" t="inlineStr">
        <is>
          <t>2026-06-18</t>
        </is>
      </c>
      <c r="D1481" t="n">
        <v>34</v>
      </c>
      <c r="E1481" t="inlineStr">
        <is>
          <t>BBG01YRRVS90</t>
        </is>
      </c>
    </row>
    <row r="1482">
      <c r="A1482" t="inlineStr">
        <is>
          <t>BBG01Z0K5D66 Equity</t>
        </is>
      </c>
      <c r="B1482" t="inlineStr">
        <is>
          <t>TSLL US 06/18/26 P35</t>
        </is>
      </c>
      <c r="C1482" t="inlineStr">
        <is>
          <t>2026-06-18</t>
        </is>
      </c>
      <c r="D1482" t="n">
        <v>35</v>
      </c>
      <c r="E1482" t="inlineStr">
        <is>
          <t>BBG01Z0K5D66</t>
        </is>
      </c>
    </row>
    <row r="1483">
      <c r="A1483" t="inlineStr">
        <is>
          <t>BBG01YRRVP87 Equity</t>
        </is>
      </c>
      <c r="B1483" t="inlineStr">
        <is>
          <t>TSLL1 US 06/18/26 P35</t>
        </is>
      </c>
      <c r="C1483" t="inlineStr">
        <is>
          <t>2026-06-18</t>
        </is>
      </c>
      <c r="D1483" t="n">
        <v>35</v>
      </c>
      <c r="E1483" t="inlineStr">
        <is>
          <t>BBG01YRRVP87</t>
        </is>
      </c>
    </row>
    <row r="1484">
      <c r="A1484" t="inlineStr">
        <is>
          <t>BBG020LD4DJ2 Equity</t>
        </is>
      </c>
      <c r="B1484" t="inlineStr">
        <is>
          <t>TSLL US 09/18/26 P1</t>
        </is>
      </c>
      <c r="C1484" t="inlineStr">
        <is>
          <t>2026-09-18</t>
        </is>
      </c>
      <c r="D1484" t="n">
        <v>1</v>
      </c>
      <c r="E1484" t="inlineStr">
        <is>
          <t>BBG020LD4DJ2</t>
        </is>
      </c>
    </row>
    <row r="1485">
      <c r="A1485" t="inlineStr">
        <is>
          <t>BBG020LDF464 Equity</t>
        </is>
      </c>
      <c r="B1485" t="inlineStr">
        <is>
          <t>TSLL US 09/18/26 P2</t>
        </is>
      </c>
      <c r="C1485" t="inlineStr">
        <is>
          <t>2026-09-18</t>
        </is>
      </c>
      <c r="D1485" t="n">
        <v>2</v>
      </c>
      <c r="E1485" t="inlineStr">
        <is>
          <t>BBG020LDF464</t>
        </is>
      </c>
    </row>
    <row r="1486">
      <c r="A1486" t="inlineStr">
        <is>
          <t>BBG020LDGW98 Equity</t>
        </is>
      </c>
      <c r="B1486" t="inlineStr">
        <is>
          <t>TSLL US 09/18/26 P3</t>
        </is>
      </c>
      <c r="C1486" t="inlineStr">
        <is>
          <t>2026-09-18</t>
        </is>
      </c>
      <c r="D1486" t="n">
        <v>3</v>
      </c>
      <c r="E1486" t="inlineStr">
        <is>
          <t>BBG020LDGW98</t>
        </is>
      </c>
    </row>
    <row r="1487">
      <c r="A1487" t="inlineStr">
        <is>
          <t>BBG020LDGTG7 Equity</t>
        </is>
      </c>
      <c r="B1487" t="inlineStr">
        <is>
          <t>TSLL US 09/18/26 P4</t>
        </is>
      </c>
      <c r="C1487" t="inlineStr">
        <is>
          <t>2026-09-18</t>
        </is>
      </c>
      <c r="D1487" t="n">
        <v>4</v>
      </c>
      <c r="E1487" t="inlineStr">
        <is>
          <t>BBG020LDGTG7</t>
        </is>
      </c>
    </row>
    <row r="1488">
      <c r="A1488" t="inlineStr">
        <is>
          <t>BBG01ZSS5CL4 Equity</t>
        </is>
      </c>
      <c r="B1488" t="inlineStr">
        <is>
          <t>TSLL US 09/18/26 P5</t>
        </is>
      </c>
      <c r="C1488" t="inlineStr">
        <is>
          <t>2026-09-18</t>
        </is>
      </c>
      <c r="D1488" t="n">
        <v>5</v>
      </c>
      <c r="E1488" t="inlineStr">
        <is>
          <t>BBG01ZSS5CL4</t>
        </is>
      </c>
    </row>
    <row r="1489">
      <c r="A1489" t="inlineStr">
        <is>
          <t>BBG020LDGVP2 Equity</t>
        </is>
      </c>
      <c r="B1489" t="inlineStr">
        <is>
          <t>TSLL US 09/18/26 P6</t>
        </is>
      </c>
      <c r="C1489" t="inlineStr">
        <is>
          <t>2026-09-18</t>
        </is>
      </c>
      <c r="D1489" t="n">
        <v>6</v>
      </c>
      <c r="E1489" t="inlineStr">
        <is>
          <t>BBG020LDGVP2</t>
        </is>
      </c>
    </row>
    <row r="1490">
      <c r="A1490" t="inlineStr">
        <is>
          <t>BBG020LDGV27 Equity</t>
        </is>
      </c>
      <c r="B1490" t="inlineStr">
        <is>
          <t>TSLL US 09/18/26 P7</t>
        </is>
      </c>
      <c r="C1490" t="inlineStr">
        <is>
          <t>2026-09-18</t>
        </is>
      </c>
      <c r="D1490" t="n">
        <v>7</v>
      </c>
      <c r="E1490" t="inlineStr">
        <is>
          <t>BBG020LDGV27</t>
        </is>
      </c>
    </row>
    <row r="1491">
      <c r="A1491" t="inlineStr">
        <is>
          <t>BBG020LD4F43 Equity</t>
        </is>
      </c>
      <c r="B1491" t="inlineStr">
        <is>
          <t>TSLL US 09/18/26 P8</t>
        </is>
      </c>
      <c r="C1491" t="inlineStr">
        <is>
          <t>2026-09-18</t>
        </is>
      </c>
      <c r="D1491" t="n">
        <v>8</v>
      </c>
      <c r="E1491" t="inlineStr">
        <is>
          <t>BBG020LD4F43</t>
        </is>
      </c>
    </row>
    <row r="1492">
      <c r="A1492" t="inlineStr">
        <is>
          <t>BBG01ZN37F26 Equity</t>
        </is>
      </c>
      <c r="B1492" t="inlineStr">
        <is>
          <t>TSLL US 09/18/26 P9</t>
        </is>
      </c>
      <c r="C1492" t="inlineStr">
        <is>
          <t>2026-09-18</t>
        </is>
      </c>
      <c r="D1492" t="n">
        <v>9</v>
      </c>
      <c r="E1492" t="inlineStr">
        <is>
          <t>BBG01ZN37F26</t>
        </is>
      </c>
    </row>
    <row r="1493">
      <c r="A1493" t="inlineStr">
        <is>
          <t>BBG01ZN37CV1 Equity</t>
        </is>
      </c>
      <c r="B1493" t="inlineStr">
        <is>
          <t>TSLL US 09/18/26 P10</t>
        </is>
      </c>
      <c r="C1493" t="inlineStr">
        <is>
          <t>2026-09-18</t>
        </is>
      </c>
      <c r="D1493" t="n">
        <v>10</v>
      </c>
      <c r="E1493" t="inlineStr">
        <is>
          <t>BBG01ZN37CV1</t>
        </is>
      </c>
    </row>
    <row r="1494">
      <c r="A1494" t="inlineStr">
        <is>
          <t>BBG01ZN37920 Equity</t>
        </is>
      </c>
      <c r="B1494" t="inlineStr">
        <is>
          <t>TSLL US 09/18/26 P11</t>
        </is>
      </c>
      <c r="C1494" t="inlineStr">
        <is>
          <t>2026-09-18</t>
        </is>
      </c>
      <c r="D1494" t="n">
        <v>11</v>
      </c>
      <c r="E1494" t="inlineStr">
        <is>
          <t>BBG01ZN37920</t>
        </is>
      </c>
    </row>
    <row r="1495">
      <c r="A1495" t="inlineStr">
        <is>
          <t>BBG01ZN3HD39 Equity</t>
        </is>
      </c>
      <c r="B1495" t="inlineStr">
        <is>
          <t>TSLL US 09/18/26 P12</t>
        </is>
      </c>
      <c r="C1495" t="inlineStr">
        <is>
          <t>2026-09-18</t>
        </is>
      </c>
      <c r="D1495" t="n">
        <v>12</v>
      </c>
      <c r="E1495" t="inlineStr">
        <is>
          <t>BBG01ZN3HD39</t>
        </is>
      </c>
    </row>
    <row r="1496">
      <c r="A1496" t="inlineStr">
        <is>
          <t>BBG01ZN37LM1 Equity</t>
        </is>
      </c>
      <c r="B1496" t="inlineStr">
        <is>
          <t>TSLL US 09/18/26 P13</t>
        </is>
      </c>
      <c r="C1496" t="inlineStr">
        <is>
          <t>2026-09-18</t>
        </is>
      </c>
      <c r="D1496" t="n">
        <v>13</v>
      </c>
      <c r="E1496" t="inlineStr">
        <is>
          <t>BBG01ZN37LM1</t>
        </is>
      </c>
    </row>
    <row r="1497">
      <c r="A1497" t="inlineStr">
        <is>
          <t>BBG01ZN37JD6 Equity</t>
        </is>
      </c>
      <c r="B1497" t="inlineStr">
        <is>
          <t>TSLL US 09/18/26 P14</t>
        </is>
      </c>
      <c r="C1497" t="inlineStr">
        <is>
          <t>2026-09-18</t>
        </is>
      </c>
      <c r="D1497" t="n">
        <v>14</v>
      </c>
      <c r="E1497" t="inlineStr">
        <is>
          <t>BBG01ZN37JD6</t>
        </is>
      </c>
    </row>
    <row r="1498">
      <c r="A1498" t="inlineStr">
        <is>
          <t>BBG01ZN3J6L2 Equity</t>
        </is>
      </c>
      <c r="B1498" t="inlineStr">
        <is>
          <t>TSLL US 09/18/26 P15</t>
        </is>
      </c>
      <c r="C1498" t="inlineStr">
        <is>
          <t>2026-09-18</t>
        </is>
      </c>
      <c r="D1498" t="n">
        <v>15</v>
      </c>
      <c r="E1498" t="inlineStr">
        <is>
          <t>BBG01ZN3J6L2</t>
        </is>
      </c>
    </row>
    <row r="1499">
      <c r="A1499" t="inlineStr">
        <is>
          <t>BBG01ZN37FP1 Equity</t>
        </is>
      </c>
      <c r="B1499" t="inlineStr">
        <is>
          <t>TSLL US 09/18/26 P16</t>
        </is>
      </c>
      <c r="C1499" t="inlineStr">
        <is>
          <t>2026-09-18</t>
        </is>
      </c>
      <c r="D1499" t="n">
        <v>16</v>
      </c>
      <c r="E1499" t="inlineStr">
        <is>
          <t>BBG01ZN37FP1</t>
        </is>
      </c>
    </row>
    <row r="1500">
      <c r="A1500" t="inlineStr">
        <is>
          <t>BBG01ZN37DG6 Equity</t>
        </is>
      </c>
      <c r="B1500" t="inlineStr">
        <is>
          <t>TSLL US 09/18/26 P17</t>
        </is>
      </c>
      <c r="C1500" t="inlineStr">
        <is>
          <t>2026-09-18</t>
        </is>
      </c>
      <c r="D1500" t="n">
        <v>17</v>
      </c>
      <c r="E1500" t="inlineStr">
        <is>
          <t>BBG01ZN37DG6</t>
        </is>
      </c>
    </row>
    <row r="1501">
      <c r="A1501" t="inlineStr">
        <is>
          <t>BBG01ZN37MV9 Equity</t>
        </is>
      </c>
      <c r="B1501" t="inlineStr">
        <is>
          <t>TSLL US 09/18/26 P18</t>
        </is>
      </c>
      <c r="C1501" t="inlineStr">
        <is>
          <t>2026-09-18</t>
        </is>
      </c>
      <c r="D1501" t="n">
        <v>18</v>
      </c>
      <c r="E1501" t="inlineStr">
        <is>
          <t>BBG01ZN37MV9</t>
        </is>
      </c>
    </row>
    <row r="1502">
      <c r="A1502" t="inlineStr">
        <is>
          <t>BBG01ZN37L05 Equity</t>
        </is>
      </c>
      <c r="B1502" t="inlineStr">
        <is>
          <t>TSLL US 09/18/26 P19</t>
        </is>
      </c>
      <c r="C1502" t="inlineStr">
        <is>
          <t>2026-09-18</t>
        </is>
      </c>
      <c r="D1502" t="n">
        <v>19</v>
      </c>
      <c r="E1502" t="inlineStr">
        <is>
          <t>BBG01ZN37L05</t>
        </is>
      </c>
    </row>
    <row r="1503">
      <c r="A1503" t="inlineStr">
        <is>
          <t>BBG01ZN3HCH6 Equity</t>
        </is>
      </c>
      <c r="B1503" t="inlineStr">
        <is>
          <t>TSLL US 09/18/26 P20</t>
        </is>
      </c>
      <c r="C1503" t="inlineStr">
        <is>
          <t>2026-09-18</t>
        </is>
      </c>
      <c r="D1503" t="n">
        <v>20</v>
      </c>
      <c r="E1503" t="inlineStr">
        <is>
          <t>BBG01ZN3HCH6</t>
        </is>
      </c>
    </row>
    <row r="1504">
      <c r="A1504" t="inlineStr">
        <is>
          <t>BBG01ZN379P5 Equity</t>
        </is>
      </c>
      <c r="B1504" t="inlineStr">
        <is>
          <t>TSLL US 09/18/26 P21</t>
        </is>
      </c>
      <c r="C1504" t="inlineStr">
        <is>
          <t>2026-09-18</t>
        </is>
      </c>
      <c r="D1504" t="n">
        <v>21</v>
      </c>
      <c r="E1504" t="inlineStr">
        <is>
          <t>BBG01ZN379P5</t>
        </is>
      </c>
    </row>
    <row r="1505">
      <c r="A1505" t="inlineStr">
        <is>
          <t>BBG01ZN37H59 Equity</t>
        </is>
      </c>
      <c r="B1505" t="inlineStr">
        <is>
          <t>TSLL US 09/18/26 P22</t>
        </is>
      </c>
      <c r="C1505" t="inlineStr">
        <is>
          <t>2026-09-18</t>
        </is>
      </c>
      <c r="D1505" t="n">
        <v>22</v>
      </c>
      <c r="E1505" t="inlineStr">
        <is>
          <t>BBG01ZN37H59</t>
        </is>
      </c>
    </row>
    <row r="1506">
      <c r="A1506" t="inlineStr">
        <is>
          <t>BBG01ZN37M76 Equity</t>
        </is>
      </c>
      <c r="B1506" t="inlineStr">
        <is>
          <t>TSLL US 09/18/26 P23</t>
        </is>
      </c>
      <c r="C1506" t="inlineStr">
        <is>
          <t>2026-09-18</t>
        </is>
      </c>
      <c r="D1506" t="n">
        <v>23</v>
      </c>
      <c r="E1506" t="inlineStr">
        <is>
          <t>BBG01ZN37M76</t>
        </is>
      </c>
    </row>
    <row r="1507">
      <c r="A1507" t="inlineStr">
        <is>
          <t>BBG01ZN37K07 Equity</t>
        </is>
      </c>
      <c r="B1507" t="inlineStr">
        <is>
          <t>TSLL US 09/18/26 P24</t>
        </is>
      </c>
      <c r="C1507" t="inlineStr">
        <is>
          <t>2026-09-18</t>
        </is>
      </c>
      <c r="D1507" t="n">
        <v>24</v>
      </c>
      <c r="E1507" t="inlineStr">
        <is>
          <t>BBG01ZN37K07</t>
        </is>
      </c>
    </row>
    <row r="1508">
      <c r="A1508" t="inlineStr">
        <is>
          <t>BBG01ZN3HSK7 Equity</t>
        </is>
      </c>
      <c r="B1508" t="inlineStr">
        <is>
          <t>TSLL US 09/18/26 P25</t>
        </is>
      </c>
      <c r="C1508" t="inlineStr">
        <is>
          <t>2026-09-18</t>
        </is>
      </c>
      <c r="D1508" t="n">
        <v>25</v>
      </c>
      <c r="E1508" t="inlineStr">
        <is>
          <t>BBG01ZN3HSK7</t>
        </is>
      </c>
    </row>
    <row r="1509">
      <c r="A1509" t="inlineStr">
        <is>
          <t>BBG01ZN37HS4 Equity</t>
        </is>
      </c>
      <c r="B1509" t="inlineStr">
        <is>
          <t>TSLL US 09/18/26 P26</t>
        </is>
      </c>
      <c r="C1509" t="inlineStr">
        <is>
          <t>2026-09-18</t>
        </is>
      </c>
      <c r="D1509" t="n">
        <v>26</v>
      </c>
      <c r="E1509" t="inlineStr">
        <is>
          <t>BBG01ZN37HS4</t>
        </is>
      </c>
    </row>
    <row r="1510">
      <c r="A1510" t="inlineStr">
        <is>
          <t>BBG01ZN37B98 Equity</t>
        </is>
      </c>
      <c r="B1510" t="inlineStr">
        <is>
          <t>TSLL US 09/18/26 P27</t>
        </is>
      </c>
      <c r="C1510" t="inlineStr">
        <is>
          <t>2026-09-18</t>
        </is>
      </c>
      <c r="D1510" t="n">
        <v>27</v>
      </c>
      <c r="E1510" t="inlineStr">
        <is>
          <t>BBG01ZN37B98</t>
        </is>
      </c>
    </row>
    <row r="1511">
      <c r="A1511" t="inlineStr">
        <is>
          <t>BBG01ZN3JHW6 Equity</t>
        </is>
      </c>
      <c r="B1511" t="inlineStr">
        <is>
          <t>TSLL US 09/18/26 P28</t>
        </is>
      </c>
      <c r="C1511" t="inlineStr">
        <is>
          <t>2026-09-18</t>
        </is>
      </c>
      <c r="D1511" t="n">
        <v>28</v>
      </c>
      <c r="E1511" t="inlineStr">
        <is>
          <t>BBG01ZN3JHW6</t>
        </is>
      </c>
    </row>
    <row r="1512">
      <c r="A1512" t="inlineStr">
        <is>
          <t>BBG01ZN37KD3 Equity</t>
        </is>
      </c>
      <c r="B1512" t="inlineStr">
        <is>
          <t>TSLL US 09/18/26 P29</t>
        </is>
      </c>
      <c r="C1512" t="inlineStr">
        <is>
          <t>2026-09-18</t>
        </is>
      </c>
      <c r="D1512" t="n">
        <v>29</v>
      </c>
      <c r="E1512" t="inlineStr">
        <is>
          <t>BBG01ZN37KD3</t>
        </is>
      </c>
    </row>
    <row r="1513">
      <c r="A1513" t="inlineStr">
        <is>
          <t>BBG01ZSS5D69 Equity</t>
        </is>
      </c>
      <c r="B1513" t="inlineStr">
        <is>
          <t>TSLL US 09/18/26 P30</t>
        </is>
      </c>
      <c r="C1513" t="inlineStr">
        <is>
          <t>2026-09-18</t>
        </is>
      </c>
      <c r="D1513" t="n">
        <v>30</v>
      </c>
      <c r="E1513" t="inlineStr">
        <is>
          <t>BBG01ZSS5D69</t>
        </is>
      </c>
    </row>
    <row r="1514">
      <c r="A1514" t="inlineStr">
        <is>
          <t>BBG01ZTRXYT8 Equity</t>
        </is>
      </c>
      <c r="B1514" t="inlineStr">
        <is>
          <t>TSLL US 09/18/26 P35</t>
        </is>
      </c>
      <c r="C1514" t="inlineStr">
        <is>
          <t>2026-09-18</t>
        </is>
      </c>
      <c r="D1514" t="n">
        <v>35</v>
      </c>
      <c r="E1514" t="inlineStr">
        <is>
          <t>BBG01ZTRXYT8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t="inlineStr">
        <is>
          <t>TSLL puts closing prices -- FULL Bloomberg BDH workbook</t>
        </is>
      </c>
    </row>
    <row r="2"/>
    <row r="3">
      <c r="A3" t="inlineStr">
        <is>
          <t>Batched into sheets of 200 securities (800 columns each).</t>
        </is>
      </c>
    </row>
    <row r="4">
      <c r="A4" t="inlineStr">
        <is>
          <t>Each security gets a [Date | PX_LAST | PX_VOLUME | blank] block with one</t>
        </is>
      </c>
    </row>
    <row r="5">
      <c r="A5">
        <f>BDH() formula in row 3 that spills downward.</f>
        <v/>
      </c>
    </row>
    <row r="6"/>
    <row r="7">
      <c r="A7" t="inlineStr">
        <is>
          <t>Per-batch workflow (do ONE sheet at a time):</t>
        </is>
      </c>
    </row>
    <row r="8">
      <c r="A8" t="inlineStr">
        <is>
          <t xml:space="preserve">  1. Open the 'Batch_NN' sheet. Formulas evaluate automatically if</t>
        </is>
      </c>
    </row>
    <row r="9">
      <c r="A9" t="inlineStr">
        <is>
          <t xml:space="preserve">     connected to a live Bloomberg Terminal (replace #NAME? with data).</t>
        </is>
      </c>
    </row>
    <row r="10">
      <c r="A10" t="inlineStr">
        <is>
          <t xml:space="preserve">  2. Wait for all blocks to finish spilling (no more #N/A Requesting...).</t>
        </is>
      </c>
    </row>
    <row r="11">
      <c r="A11" t="inlineStr">
        <is>
          <t xml:space="preserve">  3. Select the whole sheet -&gt; Copy -&gt; Paste Special -&gt; Values, to</t>
        </is>
      </c>
    </row>
    <row r="12">
      <c r="A12" t="inlineStr">
        <is>
          <t xml:space="preserve">     freeze the results (so they don't re-query / break on next open).</t>
        </is>
      </c>
    </row>
    <row r="13">
      <c r="A13" t="inlineStr">
        <is>
          <t xml:space="preserve">  4. Save. Move to the next Batch_NN sheet.</t>
        </is>
      </c>
    </row>
    <row r="14"/>
    <row r="15">
      <c r="A15" t="inlineStr">
        <is>
          <t>If a batch is slow/unreliable, reduce BATCH_SIZE in</t>
        </is>
      </c>
    </row>
    <row r="16">
      <c r="A16" t="inlineStr">
        <is>
          <t>excel_formula/scripts/05_prep_ticker_bdh_full.py and regenerate -- this is</t>
        </is>
      </c>
    </row>
    <row r="17">
      <c r="A17" t="inlineStr">
        <is>
          <t>free and instant (no API cost, pure local formula generation).</t>
        </is>
      </c>
    </row>
    <row r="18"/>
    <row r="19">
      <c r="A19" t="inlineStr">
        <is>
          <t>The 'Securities' sheet lists every (RAW_ID, expiry, strike) in the same</t>
        </is>
      </c>
    </row>
    <row r="20">
      <c r="A20" t="inlineStr">
        <is>
          <t>order the batches were built, for reference when merging results back</t>
        </is>
      </c>
    </row>
    <row r="21">
      <c r="A21" t="inlineStr">
        <is>
          <t>with the Databento-resolved contract mapping (kept outside this repo).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S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BBG0199KSM51 Equity (TSLL US 10/21/22 P15)</t>
        </is>
      </c>
      <c r="E1" t="inlineStr">
        <is>
          <t>BBG0198P70B5 Equity (TSLL US 10/21/22 P17)</t>
        </is>
      </c>
      <c r="I1" t="inlineStr">
        <is>
          <t>BBG0198P70L4 Equity (TSLL US 10/21/22 P18)</t>
        </is>
      </c>
      <c r="M1" t="inlineStr">
        <is>
          <t>BBG0198P70V3 Equity (TSLL US 10/21/22 P19)</t>
        </is>
      </c>
      <c r="Q1" t="inlineStr">
        <is>
          <t>BBG0198P7132 Equity (TSLL US 10/21/22 P20)</t>
        </is>
      </c>
      <c r="U1" t="inlineStr">
        <is>
          <t>BBG0198P71C2 Equity (TSLL US 10/21/22 P21)</t>
        </is>
      </c>
      <c r="Y1" t="inlineStr">
        <is>
          <t>BBG0198P71M1 Equity (TSLL US 10/21/22 P22)</t>
        </is>
      </c>
      <c r="AC1" t="inlineStr">
        <is>
          <t>BBG0198P71W0 Equity (TSLL US 10/21/22 P23)</t>
        </is>
      </c>
      <c r="AG1" t="inlineStr">
        <is>
          <t>BBG0198P7249 Equity (TSLL US 10/21/22 P24)</t>
        </is>
      </c>
      <c r="AK1" t="inlineStr">
        <is>
          <t>BBG0198P72F7 Equity (TSLL US 10/21/22 P25)</t>
        </is>
      </c>
      <c r="AO1" t="inlineStr">
        <is>
          <t>BBG0198P72P6 Equity (TSLL US 10/21/22 P26)</t>
        </is>
      </c>
      <c r="AS1" t="inlineStr">
        <is>
          <t>BBG0198P72Y6 Equity (TSLL US 10/21/22 P27)</t>
        </is>
      </c>
      <c r="AW1" t="inlineStr">
        <is>
          <t>BBG0198P7365 Equity (TSLL US 10/21/22 P28)</t>
        </is>
      </c>
      <c r="BA1" t="inlineStr">
        <is>
          <t>BBG0198P73G4 Equity (TSLL US 10/21/22 P29)</t>
        </is>
      </c>
      <c r="BE1" t="inlineStr">
        <is>
          <t>BBG0198P73Q3 Equity (TSLL US 10/21/22 P30)</t>
        </is>
      </c>
      <c r="BI1" t="inlineStr">
        <is>
          <t>BBG0198P73Z3 Equity (TSLL US 10/21/22 P31)</t>
        </is>
      </c>
      <c r="BM1" t="inlineStr">
        <is>
          <t>BBG0198P7472 Equity (TSLL US 10/21/22 P32)</t>
        </is>
      </c>
      <c r="BQ1" t="inlineStr">
        <is>
          <t>BBG0198P74H1 Equity (TSLL US 10/21/22 P33)</t>
        </is>
      </c>
      <c r="BU1" t="inlineStr">
        <is>
          <t>BBG0198P74R0 Equity (TSLL US 10/21/22 P34)</t>
        </is>
      </c>
      <c r="BY1" t="inlineStr">
        <is>
          <t>BBG0198P7506 Equity (TSLL US 10/21/22 P35)</t>
        </is>
      </c>
      <c r="CC1" t="inlineStr">
        <is>
          <t>BBG0198P7588 Equity (TSLL US 10/21/22 P36)</t>
        </is>
      </c>
      <c r="CG1" t="inlineStr">
        <is>
          <t>BBG0198P75J6 Equity (TSLL US 10/21/22 P37)</t>
        </is>
      </c>
      <c r="CK1" t="inlineStr">
        <is>
          <t>BBG019RDSKB4 Equity (TSLL US 10/21/22 P40)</t>
        </is>
      </c>
      <c r="CO1" t="inlineStr">
        <is>
          <t>BBG019P3V741 Equity (TSLL US 11/18/22 P15)</t>
        </is>
      </c>
      <c r="CS1" t="inlineStr">
        <is>
          <t>BBG019P3V7P8 Equity (TSLL US 11/18/22 P16)</t>
        </is>
      </c>
      <c r="CW1" t="inlineStr">
        <is>
          <t>BBG019P3V867 Equity (TSLL US 11/18/22 P17)</t>
        </is>
      </c>
      <c r="DA1" t="inlineStr">
        <is>
          <t>BBG019P3V8Q5 Equity (TSLL US 11/18/22 P18)</t>
        </is>
      </c>
      <c r="DE1" t="inlineStr">
        <is>
          <t>BBG019P3V974 Equity (TSLL US 11/18/22 P19)</t>
        </is>
      </c>
      <c r="DI1" t="inlineStr">
        <is>
          <t>BBG019P3V9R2 Equity (TSLL US 11/18/22 P20)</t>
        </is>
      </c>
      <c r="DM1" t="inlineStr">
        <is>
          <t>BBG019P3VB88 Equity (TSLL US 11/18/22 P21)</t>
        </is>
      </c>
      <c r="DQ1" t="inlineStr">
        <is>
          <t>BBG019P3VBS6 Equity (TSLL US 11/18/22 P22)</t>
        </is>
      </c>
      <c r="DU1" t="inlineStr">
        <is>
          <t>BBG019P3VCB2 Equity (TSLL US 11/18/22 P23)</t>
        </is>
      </c>
      <c r="DY1" t="inlineStr">
        <is>
          <t>BBG019P3VCV0 Equity (TSLL US 11/18/22 P24)</t>
        </is>
      </c>
      <c r="EC1" t="inlineStr">
        <is>
          <t>BBG019P3VDC9 Equity (TSLL US 11/18/22 P25)</t>
        </is>
      </c>
      <c r="EG1" t="inlineStr">
        <is>
          <t>BBG019P3VDW7 Equity (TSLL US 11/18/22 P26)</t>
        </is>
      </c>
      <c r="EK1" t="inlineStr">
        <is>
          <t>BBG019P3VFD3 Equity (TSLL US 11/18/22 P27)</t>
        </is>
      </c>
      <c r="EO1" t="inlineStr">
        <is>
          <t>BBG019P3VFX1 Equity (TSLL US 11/18/22 P28)</t>
        </is>
      </c>
      <c r="ES1" t="inlineStr">
        <is>
          <t>BBG019P3VGG8 Equity (TSLL US 11/18/22 P29)</t>
        </is>
      </c>
      <c r="EW1" t="inlineStr">
        <is>
          <t>BBG019P3VGZ7 Equity (TSLL US 11/18/22 P30)</t>
        </is>
      </c>
      <c r="FA1" t="inlineStr">
        <is>
          <t>BBG019P3VHH5 Equity (TSLL US 11/18/22 P31)</t>
        </is>
      </c>
      <c r="FE1" t="inlineStr">
        <is>
          <t>BBG019P3VJ09 Equity (TSLL US 11/18/22 P32)</t>
        </is>
      </c>
      <c r="FI1" t="inlineStr">
        <is>
          <t>BBG019P3VJJ9 Equity (TSLL US 11/18/22 P33)</t>
        </is>
      </c>
      <c r="FM1" t="inlineStr">
        <is>
          <t>BBG019P3VK15 Equity (TSLL US 11/18/22 P34)</t>
        </is>
      </c>
      <c r="FQ1" t="inlineStr">
        <is>
          <t>BBG019P3VKL3 Equity (TSLL US 11/18/22 P35)</t>
        </is>
      </c>
      <c r="FU1" t="inlineStr">
        <is>
          <t>BBG019RDSKV2 Equity (TSLL US 11/18/22 P40)</t>
        </is>
      </c>
      <c r="FY1" t="inlineStr">
        <is>
          <t>BBG01949S2N5 Equity (TSLL US 12/16/22 P15)</t>
        </is>
      </c>
      <c r="GC1" t="inlineStr">
        <is>
          <t>BBG01949S2X4 Equity (TSLL US 12/16/22 P16)</t>
        </is>
      </c>
      <c r="GG1" t="inlineStr">
        <is>
          <t>BBG01949S353 Equity (TSLL US 12/16/22 P17)</t>
        </is>
      </c>
      <c r="GK1" t="inlineStr">
        <is>
          <t>BBG01949S3F2 Equity (TSLL US 12/16/22 P18)</t>
        </is>
      </c>
      <c r="GO1" t="inlineStr">
        <is>
          <t>BBG01949S3P1 Equity (TSLL US 12/16/22 P19)</t>
        </is>
      </c>
      <c r="GS1" t="inlineStr">
        <is>
          <t>BBG01949S3Y1 Equity (TSLL US 12/16/22 P20)</t>
        </is>
      </c>
      <c r="GW1" t="inlineStr">
        <is>
          <t>BBG01949S460 Equity (TSLL US 12/16/22 P21)</t>
        </is>
      </c>
      <c r="HA1" t="inlineStr">
        <is>
          <t>BBG01949S4G9 Equity (TSLL US 12/16/22 P22)</t>
        </is>
      </c>
      <c r="HE1" t="inlineStr">
        <is>
          <t>BBG01949S4Q8 Equity (TSLL US 12/16/22 P23)</t>
        </is>
      </c>
      <c r="HI1" t="inlineStr">
        <is>
          <t>BBG01949S503 Equity (TSLL US 12/16/22 P24)</t>
        </is>
      </c>
      <c r="HM1" t="inlineStr">
        <is>
          <t>BBG01949S585 Equity (TSLL US 12/16/22 P25)</t>
        </is>
      </c>
      <c r="HQ1" t="inlineStr">
        <is>
          <t>BBG01949S5J3 Equity (TSLL US 12/16/22 P26)</t>
        </is>
      </c>
      <c r="HU1" t="inlineStr">
        <is>
          <t>BBG01949S5S3 Equity (TSLL US 12/16/22 P27)</t>
        </is>
      </c>
      <c r="HY1" t="inlineStr">
        <is>
          <t>BBG01949S610 Equity (TSLL US 12/16/22 P28)</t>
        </is>
      </c>
      <c r="IC1" t="inlineStr">
        <is>
          <t>BBG01949S692 Equity (TSLL US 12/16/22 P29)</t>
        </is>
      </c>
      <c r="IG1" t="inlineStr">
        <is>
          <t>BBG01949S6K9 Equity (TSLL US 12/16/22 P30)</t>
        </is>
      </c>
      <c r="IK1" t="inlineStr">
        <is>
          <t>BBG0199KSMF0 Equity (TSLL US 12/16/22 P35)</t>
        </is>
      </c>
      <c r="IO1" t="inlineStr">
        <is>
          <t>BBG019RDSLC1 Equity (TSLL US 12/16/22 P40)</t>
        </is>
      </c>
      <c r="IS1" t="inlineStr">
        <is>
          <t>BBG01C5CPPW2 Equity (TSLL US 01/20/23 P1)</t>
        </is>
      </c>
      <c r="IW1" t="inlineStr">
        <is>
          <t>BBG01C5CPQN0 Equity (TSLL US 01/20/23 P2)</t>
        </is>
      </c>
      <c r="JA1" t="inlineStr">
        <is>
          <t>BBG01BL96K28 Equity (TSLL US 01/20/23 P3)</t>
        </is>
      </c>
      <c r="JE1" t="inlineStr">
        <is>
          <t>BBG01BL96KS0 Equity (TSLL US 01/20/23 P4)</t>
        </is>
      </c>
      <c r="JI1" t="inlineStr">
        <is>
          <t>BBG01BL96LH0 Equity (TSLL US 01/20/23 P5)</t>
        </is>
      </c>
      <c r="JM1" t="inlineStr">
        <is>
          <t>BBG01BL96M79 Equity (TSLL US 01/20/23 P6)</t>
        </is>
      </c>
      <c r="JQ1" t="inlineStr">
        <is>
          <t>BBG01BL96MY9 Equity (TSLL US 01/20/23 P7)</t>
        </is>
      </c>
      <c r="JU1" t="inlineStr">
        <is>
          <t>BBG01BL96NN9 Equity (TSLL US 01/20/23 P8)</t>
        </is>
      </c>
      <c r="JY1" t="inlineStr">
        <is>
          <t>BBG01BL96PC6 Equity (TSLL US 01/20/23 P9)</t>
        </is>
      </c>
      <c r="KC1" t="inlineStr">
        <is>
          <t>BBG01BL96Q25 Equity (TSLL US 01/20/23 P10)</t>
        </is>
      </c>
      <c r="KG1" t="inlineStr">
        <is>
          <t>BBG01BL96QV3 Equity (TSLL US 01/20/23 P11)</t>
        </is>
      </c>
      <c r="KK1" t="inlineStr">
        <is>
          <t>BBG01BL96RK3 Equity (TSLL US 01/20/23 P12)</t>
        </is>
      </c>
      <c r="KO1" t="inlineStr">
        <is>
          <t>BBG01BL96S85 Equity (TSLL US 01/20/23 P13)</t>
        </is>
      </c>
      <c r="KS1" t="inlineStr">
        <is>
          <t>BBG01BL96SZ5 Equity (TSLL US 01/20/23 P14)</t>
        </is>
      </c>
      <c r="KW1" t="inlineStr">
        <is>
          <t>BBG01BL96TQ3 Equity (TSLL US 01/20/23 P15)</t>
        </is>
      </c>
      <c r="LA1" t="inlineStr">
        <is>
          <t>BBG01BL96VF0 Equity (TSLL US 01/20/23 P16)</t>
        </is>
      </c>
      <c r="LE1" t="inlineStr">
        <is>
          <t>BBG01BL96W40 Equity (TSLL US 01/20/23 P17)</t>
        </is>
      </c>
      <c r="LI1" t="inlineStr">
        <is>
          <t>BBG01BL96WV0 Equity (TSLL US 01/20/23 P18)</t>
        </is>
      </c>
      <c r="LM1" t="inlineStr">
        <is>
          <t>BBG01BL96XK0 Equity (TSLL US 01/20/23 P19)</t>
        </is>
      </c>
      <c r="LQ1" t="inlineStr">
        <is>
          <t>BBG01BL96Y91 Equity (TSLL US 01/20/23 P20)</t>
        </is>
      </c>
      <c r="LU1" t="inlineStr">
        <is>
          <t>BBG01BL96Z07 Equity (TSLL US 01/20/23 P21)</t>
        </is>
      </c>
      <c r="LY1" t="inlineStr">
        <is>
          <t>BBG01BL96ZQ9 Equity (TSLL US 01/20/23 P22)</t>
        </is>
      </c>
      <c r="MC1" t="inlineStr">
        <is>
          <t>BBG01BL970F7 Equity (TSLL US 01/20/23 P23)</t>
        </is>
      </c>
      <c r="MG1" t="inlineStr">
        <is>
          <t>BBG01C0YQ0S8 Equity (TSLL US 02/17/23 P1)</t>
        </is>
      </c>
      <c r="MK1" t="inlineStr">
        <is>
          <t>BBG01C0YQ1K4 Equity (TSLL US 02/17/23 P2)</t>
        </is>
      </c>
      <c r="MO1" t="inlineStr">
        <is>
          <t>BBG01C0YQ2C1 Equity (TSLL US 02/17/23 P3)</t>
        </is>
      </c>
      <c r="MS1" t="inlineStr">
        <is>
          <t>BBG01C0YQ348 Equity (TSLL US 02/17/23 P4)</t>
        </is>
      </c>
      <c r="MW1" t="inlineStr">
        <is>
          <t>BBG01C0YQ3X6 Equity (TSLL US 02/17/23 P5)</t>
        </is>
      </c>
      <c r="NA1" t="inlineStr">
        <is>
          <t>BBG01C0YQ4P3 Equity (TSLL US 02/17/23 P6)</t>
        </is>
      </c>
      <c r="NE1" t="inlineStr">
        <is>
          <t>BBG01C0YQ5H9 Equity (TSLL US 02/17/23 P7)</t>
        </is>
      </c>
      <c r="NI1" t="inlineStr">
        <is>
          <t>BBG01C0YQ687 Equity (TSLL US 02/17/23 P8)</t>
        </is>
      </c>
      <c r="NM1" t="inlineStr">
        <is>
          <t>BBG01C0YQ712 Equity (TSLL US 02/17/23 P9)</t>
        </is>
      </c>
      <c r="NQ1" t="inlineStr">
        <is>
          <t>BBG01C0YQ7T2 Equity (TSLL US 02/17/23 P10)</t>
        </is>
      </c>
      <c r="NU1" t="inlineStr">
        <is>
          <t>BBG01C0YQ8N6 Equity (TSLL US 02/17/23 P11)</t>
        </is>
      </c>
      <c r="NY1" t="inlineStr">
        <is>
          <t>BBG01C0YQ9F3 Equity (TSLL US 02/17/23 P12)</t>
        </is>
      </c>
      <c r="OC1" t="inlineStr">
        <is>
          <t>BBG01C0YQB68 Equity (TSLL US 02/17/23 P13)</t>
        </is>
      </c>
      <c r="OG1" t="inlineStr">
        <is>
          <t>BBG01C0YQBZ6 Equity (TSLL US 02/17/23 P14)</t>
        </is>
      </c>
      <c r="OK1" t="inlineStr">
        <is>
          <t>BBG01C0YQCT1 Equity (TSLL US 02/17/23 P15)</t>
        </is>
      </c>
      <c r="OO1" t="inlineStr">
        <is>
          <t>BBG01C0YQDL7 Equity (TSLL US 02/17/23 P16)</t>
        </is>
      </c>
      <c r="OS1" t="inlineStr">
        <is>
          <t>BBG01C0YQFC2 Equity (TSLL US 02/17/23 P17)</t>
        </is>
      </c>
      <c r="OW1" t="inlineStr">
        <is>
          <t>BBG01C0YQG49 Equity (TSLL US 02/17/23 P18)</t>
        </is>
      </c>
      <c r="PA1" t="inlineStr">
        <is>
          <t>BBG01C0YQGY6 Equity (TSLL US 02/17/23 P19)</t>
        </is>
      </c>
      <c r="PE1" t="inlineStr">
        <is>
          <t>BBG01C0YQHQ3 Equity (TSLL US 02/17/23 P20)</t>
        </is>
      </c>
      <c r="PI1" t="inlineStr">
        <is>
          <t>BBG01BNH4RH9 Equity (TSLL US 03/17/23 P1)</t>
        </is>
      </c>
      <c r="PM1" t="inlineStr">
        <is>
          <t>BBG01BNH4S69 Equity (TSLL US 03/17/23 P2)</t>
        </is>
      </c>
      <c r="PQ1" t="inlineStr">
        <is>
          <t>BBG01BHCHZJ3 Equity (TSLL US 03/17/23 P3)</t>
        </is>
      </c>
      <c r="PU1" t="inlineStr">
        <is>
          <t>BBG01BHCJ071 Equity (TSLL US 03/17/23 P4)</t>
        </is>
      </c>
      <c r="PY1" t="inlineStr">
        <is>
          <t>BBG019YT4BJ9 Equity (TSLL US 03/17/23 P5)</t>
        </is>
      </c>
      <c r="QC1" t="inlineStr">
        <is>
          <t>BBG01BHCJ0Y1 Equity (TSLL US 03/17/23 P6)</t>
        </is>
      </c>
      <c r="QG1" t="inlineStr">
        <is>
          <t>BBG01BHCJ1N1 Equity (TSLL US 03/17/23 P7)</t>
        </is>
      </c>
      <c r="QK1" t="inlineStr">
        <is>
          <t>BBG019XLZTL1 Equity (TSLL US 03/17/23 P8)</t>
        </is>
      </c>
      <c r="QO1" t="inlineStr">
        <is>
          <t>BBG019XLZV90 Equity (TSLL US 03/17/23 P9)</t>
        </is>
      </c>
      <c r="QS1" t="inlineStr">
        <is>
          <t>BBG019XLZW07 Equity (TSLL US 03/17/23 P10)</t>
        </is>
      </c>
      <c r="QW1" t="inlineStr">
        <is>
          <t>BBG019XLZWQ9 Equity (TSLL US 03/17/23 P11)</t>
        </is>
      </c>
      <c r="RA1" t="inlineStr">
        <is>
          <t>BBG019XLZXF9 Equity (TSLL US 03/17/23 P12)</t>
        </is>
      </c>
      <c r="RE1" t="inlineStr">
        <is>
          <t>BBG019XLZY58 Equity (TSLL US 03/17/23 P13)</t>
        </is>
      </c>
      <c r="RI1" t="inlineStr">
        <is>
          <t>BBG019XLZYW8 Equity (TSLL US 03/17/23 P14)</t>
        </is>
      </c>
      <c r="RM1" t="inlineStr">
        <is>
          <t>BBG01949S6T0 Equity (TSLL US 03/17/23 P15)</t>
        </is>
      </c>
      <c r="RQ1" t="inlineStr">
        <is>
          <t>BBG01949S727 Equity (TSLL US 03/17/23 P16)</t>
        </is>
      </c>
      <c r="RU1" t="inlineStr">
        <is>
          <t>BBG01949S7B7 Equity (TSLL US 03/17/23 P17)</t>
        </is>
      </c>
      <c r="RY1" t="inlineStr">
        <is>
          <t>BBG01949S7L6 Equity (TSLL US 03/17/23 P18)</t>
        </is>
      </c>
      <c r="SC1" t="inlineStr">
        <is>
          <t>BBG01949S7V5 Equity (TSLL US 03/17/23 P19)</t>
        </is>
      </c>
      <c r="SG1" t="inlineStr">
        <is>
          <t>BBG01949S843 Equity (TSLL US 03/17/23 P20)</t>
        </is>
      </c>
      <c r="SK1" t="inlineStr">
        <is>
          <t>BBG01949S8D3 Equity (TSLL US 03/17/23 P21)</t>
        </is>
      </c>
      <c r="SO1" t="inlineStr">
        <is>
          <t>BBG01949S8N2 Equity (TSLL US 03/17/23 P22)</t>
        </is>
      </c>
      <c r="SS1" t="inlineStr">
        <is>
          <t>BBG01949S8X1 Equity (TSLL US 03/17/23 P23)</t>
        </is>
      </c>
      <c r="SW1" t="inlineStr">
        <is>
          <t>BBG01949S950 Equity (TSLL US 03/17/23 P24)</t>
        </is>
      </c>
      <c r="TA1" t="inlineStr">
        <is>
          <t>BBG01949S9F9 Equity (TSLL US 03/17/23 P25)</t>
        </is>
      </c>
      <c r="TE1" t="inlineStr">
        <is>
          <t>BBG01949S9P8 Equity (TSLL US 03/17/23 P26)</t>
        </is>
      </c>
      <c r="TI1" t="inlineStr">
        <is>
          <t>BBG01949S9Y8 Equity (TSLL US 03/17/23 P27)</t>
        </is>
      </c>
      <c r="TM1" t="inlineStr">
        <is>
          <t>BBG01949SB64 Equity (TSLL US 03/17/23 P28)</t>
        </is>
      </c>
      <c r="TQ1" t="inlineStr">
        <is>
          <t>BBG01949SBG3 Equity (TSLL US 03/17/23 P29)</t>
        </is>
      </c>
      <c r="TU1" t="inlineStr">
        <is>
          <t>BBG01949SBQ2 Equity (TSLL US 03/17/23 P30)</t>
        </is>
      </c>
      <c r="TY1" t="inlineStr">
        <is>
          <t>BBG0199KSMP9 Equity (TSLL US 03/17/23 P35)</t>
        </is>
      </c>
      <c r="UC1" t="inlineStr">
        <is>
          <t>BBG019RDSLW9 Equity (TSLL US 03/17/23 P40)</t>
        </is>
      </c>
      <c r="UG1" t="inlineStr">
        <is>
          <t>BBG01FV6CDC2 Equity (TSLL US 04/21/23 P1)</t>
        </is>
      </c>
      <c r="UK1" t="inlineStr">
        <is>
          <t>BBG01FBTLRS6 Equity (TSLL US 04/21/23 P2.5)</t>
        </is>
      </c>
      <c r="UO1" t="inlineStr">
        <is>
          <t>BBG01FBTLSR5 Equity (TSLL US 04/21/23 P4)</t>
        </is>
      </c>
      <c r="US1" t="inlineStr">
        <is>
          <t>BBG01FBTLTQ4 Equity (TSLL US 04/21/23 P5)</t>
        </is>
      </c>
      <c r="UW1" t="inlineStr">
        <is>
          <t>BBG01FBTLVQ9 Equity (TSLL US 04/21/23 P6)</t>
        </is>
      </c>
      <c r="VA1" t="inlineStr">
        <is>
          <t>BBG01FBTLWP8 Equity (TSLL US 04/21/23 P7.5)</t>
        </is>
      </c>
      <c r="VE1" t="inlineStr">
        <is>
          <t>BBG01G2LYG92 Equity (TSLL US 04/21/23 P8)</t>
        </is>
      </c>
      <c r="VI1" t="inlineStr">
        <is>
          <t>BBG01G2LYH81 Equity (TSLL US 04/21/23 P8.5)</t>
        </is>
      </c>
      <c r="VM1" t="inlineStr">
        <is>
          <t>BBG01FBTLXN8 Equity (TSLL US 04/21/23 P9)</t>
        </is>
      </c>
      <c r="VQ1" t="inlineStr">
        <is>
          <t>BBG01G2LYJ78 Equity (TSLL US 04/21/23 P9.5)</t>
        </is>
      </c>
      <c r="VU1" t="inlineStr">
        <is>
          <t>BBG01FBTLYN6 Equity (TSLL US 04/21/23 P10)</t>
        </is>
      </c>
      <c r="VY1" t="inlineStr">
        <is>
          <t>BBG01G2LYK75 Equity (TSLL US 04/21/23 P10.5)</t>
        </is>
      </c>
      <c r="WC1" t="inlineStr">
        <is>
          <t>BBG01FBTLZM4 Equity (TSLL US 04/21/23 P11)</t>
        </is>
      </c>
      <c r="WG1" t="inlineStr">
        <is>
          <t>BBG01G2LYL64 Equity (TSLL US 04/21/23 P11.5)</t>
        </is>
      </c>
      <c r="WK1" t="inlineStr">
        <is>
          <t>BBG01FBTM0L1 Equity (TSLL US 04/21/23 P12)</t>
        </is>
      </c>
      <c r="WO1" t="inlineStr">
        <is>
          <t>BBG01G2LYM53 Equity (TSLL US 04/21/23 P12.5)</t>
        </is>
      </c>
      <c r="WS1" t="inlineStr">
        <is>
          <t>BBG01FBTM1L9 Equity (TSLL US 04/21/23 P13)</t>
        </is>
      </c>
      <c r="WW1" t="inlineStr">
        <is>
          <t>BBG01G2LYN51 Equity (TSLL US 04/21/23 P13.5)</t>
        </is>
      </c>
      <c r="XA1" t="inlineStr">
        <is>
          <t>BBG01FBTM2K8 Equity (TSLL US 04/21/23 P14)</t>
        </is>
      </c>
      <c r="XE1" t="inlineStr">
        <is>
          <t>BBG01G2LYP47 Equity (TSLL US 04/21/23 P14.5)</t>
        </is>
      </c>
      <c r="XI1" t="inlineStr">
        <is>
          <t>BBG01FBTM3J8 Equity (TSLL US 04/21/23 P15)</t>
        </is>
      </c>
      <c r="XM1" t="inlineStr">
        <is>
          <t>BBG01G2LYQ36 Equity (TSLL US 04/21/23 P15.5)</t>
        </is>
      </c>
      <c r="XQ1" t="inlineStr">
        <is>
          <t>BBG01FBTM4H8 Equity (TSLL US 04/21/23 P16)</t>
        </is>
      </c>
      <c r="XU1" t="inlineStr">
        <is>
          <t>BBG01FBTM5H5 Equity (TSLL US 04/21/23 P17.5)</t>
        </is>
      </c>
      <c r="XY1" t="inlineStr">
        <is>
          <t>BBG01FBTM6G4 Equity (TSLL US 04/21/23 P19)</t>
        </is>
      </c>
      <c r="YC1" t="inlineStr">
        <is>
          <t>BBG01FBTM7F3 Equity (TSLL US 04/21/23 P20)</t>
        </is>
      </c>
      <c r="YG1" t="inlineStr">
        <is>
          <t>BBG01FBTM8F1 Equity (TSLL US 04/21/23 P21)</t>
        </is>
      </c>
      <c r="YK1" t="inlineStr">
        <is>
          <t>BBG01FBTM9D1 Equity (TSLL US 04/21/23 P22.5)</t>
        </is>
      </c>
      <c r="YO1" t="inlineStr">
        <is>
          <t>BBG01FKHFNZ0 Equity (TSLL US 04/21/23 P24)</t>
        </is>
      </c>
      <c r="YS1" t="inlineStr">
        <is>
          <t>BBG01FBTMBC7 Equity (TSLL US 04/21/23 P25)</t>
        </is>
      </c>
      <c r="YW1" t="inlineStr">
        <is>
          <t>BBG01FZ9V592 Equity (TSLL US 05/19/23 P1)</t>
        </is>
      </c>
      <c r="ZA1" t="inlineStr">
        <is>
          <t>BBG01FZ9V681 Equity (TSLL US 05/19/23 P2)</t>
        </is>
      </c>
      <c r="ZE1" t="inlineStr">
        <is>
          <t>BBG01FXKSYW4 Equity (TSLL US 05/19/23 P3)</t>
        </is>
      </c>
      <c r="ZI1" t="inlineStr">
        <is>
          <t>BBG01FXKSZV2 Equity (TSLL US 05/19/23 P4)</t>
        </is>
      </c>
      <c r="ZM1" t="inlineStr">
        <is>
          <t>BBG01FXKT0T1 Equity (TSLL US 05/19/23 P5)</t>
        </is>
      </c>
      <c r="ZQ1" t="inlineStr">
        <is>
          <t>BBG01FXKT1T9 Equity (TSLL US 05/19/23 P6)</t>
        </is>
      </c>
      <c r="ZU1" t="inlineStr">
        <is>
          <t>BBG01FXKT2S8 Equity (TSLL US 05/19/23 P7)</t>
        </is>
      </c>
      <c r="ZY1" t="inlineStr">
        <is>
          <t>BBG01FXKT3R7 Equity (TSLL US 05/19/23 P8)</t>
        </is>
      </c>
      <c r="AAC1" t="inlineStr">
        <is>
          <t>BBG01FXKT4Q6 Equity (TSLL US 05/19/23 P9)</t>
        </is>
      </c>
      <c r="AAG1" t="inlineStr">
        <is>
          <t>BBG01FXKT5Q3 Equity (TSLL US 05/19/23 P10)</t>
        </is>
      </c>
      <c r="AAK1" t="inlineStr">
        <is>
          <t>BBG01FXKT6P2 Equity (TSLL US 05/19/23 P11)</t>
        </is>
      </c>
      <c r="AAO1" t="inlineStr">
        <is>
          <t>BBG01FXKT7N2 Equity (TSLL US 05/19/23 P12)</t>
        </is>
      </c>
      <c r="AAS1" t="inlineStr">
        <is>
          <t>BBG01FXKT8N0 Equity (TSLL US 05/19/23 P13)</t>
        </is>
      </c>
      <c r="AAW1" t="inlineStr">
        <is>
          <t>BBG01FXKT9M9 Equity (TSLL US 05/19/23 P14)</t>
        </is>
      </c>
      <c r="ABA1" t="inlineStr">
        <is>
          <t>BBG01FXKTBL5 Equity (TSLL US 05/19/23 P15)</t>
        </is>
      </c>
      <c r="ABE1" t="inlineStr">
        <is>
          <t>BBG01FXKTCL3 Equity (TSLL US 05/19/23 P16)</t>
        </is>
      </c>
      <c r="ABI1" t="inlineStr">
        <is>
          <t>BBG01FXKTDK2 Equity (TSLL US 05/19/23 P17)</t>
        </is>
      </c>
      <c r="ABM1" t="inlineStr">
        <is>
          <t>BBG01FXKTFJ9 Equity (TSLL US 05/19/23 P18)</t>
        </is>
      </c>
      <c r="ABQ1" t="inlineStr">
        <is>
          <t>BBG01FXKTGH9 Equity (TSLL US 05/19/23 P19)</t>
        </is>
      </c>
      <c r="ABU1" t="inlineStr">
        <is>
          <t>BBG01FY08LK0 Equity (TSLL US 05/19/23 P20)</t>
        </is>
      </c>
      <c r="ABY1" t="inlineStr">
        <is>
          <t>BBG01FZYDQH2 Equity (TSLL US 05/19/23 P21)</t>
        </is>
      </c>
      <c r="ACC1" t="inlineStr">
        <is>
          <t>BBG01G1KF9N6 Equity (TSLL US 05/19/23 P22)</t>
        </is>
      </c>
      <c r="ACG1" t="inlineStr">
        <is>
          <t>BBG01BNH4SX9 Equity (TSLL US 06/16/23 P1)</t>
        </is>
      </c>
      <c r="ACK1" t="inlineStr">
        <is>
          <t>BBG01BHCJ2D0 Equity (TSLL US 06/16/23 P2)</t>
        </is>
      </c>
      <c r="ACO1" t="inlineStr">
        <is>
          <t>BBG01BHCJ339 Equity (TSLL US 06/16/23 P3)</t>
        </is>
      </c>
      <c r="ACS1" t="inlineStr">
        <is>
          <t>BBG01BHCJ3T1 Equity (TSLL US 06/16/23 P4)</t>
        </is>
      </c>
      <c r="ACW1" t="inlineStr">
        <is>
          <t>BBG01B9WSP53 Equity (TSLL US 06/16/23 P5)</t>
        </is>
      </c>
      <c r="ADA1" t="inlineStr">
        <is>
          <t>BBG01B4PH327 Equity (TSLL US 06/16/23 P6)</t>
        </is>
      </c>
      <c r="ADE1" t="inlineStr">
        <is>
          <t>BBG01B4PH3S9 Equity (TSLL US 06/16/23 P7)</t>
        </is>
      </c>
      <c r="ADI1" t="inlineStr">
        <is>
          <t>BBG01B4PH4H9 Equity (TSLL US 06/16/23 P8)</t>
        </is>
      </c>
      <c r="ADM1" t="inlineStr">
        <is>
          <t>BBG01B4PH568 Equity (TSLL US 06/16/23 P9)</t>
        </is>
      </c>
      <c r="ADQ1" t="inlineStr">
        <is>
          <t>BBG01B4PH5Y7 Equity (TSLL US 06/16/23 P10)</t>
        </is>
      </c>
    </row>
    <row r="2">
      <c r="A2" t="inlineStr">
        <is>
          <t>Date</t>
        </is>
      </c>
      <c r="B2" t="inlineStr">
        <is>
          <t>PX_LAST</t>
        </is>
      </c>
      <c r="C2" t="inlineStr">
        <is>
          <t>PX_VOLUME</t>
        </is>
      </c>
      <c r="E2" t="inlineStr">
        <is>
          <t>Date</t>
        </is>
      </c>
      <c r="F2" t="inlineStr">
        <is>
          <t>PX_LAST</t>
        </is>
      </c>
      <c r="G2" t="inlineStr">
        <is>
          <t>PX_VOLUME</t>
        </is>
      </c>
      <c r="I2" t="inlineStr">
        <is>
          <t>Date</t>
        </is>
      </c>
      <c r="J2" t="inlineStr">
        <is>
          <t>PX_LAST</t>
        </is>
      </c>
      <c r="K2" t="inlineStr">
        <is>
          <t>PX_VOLUME</t>
        </is>
      </c>
      <c r="M2" t="inlineStr">
        <is>
          <t>Date</t>
        </is>
      </c>
      <c r="N2" t="inlineStr">
        <is>
          <t>PX_LAST</t>
        </is>
      </c>
      <c r="O2" t="inlineStr">
        <is>
          <t>PX_VOLUME</t>
        </is>
      </c>
      <c r="Q2" t="inlineStr">
        <is>
          <t>Date</t>
        </is>
      </c>
      <c r="R2" t="inlineStr">
        <is>
          <t>PX_LAST</t>
        </is>
      </c>
      <c r="S2" t="inlineStr">
        <is>
          <t>PX_VOLUME</t>
        </is>
      </c>
      <c r="U2" t="inlineStr">
        <is>
          <t>Date</t>
        </is>
      </c>
      <c r="V2" t="inlineStr">
        <is>
          <t>PX_LAST</t>
        </is>
      </c>
      <c r="W2" t="inlineStr">
        <is>
          <t>PX_VOLUME</t>
        </is>
      </c>
      <c r="Y2" t="inlineStr">
        <is>
          <t>Date</t>
        </is>
      </c>
      <c r="Z2" t="inlineStr">
        <is>
          <t>PX_LAST</t>
        </is>
      </c>
      <c r="AA2" t="inlineStr">
        <is>
          <t>PX_VOLUME</t>
        </is>
      </c>
      <c r="AC2" t="inlineStr">
        <is>
          <t>Date</t>
        </is>
      </c>
      <c r="AD2" t="inlineStr">
        <is>
          <t>PX_LAST</t>
        </is>
      </c>
      <c r="AE2" t="inlineStr">
        <is>
          <t>PX_VOLUME</t>
        </is>
      </c>
      <c r="AG2" t="inlineStr">
        <is>
          <t>Date</t>
        </is>
      </c>
      <c r="AH2" t="inlineStr">
        <is>
          <t>PX_LAST</t>
        </is>
      </c>
      <c r="AI2" t="inlineStr">
        <is>
          <t>PX_VOLUME</t>
        </is>
      </c>
      <c r="AK2" t="inlineStr">
        <is>
          <t>Date</t>
        </is>
      </c>
      <c r="AL2" t="inlineStr">
        <is>
          <t>PX_LAST</t>
        </is>
      </c>
      <c r="AM2" t="inlineStr">
        <is>
          <t>PX_VOLUME</t>
        </is>
      </c>
      <c r="AO2" t="inlineStr">
        <is>
          <t>Date</t>
        </is>
      </c>
      <c r="AP2" t="inlineStr">
        <is>
          <t>PX_LAST</t>
        </is>
      </c>
      <c r="AQ2" t="inlineStr">
        <is>
          <t>PX_VOLUME</t>
        </is>
      </c>
      <c r="AS2" t="inlineStr">
        <is>
          <t>Date</t>
        </is>
      </c>
      <c r="AT2" t="inlineStr">
        <is>
          <t>PX_LAST</t>
        </is>
      </c>
      <c r="AU2" t="inlineStr">
        <is>
          <t>PX_VOLUME</t>
        </is>
      </c>
      <c r="AW2" t="inlineStr">
        <is>
          <t>Date</t>
        </is>
      </c>
      <c r="AX2" t="inlineStr">
        <is>
          <t>PX_LAST</t>
        </is>
      </c>
      <c r="AY2" t="inlineStr">
        <is>
          <t>PX_VOLUME</t>
        </is>
      </c>
      <c r="BA2" t="inlineStr">
        <is>
          <t>Date</t>
        </is>
      </c>
      <c r="BB2" t="inlineStr">
        <is>
          <t>PX_LAST</t>
        </is>
      </c>
      <c r="BC2" t="inlineStr">
        <is>
          <t>PX_VOLUME</t>
        </is>
      </c>
      <c r="BE2" t="inlineStr">
        <is>
          <t>Date</t>
        </is>
      </c>
      <c r="BF2" t="inlineStr">
        <is>
          <t>PX_LAST</t>
        </is>
      </c>
      <c r="BG2" t="inlineStr">
        <is>
          <t>PX_VOLUME</t>
        </is>
      </c>
      <c r="BI2" t="inlineStr">
        <is>
          <t>Date</t>
        </is>
      </c>
      <c r="BJ2" t="inlineStr">
        <is>
          <t>PX_LAST</t>
        </is>
      </c>
      <c r="BK2" t="inlineStr">
        <is>
          <t>PX_VOLUME</t>
        </is>
      </c>
      <c r="BM2" t="inlineStr">
        <is>
          <t>Date</t>
        </is>
      </c>
      <c r="BN2" t="inlineStr">
        <is>
          <t>PX_LAST</t>
        </is>
      </c>
      <c r="BO2" t="inlineStr">
        <is>
          <t>PX_VOLUME</t>
        </is>
      </c>
      <c r="BQ2" t="inlineStr">
        <is>
          <t>Date</t>
        </is>
      </c>
      <c r="BR2" t="inlineStr">
        <is>
          <t>PX_LAST</t>
        </is>
      </c>
      <c r="BS2" t="inlineStr">
        <is>
          <t>PX_VOLUME</t>
        </is>
      </c>
      <c r="BU2" t="inlineStr">
        <is>
          <t>Date</t>
        </is>
      </c>
      <c r="BV2" t="inlineStr">
        <is>
          <t>PX_LAST</t>
        </is>
      </c>
      <c r="BW2" t="inlineStr">
        <is>
          <t>PX_VOLUME</t>
        </is>
      </c>
      <c r="BY2" t="inlineStr">
        <is>
          <t>Date</t>
        </is>
      </c>
      <c r="BZ2" t="inlineStr">
        <is>
          <t>PX_LAST</t>
        </is>
      </c>
      <c r="CA2" t="inlineStr">
        <is>
          <t>PX_VOLUME</t>
        </is>
      </c>
      <c r="CC2" t="inlineStr">
        <is>
          <t>Date</t>
        </is>
      </c>
      <c r="CD2" t="inlineStr">
        <is>
          <t>PX_LAST</t>
        </is>
      </c>
      <c r="CE2" t="inlineStr">
        <is>
          <t>PX_VOLUME</t>
        </is>
      </c>
      <c r="CG2" t="inlineStr">
        <is>
          <t>Date</t>
        </is>
      </c>
      <c r="CH2" t="inlineStr">
        <is>
          <t>PX_LAST</t>
        </is>
      </c>
      <c r="CI2" t="inlineStr">
        <is>
          <t>PX_VOLUME</t>
        </is>
      </c>
      <c r="CK2" t="inlineStr">
        <is>
          <t>Date</t>
        </is>
      </c>
      <c r="CL2" t="inlineStr">
        <is>
          <t>PX_LAST</t>
        </is>
      </c>
      <c r="CM2" t="inlineStr">
        <is>
          <t>PX_VOLUME</t>
        </is>
      </c>
      <c r="CO2" t="inlineStr">
        <is>
          <t>Date</t>
        </is>
      </c>
      <c r="CP2" t="inlineStr">
        <is>
          <t>PX_LAST</t>
        </is>
      </c>
      <c r="CQ2" t="inlineStr">
        <is>
          <t>PX_VOLUME</t>
        </is>
      </c>
      <c r="CS2" t="inlineStr">
        <is>
          <t>Date</t>
        </is>
      </c>
      <c r="CT2" t="inlineStr">
        <is>
          <t>PX_LAST</t>
        </is>
      </c>
      <c r="CU2" t="inlineStr">
        <is>
          <t>PX_VOLUME</t>
        </is>
      </c>
      <c r="CW2" t="inlineStr">
        <is>
          <t>Date</t>
        </is>
      </c>
      <c r="CX2" t="inlineStr">
        <is>
          <t>PX_LAST</t>
        </is>
      </c>
      <c r="CY2" t="inlineStr">
        <is>
          <t>PX_VOLUME</t>
        </is>
      </c>
      <c r="DA2" t="inlineStr">
        <is>
          <t>Date</t>
        </is>
      </c>
      <c r="DB2" t="inlineStr">
        <is>
          <t>PX_LAST</t>
        </is>
      </c>
      <c r="DC2" t="inlineStr">
        <is>
          <t>PX_VOLUME</t>
        </is>
      </c>
      <c r="DE2" t="inlineStr">
        <is>
          <t>Date</t>
        </is>
      </c>
      <c r="DF2" t="inlineStr">
        <is>
          <t>PX_LAST</t>
        </is>
      </c>
      <c r="DG2" t="inlineStr">
        <is>
          <t>PX_VOLUME</t>
        </is>
      </c>
      <c r="DI2" t="inlineStr">
        <is>
          <t>Date</t>
        </is>
      </c>
      <c r="DJ2" t="inlineStr">
        <is>
          <t>PX_LAST</t>
        </is>
      </c>
      <c r="DK2" t="inlineStr">
        <is>
          <t>PX_VOLUME</t>
        </is>
      </c>
      <c r="DM2" t="inlineStr">
        <is>
          <t>Date</t>
        </is>
      </c>
      <c r="DN2" t="inlineStr">
        <is>
          <t>PX_LAST</t>
        </is>
      </c>
      <c r="DO2" t="inlineStr">
        <is>
          <t>PX_VOLUME</t>
        </is>
      </c>
      <c r="DQ2" t="inlineStr">
        <is>
          <t>Date</t>
        </is>
      </c>
      <c r="DR2" t="inlineStr">
        <is>
          <t>PX_LAST</t>
        </is>
      </c>
      <c r="DS2" t="inlineStr">
        <is>
          <t>PX_VOLUME</t>
        </is>
      </c>
      <c r="DU2" t="inlineStr">
        <is>
          <t>Date</t>
        </is>
      </c>
      <c r="DV2" t="inlineStr">
        <is>
          <t>PX_LAST</t>
        </is>
      </c>
      <c r="DW2" t="inlineStr">
        <is>
          <t>PX_VOLUME</t>
        </is>
      </c>
      <c r="DY2" t="inlineStr">
        <is>
          <t>Date</t>
        </is>
      </c>
      <c r="DZ2" t="inlineStr">
        <is>
          <t>PX_LAST</t>
        </is>
      </c>
      <c r="EA2" t="inlineStr">
        <is>
          <t>PX_VOLUME</t>
        </is>
      </c>
      <c r="EC2" t="inlineStr">
        <is>
          <t>Date</t>
        </is>
      </c>
      <c r="ED2" t="inlineStr">
        <is>
          <t>PX_LAST</t>
        </is>
      </c>
      <c r="EE2" t="inlineStr">
        <is>
          <t>PX_VOLUME</t>
        </is>
      </c>
      <c r="EG2" t="inlineStr">
        <is>
          <t>Date</t>
        </is>
      </c>
      <c r="EH2" t="inlineStr">
        <is>
          <t>PX_LAST</t>
        </is>
      </c>
      <c r="EI2" t="inlineStr">
        <is>
          <t>PX_VOLUME</t>
        </is>
      </c>
      <c r="EK2" t="inlineStr">
        <is>
          <t>Date</t>
        </is>
      </c>
      <c r="EL2" t="inlineStr">
        <is>
          <t>PX_LAST</t>
        </is>
      </c>
      <c r="EM2" t="inlineStr">
        <is>
          <t>PX_VOLUME</t>
        </is>
      </c>
      <c r="EO2" t="inlineStr">
        <is>
          <t>Date</t>
        </is>
      </c>
      <c r="EP2" t="inlineStr">
        <is>
          <t>PX_LAST</t>
        </is>
      </c>
      <c r="EQ2" t="inlineStr">
        <is>
          <t>PX_VOLUME</t>
        </is>
      </c>
      <c r="ES2" t="inlineStr">
        <is>
          <t>Date</t>
        </is>
      </c>
      <c r="ET2" t="inlineStr">
        <is>
          <t>PX_LAST</t>
        </is>
      </c>
      <c r="EU2" t="inlineStr">
        <is>
          <t>PX_VOLUME</t>
        </is>
      </c>
      <c r="EW2" t="inlineStr">
        <is>
          <t>Date</t>
        </is>
      </c>
      <c r="EX2" t="inlineStr">
        <is>
          <t>PX_LAST</t>
        </is>
      </c>
      <c r="EY2" t="inlineStr">
        <is>
          <t>PX_VOLUME</t>
        </is>
      </c>
      <c r="FA2" t="inlineStr">
        <is>
          <t>Date</t>
        </is>
      </c>
      <c r="FB2" t="inlineStr">
        <is>
          <t>PX_LAST</t>
        </is>
      </c>
      <c r="FC2" t="inlineStr">
        <is>
          <t>PX_VOLUME</t>
        </is>
      </c>
      <c r="FE2" t="inlineStr">
        <is>
          <t>Date</t>
        </is>
      </c>
      <c r="FF2" t="inlineStr">
        <is>
          <t>PX_LAST</t>
        </is>
      </c>
      <c r="FG2" t="inlineStr">
        <is>
          <t>PX_VOLUME</t>
        </is>
      </c>
      <c r="FI2" t="inlineStr">
        <is>
          <t>Date</t>
        </is>
      </c>
      <c r="FJ2" t="inlineStr">
        <is>
          <t>PX_LAST</t>
        </is>
      </c>
      <c r="FK2" t="inlineStr">
        <is>
          <t>PX_VOLUME</t>
        </is>
      </c>
      <c r="FM2" t="inlineStr">
        <is>
          <t>Date</t>
        </is>
      </c>
      <c r="FN2" t="inlineStr">
        <is>
          <t>PX_LAST</t>
        </is>
      </c>
      <c r="FO2" t="inlineStr">
        <is>
          <t>PX_VOLUME</t>
        </is>
      </c>
      <c r="FQ2" t="inlineStr">
        <is>
          <t>Date</t>
        </is>
      </c>
      <c r="FR2" t="inlineStr">
        <is>
          <t>PX_LAST</t>
        </is>
      </c>
      <c r="FS2" t="inlineStr">
        <is>
          <t>PX_VOLUME</t>
        </is>
      </c>
      <c r="FU2" t="inlineStr">
        <is>
          <t>Date</t>
        </is>
      </c>
      <c r="FV2" t="inlineStr">
        <is>
          <t>PX_LAST</t>
        </is>
      </c>
      <c r="FW2" t="inlineStr">
        <is>
          <t>PX_VOLUME</t>
        </is>
      </c>
      <c r="FY2" t="inlineStr">
        <is>
          <t>Date</t>
        </is>
      </c>
      <c r="FZ2" t="inlineStr">
        <is>
          <t>PX_LAST</t>
        </is>
      </c>
      <c r="GA2" t="inlineStr">
        <is>
          <t>PX_VOLUME</t>
        </is>
      </c>
      <c r="GC2" t="inlineStr">
        <is>
          <t>Date</t>
        </is>
      </c>
      <c r="GD2" t="inlineStr">
        <is>
          <t>PX_LAST</t>
        </is>
      </c>
      <c r="GE2" t="inlineStr">
        <is>
          <t>PX_VOLUME</t>
        </is>
      </c>
      <c r="GG2" t="inlineStr">
        <is>
          <t>Date</t>
        </is>
      </c>
      <c r="GH2" t="inlineStr">
        <is>
          <t>PX_LAST</t>
        </is>
      </c>
      <c r="GI2" t="inlineStr">
        <is>
          <t>PX_VOLUME</t>
        </is>
      </c>
      <c r="GK2" t="inlineStr">
        <is>
          <t>Date</t>
        </is>
      </c>
      <c r="GL2" t="inlineStr">
        <is>
          <t>PX_LAST</t>
        </is>
      </c>
      <c r="GM2" t="inlineStr">
        <is>
          <t>PX_VOLUME</t>
        </is>
      </c>
      <c r="GO2" t="inlineStr">
        <is>
          <t>Date</t>
        </is>
      </c>
      <c r="GP2" t="inlineStr">
        <is>
          <t>PX_LAST</t>
        </is>
      </c>
      <c r="GQ2" t="inlineStr">
        <is>
          <t>PX_VOLUME</t>
        </is>
      </c>
      <c r="GS2" t="inlineStr">
        <is>
          <t>Date</t>
        </is>
      </c>
      <c r="GT2" t="inlineStr">
        <is>
          <t>PX_LAST</t>
        </is>
      </c>
      <c r="GU2" t="inlineStr">
        <is>
          <t>PX_VOLUME</t>
        </is>
      </c>
      <c r="GW2" t="inlineStr">
        <is>
          <t>Date</t>
        </is>
      </c>
      <c r="GX2" t="inlineStr">
        <is>
          <t>PX_LAST</t>
        </is>
      </c>
      <c r="GY2" t="inlineStr">
        <is>
          <t>PX_VOLUME</t>
        </is>
      </c>
      <c r="HA2" t="inlineStr">
        <is>
          <t>Date</t>
        </is>
      </c>
      <c r="HB2" t="inlineStr">
        <is>
          <t>PX_LAST</t>
        </is>
      </c>
      <c r="HC2" t="inlineStr">
        <is>
          <t>PX_VOLUME</t>
        </is>
      </c>
      <c r="HE2" t="inlineStr">
        <is>
          <t>Date</t>
        </is>
      </c>
      <c r="HF2" t="inlineStr">
        <is>
          <t>PX_LAST</t>
        </is>
      </c>
      <c r="HG2" t="inlineStr">
        <is>
          <t>PX_VOLUME</t>
        </is>
      </c>
      <c r="HI2" t="inlineStr">
        <is>
          <t>Date</t>
        </is>
      </c>
      <c r="HJ2" t="inlineStr">
        <is>
          <t>PX_LAST</t>
        </is>
      </c>
      <c r="HK2" t="inlineStr">
        <is>
          <t>PX_VOLUME</t>
        </is>
      </c>
      <c r="HM2" t="inlineStr">
        <is>
          <t>Date</t>
        </is>
      </c>
      <c r="HN2" t="inlineStr">
        <is>
          <t>PX_LAST</t>
        </is>
      </c>
      <c r="HO2" t="inlineStr">
        <is>
          <t>PX_VOLUME</t>
        </is>
      </c>
      <c r="HQ2" t="inlineStr">
        <is>
          <t>Date</t>
        </is>
      </c>
      <c r="HR2" t="inlineStr">
        <is>
          <t>PX_LAST</t>
        </is>
      </c>
      <c r="HS2" t="inlineStr">
        <is>
          <t>PX_VOLUME</t>
        </is>
      </c>
      <c r="HU2" t="inlineStr">
        <is>
          <t>Date</t>
        </is>
      </c>
      <c r="HV2" t="inlineStr">
        <is>
          <t>PX_LAST</t>
        </is>
      </c>
      <c r="HW2" t="inlineStr">
        <is>
          <t>PX_VOLUME</t>
        </is>
      </c>
      <c r="HY2" t="inlineStr">
        <is>
          <t>Date</t>
        </is>
      </c>
      <c r="HZ2" t="inlineStr">
        <is>
          <t>PX_LAST</t>
        </is>
      </c>
      <c r="IA2" t="inlineStr">
        <is>
          <t>PX_VOLUME</t>
        </is>
      </c>
      <c r="IC2" t="inlineStr">
        <is>
          <t>Date</t>
        </is>
      </c>
      <c r="ID2" t="inlineStr">
        <is>
          <t>PX_LAST</t>
        </is>
      </c>
      <c r="IE2" t="inlineStr">
        <is>
          <t>PX_VOLUME</t>
        </is>
      </c>
      <c r="IG2" t="inlineStr">
        <is>
          <t>Date</t>
        </is>
      </c>
      <c r="IH2" t="inlineStr">
        <is>
          <t>PX_LAST</t>
        </is>
      </c>
      <c r="II2" t="inlineStr">
        <is>
          <t>PX_VOLUME</t>
        </is>
      </c>
      <c r="IK2" t="inlineStr">
        <is>
          <t>Date</t>
        </is>
      </c>
      <c r="IL2" t="inlineStr">
        <is>
          <t>PX_LAST</t>
        </is>
      </c>
      <c r="IM2" t="inlineStr">
        <is>
          <t>PX_VOLUME</t>
        </is>
      </c>
      <c r="IO2" t="inlineStr">
        <is>
          <t>Date</t>
        </is>
      </c>
      <c r="IP2" t="inlineStr">
        <is>
          <t>PX_LAST</t>
        </is>
      </c>
      <c r="IQ2" t="inlineStr">
        <is>
          <t>PX_VOLUME</t>
        </is>
      </c>
      <c r="IS2" t="inlineStr">
        <is>
          <t>Date</t>
        </is>
      </c>
      <c r="IT2" t="inlineStr">
        <is>
          <t>PX_LAST</t>
        </is>
      </c>
      <c r="IU2" t="inlineStr">
        <is>
          <t>PX_VOLUME</t>
        </is>
      </c>
      <c r="IW2" t="inlineStr">
        <is>
          <t>Date</t>
        </is>
      </c>
      <c r="IX2" t="inlineStr">
        <is>
          <t>PX_LAST</t>
        </is>
      </c>
      <c r="IY2" t="inlineStr">
        <is>
          <t>PX_VOLUME</t>
        </is>
      </c>
      <c r="JA2" t="inlineStr">
        <is>
          <t>Date</t>
        </is>
      </c>
      <c r="JB2" t="inlineStr">
        <is>
          <t>PX_LAST</t>
        </is>
      </c>
      <c r="JC2" t="inlineStr">
        <is>
          <t>PX_VOLUME</t>
        </is>
      </c>
      <c r="JE2" t="inlineStr">
        <is>
          <t>Date</t>
        </is>
      </c>
      <c r="JF2" t="inlineStr">
        <is>
          <t>PX_LAST</t>
        </is>
      </c>
      <c r="JG2" t="inlineStr">
        <is>
          <t>PX_VOLUME</t>
        </is>
      </c>
      <c r="JI2" t="inlineStr">
        <is>
          <t>Date</t>
        </is>
      </c>
      <c r="JJ2" t="inlineStr">
        <is>
          <t>PX_LAST</t>
        </is>
      </c>
      <c r="JK2" t="inlineStr">
        <is>
          <t>PX_VOLUME</t>
        </is>
      </c>
      <c r="JM2" t="inlineStr">
        <is>
          <t>Date</t>
        </is>
      </c>
      <c r="JN2" t="inlineStr">
        <is>
          <t>PX_LAST</t>
        </is>
      </c>
      <c r="JO2" t="inlineStr">
        <is>
          <t>PX_VOLUME</t>
        </is>
      </c>
      <c r="JQ2" t="inlineStr">
        <is>
          <t>Date</t>
        </is>
      </c>
      <c r="JR2" t="inlineStr">
        <is>
          <t>PX_LAST</t>
        </is>
      </c>
      <c r="JS2" t="inlineStr">
        <is>
          <t>PX_VOLUME</t>
        </is>
      </c>
      <c r="JU2" t="inlineStr">
        <is>
          <t>Date</t>
        </is>
      </c>
      <c r="JV2" t="inlineStr">
        <is>
          <t>PX_LAST</t>
        </is>
      </c>
      <c r="JW2" t="inlineStr">
        <is>
          <t>PX_VOLUME</t>
        </is>
      </c>
      <c r="JY2" t="inlineStr">
        <is>
          <t>Date</t>
        </is>
      </c>
      <c r="JZ2" t="inlineStr">
        <is>
          <t>PX_LAST</t>
        </is>
      </c>
      <c r="KA2" t="inlineStr">
        <is>
          <t>PX_VOLUME</t>
        </is>
      </c>
      <c r="KC2" t="inlineStr">
        <is>
          <t>Date</t>
        </is>
      </c>
      <c r="KD2" t="inlineStr">
        <is>
          <t>PX_LAST</t>
        </is>
      </c>
      <c r="KE2" t="inlineStr">
        <is>
          <t>PX_VOLUME</t>
        </is>
      </c>
      <c r="KG2" t="inlineStr">
        <is>
          <t>Date</t>
        </is>
      </c>
      <c r="KH2" t="inlineStr">
        <is>
          <t>PX_LAST</t>
        </is>
      </c>
      <c r="KI2" t="inlineStr">
        <is>
          <t>PX_VOLUME</t>
        </is>
      </c>
      <c r="KK2" t="inlineStr">
        <is>
          <t>Date</t>
        </is>
      </c>
      <c r="KL2" t="inlineStr">
        <is>
          <t>PX_LAST</t>
        </is>
      </c>
      <c r="KM2" t="inlineStr">
        <is>
          <t>PX_VOLUME</t>
        </is>
      </c>
      <c r="KO2" t="inlineStr">
        <is>
          <t>Date</t>
        </is>
      </c>
      <c r="KP2" t="inlineStr">
        <is>
          <t>PX_LAST</t>
        </is>
      </c>
      <c r="KQ2" t="inlineStr">
        <is>
          <t>PX_VOLUME</t>
        </is>
      </c>
      <c r="KS2" t="inlineStr">
        <is>
          <t>Date</t>
        </is>
      </c>
      <c r="KT2" t="inlineStr">
        <is>
          <t>PX_LAST</t>
        </is>
      </c>
      <c r="KU2" t="inlineStr">
        <is>
          <t>PX_VOLUME</t>
        </is>
      </c>
      <c r="KW2" t="inlineStr">
        <is>
          <t>Date</t>
        </is>
      </c>
      <c r="KX2" t="inlineStr">
        <is>
          <t>PX_LAST</t>
        </is>
      </c>
      <c r="KY2" t="inlineStr">
        <is>
          <t>PX_VOLUME</t>
        </is>
      </c>
      <c r="LA2" t="inlineStr">
        <is>
          <t>Date</t>
        </is>
      </c>
      <c r="LB2" t="inlineStr">
        <is>
          <t>PX_LAST</t>
        </is>
      </c>
      <c r="LC2" t="inlineStr">
        <is>
          <t>PX_VOLUME</t>
        </is>
      </c>
      <c r="LE2" t="inlineStr">
        <is>
          <t>Date</t>
        </is>
      </c>
      <c r="LF2" t="inlineStr">
        <is>
          <t>PX_LAST</t>
        </is>
      </c>
      <c r="LG2" t="inlineStr">
        <is>
          <t>PX_VOLUME</t>
        </is>
      </c>
      <c r="LI2" t="inlineStr">
        <is>
          <t>Date</t>
        </is>
      </c>
      <c r="LJ2" t="inlineStr">
        <is>
          <t>PX_LAST</t>
        </is>
      </c>
      <c r="LK2" t="inlineStr">
        <is>
          <t>PX_VOLUME</t>
        </is>
      </c>
      <c r="LM2" t="inlineStr">
        <is>
          <t>Date</t>
        </is>
      </c>
      <c r="LN2" t="inlineStr">
        <is>
          <t>PX_LAST</t>
        </is>
      </c>
      <c r="LO2" t="inlineStr">
        <is>
          <t>PX_VOLUME</t>
        </is>
      </c>
      <c r="LQ2" t="inlineStr">
        <is>
          <t>Date</t>
        </is>
      </c>
      <c r="LR2" t="inlineStr">
        <is>
          <t>PX_LAST</t>
        </is>
      </c>
      <c r="LS2" t="inlineStr">
        <is>
          <t>PX_VOLUME</t>
        </is>
      </c>
      <c r="LU2" t="inlineStr">
        <is>
          <t>Date</t>
        </is>
      </c>
      <c r="LV2" t="inlineStr">
        <is>
          <t>PX_LAST</t>
        </is>
      </c>
      <c r="LW2" t="inlineStr">
        <is>
          <t>PX_VOLUME</t>
        </is>
      </c>
      <c r="LY2" t="inlineStr">
        <is>
          <t>Date</t>
        </is>
      </c>
      <c r="LZ2" t="inlineStr">
        <is>
          <t>PX_LAST</t>
        </is>
      </c>
      <c r="MA2" t="inlineStr">
        <is>
          <t>PX_VOLUME</t>
        </is>
      </c>
      <c r="MC2" t="inlineStr">
        <is>
          <t>Date</t>
        </is>
      </c>
      <c r="MD2" t="inlineStr">
        <is>
          <t>PX_LAST</t>
        </is>
      </c>
      <c r="ME2" t="inlineStr">
        <is>
          <t>PX_VOLUME</t>
        </is>
      </c>
      <c r="MG2" t="inlineStr">
        <is>
          <t>Date</t>
        </is>
      </c>
      <c r="MH2" t="inlineStr">
        <is>
          <t>PX_LAST</t>
        </is>
      </c>
      <c r="MI2" t="inlineStr">
        <is>
          <t>PX_VOLUME</t>
        </is>
      </c>
      <c r="MK2" t="inlineStr">
        <is>
          <t>Date</t>
        </is>
      </c>
      <c r="ML2" t="inlineStr">
        <is>
          <t>PX_LAST</t>
        </is>
      </c>
      <c r="MM2" t="inlineStr">
        <is>
          <t>PX_VOLUME</t>
        </is>
      </c>
      <c r="MO2" t="inlineStr">
        <is>
          <t>Date</t>
        </is>
      </c>
      <c r="MP2" t="inlineStr">
        <is>
          <t>PX_LAST</t>
        </is>
      </c>
      <c r="MQ2" t="inlineStr">
        <is>
          <t>PX_VOLUME</t>
        </is>
      </c>
      <c r="MS2" t="inlineStr">
        <is>
          <t>Date</t>
        </is>
      </c>
      <c r="MT2" t="inlineStr">
        <is>
          <t>PX_LAST</t>
        </is>
      </c>
      <c r="MU2" t="inlineStr">
        <is>
          <t>PX_VOLUME</t>
        </is>
      </c>
      <c r="MW2" t="inlineStr">
        <is>
          <t>Date</t>
        </is>
      </c>
      <c r="MX2" t="inlineStr">
        <is>
          <t>PX_LAST</t>
        </is>
      </c>
      <c r="MY2" t="inlineStr">
        <is>
          <t>PX_VOLUME</t>
        </is>
      </c>
      <c r="NA2" t="inlineStr">
        <is>
          <t>Date</t>
        </is>
      </c>
      <c r="NB2" t="inlineStr">
        <is>
          <t>PX_LAST</t>
        </is>
      </c>
      <c r="NC2" t="inlineStr">
        <is>
          <t>PX_VOLUME</t>
        </is>
      </c>
      <c r="NE2" t="inlineStr">
        <is>
          <t>Date</t>
        </is>
      </c>
      <c r="NF2" t="inlineStr">
        <is>
          <t>PX_LAST</t>
        </is>
      </c>
      <c r="NG2" t="inlineStr">
        <is>
          <t>PX_VOLUME</t>
        </is>
      </c>
      <c r="NI2" t="inlineStr">
        <is>
          <t>Date</t>
        </is>
      </c>
      <c r="NJ2" t="inlineStr">
        <is>
          <t>PX_LAST</t>
        </is>
      </c>
      <c r="NK2" t="inlineStr">
        <is>
          <t>PX_VOLUME</t>
        </is>
      </c>
      <c r="NM2" t="inlineStr">
        <is>
          <t>Date</t>
        </is>
      </c>
      <c r="NN2" t="inlineStr">
        <is>
          <t>PX_LAST</t>
        </is>
      </c>
      <c r="NO2" t="inlineStr">
        <is>
          <t>PX_VOLUME</t>
        </is>
      </c>
      <c r="NQ2" t="inlineStr">
        <is>
          <t>Date</t>
        </is>
      </c>
      <c r="NR2" t="inlineStr">
        <is>
          <t>PX_LAST</t>
        </is>
      </c>
      <c r="NS2" t="inlineStr">
        <is>
          <t>PX_VOLUME</t>
        </is>
      </c>
      <c r="NU2" t="inlineStr">
        <is>
          <t>Date</t>
        </is>
      </c>
      <c r="NV2" t="inlineStr">
        <is>
          <t>PX_LAST</t>
        </is>
      </c>
      <c r="NW2" t="inlineStr">
        <is>
          <t>PX_VOLUME</t>
        </is>
      </c>
      <c r="NY2" t="inlineStr">
        <is>
          <t>Date</t>
        </is>
      </c>
      <c r="NZ2" t="inlineStr">
        <is>
          <t>PX_LAST</t>
        </is>
      </c>
      <c r="OA2" t="inlineStr">
        <is>
          <t>PX_VOLUME</t>
        </is>
      </c>
      <c r="OC2" t="inlineStr">
        <is>
          <t>Date</t>
        </is>
      </c>
      <c r="OD2" t="inlineStr">
        <is>
          <t>PX_LAST</t>
        </is>
      </c>
      <c r="OE2" t="inlineStr">
        <is>
          <t>PX_VOLUME</t>
        </is>
      </c>
      <c r="OG2" t="inlineStr">
        <is>
          <t>Date</t>
        </is>
      </c>
      <c r="OH2" t="inlineStr">
        <is>
          <t>PX_LAST</t>
        </is>
      </c>
      <c r="OI2" t="inlineStr">
        <is>
          <t>PX_VOLUME</t>
        </is>
      </c>
      <c r="OK2" t="inlineStr">
        <is>
          <t>Date</t>
        </is>
      </c>
      <c r="OL2" t="inlineStr">
        <is>
          <t>PX_LAST</t>
        </is>
      </c>
      <c r="OM2" t="inlineStr">
        <is>
          <t>PX_VOLUME</t>
        </is>
      </c>
      <c r="OO2" t="inlineStr">
        <is>
          <t>Date</t>
        </is>
      </c>
      <c r="OP2" t="inlineStr">
        <is>
          <t>PX_LAST</t>
        </is>
      </c>
      <c r="OQ2" t="inlineStr">
        <is>
          <t>PX_VOLUME</t>
        </is>
      </c>
      <c r="OS2" t="inlineStr">
        <is>
          <t>Date</t>
        </is>
      </c>
      <c r="OT2" t="inlineStr">
        <is>
          <t>PX_LAST</t>
        </is>
      </c>
      <c r="OU2" t="inlineStr">
        <is>
          <t>PX_VOLUME</t>
        </is>
      </c>
      <c r="OW2" t="inlineStr">
        <is>
          <t>Date</t>
        </is>
      </c>
      <c r="OX2" t="inlineStr">
        <is>
          <t>PX_LAST</t>
        </is>
      </c>
      <c r="OY2" t="inlineStr">
        <is>
          <t>PX_VOLUME</t>
        </is>
      </c>
      <c r="PA2" t="inlineStr">
        <is>
          <t>Date</t>
        </is>
      </c>
      <c r="PB2" t="inlineStr">
        <is>
          <t>PX_LAST</t>
        </is>
      </c>
      <c r="PC2" t="inlineStr">
        <is>
          <t>PX_VOLUME</t>
        </is>
      </c>
      <c r="PE2" t="inlineStr">
        <is>
          <t>Date</t>
        </is>
      </c>
      <c r="PF2" t="inlineStr">
        <is>
          <t>PX_LAST</t>
        </is>
      </c>
      <c r="PG2" t="inlineStr">
        <is>
          <t>PX_VOLUME</t>
        </is>
      </c>
      <c r="PI2" t="inlineStr">
        <is>
          <t>Date</t>
        </is>
      </c>
      <c r="PJ2" t="inlineStr">
        <is>
          <t>PX_LAST</t>
        </is>
      </c>
      <c r="PK2" t="inlineStr">
        <is>
          <t>PX_VOLUME</t>
        </is>
      </c>
      <c r="PM2" t="inlineStr">
        <is>
          <t>Date</t>
        </is>
      </c>
      <c r="PN2" t="inlineStr">
        <is>
          <t>PX_LAST</t>
        </is>
      </c>
      <c r="PO2" t="inlineStr">
        <is>
          <t>PX_VOLUME</t>
        </is>
      </c>
      <c r="PQ2" t="inlineStr">
        <is>
          <t>Date</t>
        </is>
      </c>
      <c r="PR2" t="inlineStr">
        <is>
          <t>PX_LAST</t>
        </is>
      </c>
      <c r="PS2" t="inlineStr">
        <is>
          <t>PX_VOLUME</t>
        </is>
      </c>
      <c r="PU2" t="inlineStr">
        <is>
          <t>Date</t>
        </is>
      </c>
      <c r="PV2" t="inlineStr">
        <is>
          <t>PX_LAST</t>
        </is>
      </c>
      <c r="PW2" t="inlineStr">
        <is>
          <t>PX_VOLUME</t>
        </is>
      </c>
      <c r="PY2" t="inlineStr">
        <is>
          <t>Date</t>
        </is>
      </c>
      <c r="PZ2" t="inlineStr">
        <is>
          <t>PX_LAST</t>
        </is>
      </c>
      <c r="QA2" t="inlineStr">
        <is>
          <t>PX_VOLUME</t>
        </is>
      </c>
      <c r="QC2" t="inlineStr">
        <is>
          <t>Date</t>
        </is>
      </c>
      <c r="QD2" t="inlineStr">
        <is>
          <t>PX_LAST</t>
        </is>
      </c>
      <c r="QE2" t="inlineStr">
        <is>
          <t>PX_VOLUME</t>
        </is>
      </c>
      <c r="QG2" t="inlineStr">
        <is>
          <t>Date</t>
        </is>
      </c>
      <c r="QH2" t="inlineStr">
        <is>
          <t>PX_LAST</t>
        </is>
      </c>
      <c r="QI2" t="inlineStr">
        <is>
          <t>PX_VOLUME</t>
        </is>
      </c>
      <c r="QK2" t="inlineStr">
        <is>
          <t>Date</t>
        </is>
      </c>
      <c r="QL2" t="inlineStr">
        <is>
          <t>PX_LAST</t>
        </is>
      </c>
      <c r="QM2" t="inlineStr">
        <is>
          <t>PX_VOLUME</t>
        </is>
      </c>
      <c r="QO2" t="inlineStr">
        <is>
          <t>Date</t>
        </is>
      </c>
      <c r="QP2" t="inlineStr">
        <is>
          <t>PX_LAST</t>
        </is>
      </c>
      <c r="QQ2" t="inlineStr">
        <is>
          <t>PX_VOLUME</t>
        </is>
      </c>
      <c r="QS2" t="inlineStr">
        <is>
          <t>Date</t>
        </is>
      </c>
      <c r="QT2" t="inlineStr">
        <is>
          <t>PX_LAST</t>
        </is>
      </c>
      <c r="QU2" t="inlineStr">
        <is>
          <t>PX_VOLUME</t>
        </is>
      </c>
      <c r="QW2" t="inlineStr">
        <is>
          <t>Date</t>
        </is>
      </c>
      <c r="QX2" t="inlineStr">
        <is>
          <t>PX_LAST</t>
        </is>
      </c>
      <c r="QY2" t="inlineStr">
        <is>
          <t>PX_VOLUME</t>
        </is>
      </c>
      <c r="RA2" t="inlineStr">
        <is>
          <t>Date</t>
        </is>
      </c>
      <c r="RB2" t="inlineStr">
        <is>
          <t>PX_LAST</t>
        </is>
      </c>
      <c r="RC2" t="inlineStr">
        <is>
          <t>PX_VOLUME</t>
        </is>
      </c>
      <c r="RE2" t="inlineStr">
        <is>
          <t>Date</t>
        </is>
      </c>
      <c r="RF2" t="inlineStr">
        <is>
          <t>PX_LAST</t>
        </is>
      </c>
      <c r="RG2" t="inlineStr">
        <is>
          <t>PX_VOLUME</t>
        </is>
      </c>
      <c r="RI2" t="inlineStr">
        <is>
          <t>Date</t>
        </is>
      </c>
      <c r="RJ2" t="inlineStr">
        <is>
          <t>PX_LAST</t>
        </is>
      </c>
      <c r="RK2" t="inlineStr">
        <is>
          <t>PX_VOLUME</t>
        </is>
      </c>
      <c r="RM2" t="inlineStr">
        <is>
          <t>Date</t>
        </is>
      </c>
      <c r="RN2" t="inlineStr">
        <is>
          <t>PX_LAST</t>
        </is>
      </c>
      <c r="RO2" t="inlineStr">
        <is>
          <t>PX_VOLUME</t>
        </is>
      </c>
      <c r="RQ2" t="inlineStr">
        <is>
          <t>Date</t>
        </is>
      </c>
      <c r="RR2" t="inlineStr">
        <is>
          <t>PX_LAST</t>
        </is>
      </c>
      <c r="RS2" t="inlineStr">
        <is>
          <t>PX_VOLUME</t>
        </is>
      </c>
      <c r="RU2" t="inlineStr">
        <is>
          <t>Date</t>
        </is>
      </c>
      <c r="RV2" t="inlineStr">
        <is>
          <t>PX_LAST</t>
        </is>
      </c>
      <c r="RW2" t="inlineStr">
        <is>
          <t>PX_VOLUME</t>
        </is>
      </c>
      <c r="RY2" t="inlineStr">
        <is>
          <t>Date</t>
        </is>
      </c>
      <c r="RZ2" t="inlineStr">
        <is>
          <t>PX_LAST</t>
        </is>
      </c>
      <c r="SA2" t="inlineStr">
        <is>
          <t>PX_VOLUME</t>
        </is>
      </c>
      <c r="SC2" t="inlineStr">
        <is>
          <t>Date</t>
        </is>
      </c>
      <c r="SD2" t="inlineStr">
        <is>
          <t>PX_LAST</t>
        </is>
      </c>
      <c r="SE2" t="inlineStr">
        <is>
          <t>PX_VOLUME</t>
        </is>
      </c>
      <c r="SG2" t="inlineStr">
        <is>
          <t>Date</t>
        </is>
      </c>
      <c r="SH2" t="inlineStr">
        <is>
          <t>PX_LAST</t>
        </is>
      </c>
      <c r="SI2" t="inlineStr">
        <is>
          <t>PX_VOLUME</t>
        </is>
      </c>
      <c r="SK2" t="inlineStr">
        <is>
          <t>Date</t>
        </is>
      </c>
      <c r="SL2" t="inlineStr">
        <is>
          <t>PX_LAST</t>
        </is>
      </c>
      <c r="SM2" t="inlineStr">
        <is>
          <t>PX_VOLUME</t>
        </is>
      </c>
      <c r="SO2" t="inlineStr">
        <is>
          <t>Date</t>
        </is>
      </c>
      <c r="SP2" t="inlineStr">
        <is>
          <t>PX_LAST</t>
        </is>
      </c>
      <c r="SQ2" t="inlineStr">
        <is>
          <t>PX_VOLUME</t>
        </is>
      </c>
      <c r="SS2" t="inlineStr">
        <is>
          <t>Date</t>
        </is>
      </c>
      <c r="ST2" t="inlineStr">
        <is>
          <t>PX_LAST</t>
        </is>
      </c>
      <c r="SU2" t="inlineStr">
        <is>
          <t>PX_VOLUME</t>
        </is>
      </c>
      <c r="SW2" t="inlineStr">
        <is>
          <t>Date</t>
        </is>
      </c>
      <c r="SX2" t="inlineStr">
        <is>
          <t>PX_LAST</t>
        </is>
      </c>
      <c r="SY2" t="inlineStr">
        <is>
          <t>PX_VOLUME</t>
        </is>
      </c>
      <c r="TA2" t="inlineStr">
        <is>
          <t>Date</t>
        </is>
      </c>
      <c r="TB2" t="inlineStr">
        <is>
          <t>PX_LAST</t>
        </is>
      </c>
      <c r="TC2" t="inlineStr">
        <is>
          <t>PX_VOLUME</t>
        </is>
      </c>
      <c r="TE2" t="inlineStr">
        <is>
          <t>Date</t>
        </is>
      </c>
      <c r="TF2" t="inlineStr">
        <is>
          <t>PX_LAST</t>
        </is>
      </c>
      <c r="TG2" t="inlineStr">
        <is>
          <t>PX_VOLUME</t>
        </is>
      </c>
      <c r="TI2" t="inlineStr">
        <is>
          <t>Date</t>
        </is>
      </c>
      <c r="TJ2" t="inlineStr">
        <is>
          <t>PX_LAST</t>
        </is>
      </c>
      <c r="TK2" t="inlineStr">
        <is>
          <t>PX_VOLUME</t>
        </is>
      </c>
      <c r="TM2" t="inlineStr">
        <is>
          <t>Date</t>
        </is>
      </c>
      <c r="TN2" t="inlineStr">
        <is>
          <t>PX_LAST</t>
        </is>
      </c>
      <c r="TO2" t="inlineStr">
        <is>
          <t>PX_VOLUME</t>
        </is>
      </c>
      <c r="TQ2" t="inlineStr">
        <is>
          <t>Date</t>
        </is>
      </c>
      <c r="TR2" t="inlineStr">
        <is>
          <t>PX_LAST</t>
        </is>
      </c>
      <c r="TS2" t="inlineStr">
        <is>
          <t>PX_VOLUME</t>
        </is>
      </c>
      <c r="TU2" t="inlineStr">
        <is>
          <t>Date</t>
        </is>
      </c>
      <c r="TV2" t="inlineStr">
        <is>
          <t>PX_LAST</t>
        </is>
      </c>
      <c r="TW2" t="inlineStr">
        <is>
          <t>PX_VOLUME</t>
        </is>
      </c>
      <c r="TY2" t="inlineStr">
        <is>
          <t>Date</t>
        </is>
      </c>
      <c r="TZ2" t="inlineStr">
        <is>
          <t>PX_LAST</t>
        </is>
      </c>
      <c r="UA2" t="inlineStr">
        <is>
          <t>PX_VOLUME</t>
        </is>
      </c>
      <c r="UC2" t="inlineStr">
        <is>
          <t>Date</t>
        </is>
      </c>
      <c r="UD2" t="inlineStr">
        <is>
          <t>PX_LAST</t>
        </is>
      </c>
      <c r="UE2" t="inlineStr">
        <is>
          <t>PX_VOLUME</t>
        </is>
      </c>
      <c r="UG2" t="inlineStr">
        <is>
          <t>Date</t>
        </is>
      </c>
      <c r="UH2" t="inlineStr">
        <is>
          <t>PX_LAST</t>
        </is>
      </c>
      <c r="UI2" t="inlineStr">
        <is>
          <t>PX_VOLUME</t>
        </is>
      </c>
      <c r="UK2" t="inlineStr">
        <is>
          <t>Date</t>
        </is>
      </c>
      <c r="UL2" t="inlineStr">
        <is>
          <t>PX_LAST</t>
        </is>
      </c>
      <c r="UM2" t="inlineStr">
        <is>
          <t>PX_VOLUME</t>
        </is>
      </c>
      <c r="UO2" t="inlineStr">
        <is>
          <t>Date</t>
        </is>
      </c>
      <c r="UP2" t="inlineStr">
        <is>
          <t>PX_LAST</t>
        </is>
      </c>
      <c r="UQ2" t="inlineStr">
        <is>
          <t>PX_VOLUME</t>
        </is>
      </c>
      <c r="US2" t="inlineStr">
        <is>
          <t>Date</t>
        </is>
      </c>
      <c r="UT2" t="inlineStr">
        <is>
          <t>PX_LAST</t>
        </is>
      </c>
      <c r="UU2" t="inlineStr">
        <is>
          <t>PX_VOLUME</t>
        </is>
      </c>
      <c r="UW2" t="inlineStr">
        <is>
          <t>Date</t>
        </is>
      </c>
      <c r="UX2" t="inlineStr">
        <is>
          <t>PX_LAST</t>
        </is>
      </c>
      <c r="UY2" t="inlineStr">
        <is>
          <t>PX_VOLUME</t>
        </is>
      </c>
      <c r="VA2" t="inlineStr">
        <is>
          <t>Date</t>
        </is>
      </c>
      <c r="VB2" t="inlineStr">
        <is>
          <t>PX_LAST</t>
        </is>
      </c>
      <c r="VC2" t="inlineStr">
        <is>
          <t>PX_VOLUME</t>
        </is>
      </c>
      <c r="VE2" t="inlineStr">
        <is>
          <t>Date</t>
        </is>
      </c>
      <c r="VF2" t="inlineStr">
        <is>
          <t>PX_LAST</t>
        </is>
      </c>
      <c r="VG2" t="inlineStr">
        <is>
          <t>PX_VOLUME</t>
        </is>
      </c>
      <c r="VI2" t="inlineStr">
        <is>
          <t>Date</t>
        </is>
      </c>
      <c r="VJ2" t="inlineStr">
        <is>
          <t>PX_LAST</t>
        </is>
      </c>
      <c r="VK2" t="inlineStr">
        <is>
          <t>PX_VOLUME</t>
        </is>
      </c>
      <c r="VM2" t="inlineStr">
        <is>
          <t>Date</t>
        </is>
      </c>
      <c r="VN2" t="inlineStr">
        <is>
          <t>PX_LAST</t>
        </is>
      </c>
      <c r="VO2" t="inlineStr">
        <is>
          <t>PX_VOLUME</t>
        </is>
      </c>
      <c r="VQ2" t="inlineStr">
        <is>
          <t>Date</t>
        </is>
      </c>
      <c r="VR2" t="inlineStr">
        <is>
          <t>PX_LAST</t>
        </is>
      </c>
      <c r="VS2" t="inlineStr">
        <is>
          <t>PX_VOLUME</t>
        </is>
      </c>
      <c r="VU2" t="inlineStr">
        <is>
          <t>Date</t>
        </is>
      </c>
      <c r="VV2" t="inlineStr">
        <is>
          <t>PX_LAST</t>
        </is>
      </c>
      <c r="VW2" t="inlineStr">
        <is>
          <t>PX_VOLUME</t>
        </is>
      </c>
      <c r="VY2" t="inlineStr">
        <is>
          <t>Date</t>
        </is>
      </c>
      <c r="VZ2" t="inlineStr">
        <is>
          <t>PX_LAST</t>
        </is>
      </c>
      <c r="WA2" t="inlineStr">
        <is>
          <t>PX_VOLUME</t>
        </is>
      </c>
      <c r="WC2" t="inlineStr">
        <is>
          <t>Date</t>
        </is>
      </c>
      <c r="WD2" t="inlineStr">
        <is>
          <t>PX_LAST</t>
        </is>
      </c>
      <c r="WE2" t="inlineStr">
        <is>
          <t>PX_VOLUME</t>
        </is>
      </c>
      <c r="WG2" t="inlineStr">
        <is>
          <t>Date</t>
        </is>
      </c>
      <c r="WH2" t="inlineStr">
        <is>
          <t>PX_LAST</t>
        </is>
      </c>
      <c r="WI2" t="inlineStr">
        <is>
          <t>PX_VOLUME</t>
        </is>
      </c>
      <c r="WK2" t="inlineStr">
        <is>
          <t>Date</t>
        </is>
      </c>
      <c r="WL2" t="inlineStr">
        <is>
          <t>PX_LAST</t>
        </is>
      </c>
      <c r="WM2" t="inlineStr">
        <is>
          <t>PX_VOLUME</t>
        </is>
      </c>
      <c r="WO2" t="inlineStr">
        <is>
          <t>Date</t>
        </is>
      </c>
      <c r="WP2" t="inlineStr">
        <is>
          <t>PX_LAST</t>
        </is>
      </c>
      <c r="WQ2" t="inlineStr">
        <is>
          <t>PX_VOLUME</t>
        </is>
      </c>
      <c r="WS2" t="inlineStr">
        <is>
          <t>Date</t>
        </is>
      </c>
      <c r="WT2" t="inlineStr">
        <is>
          <t>PX_LAST</t>
        </is>
      </c>
      <c r="WU2" t="inlineStr">
        <is>
          <t>PX_VOLUME</t>
        </is>
      </c>
      <c r="WW2" t="inlineStr">
        <is>
          <t>Date</t>
        </is>
      </c>
      <c r="WX2" t="inlineStr">
        <is>
          <t>PX_LAST</t>
        </is>
      </c>
      <c r="WY2" t="inlineStr">
        <is>
          <t>PX_VOLUME</t>
        </is>
      </c>
      <c r="XA2" t="inlineStr">
        <is>
          <t>Date</t>
        </is>
      </c>
      <c r="XB2" t="inlineStr">
        <is>
          <t>PX_LAST</t>
        </is>
      </c>
      <c r="XC2" t="inlineStr">
        <is>
          <t>PX_VOLUME</t>
        </is>
      </c>
      <c r="XE2" t="inlineStr">
        <is>
          <t>Date</t>
        </is>
      </c>
      <c r="XF2" t="inlineStr">
        <is>
          <t>PX_LAST</t>
        </is>
      </c>
      <c r="XG2" t="inlineStr">
        <is>
          <t>PX_VOLUME</t>
        </is>
      </c>
      <c r="XI2" t="inlineStr">
        <is>
          <t>Date</t>
        </is>
      </c>
      <c r="XJ2" t="inlineStr">
        <is>
          <t>PX_LAST</t>
        </is>
      </c>
      <c r="XK2" t="inlineStr">
        <is>
          <t>PX_VOLUME</t>
        </is>
      </c>
      <c r="XM2" t="inlineStr">
        <is>
          <t>Date</t>
        </is>
      </c>
      <c r="XN2" t="inlineStr">
        <is>
          <t>PX_LAST</t>
        </is>
      </c>
      <c r="XO2" t="inlineStr">
        <is>
          <t>PX_VOLUME</t>
        </is>
      </c>
      <c r="XQ2" t="inlineStr">
        <is>
          <t>Date</t>
        </is>
      </c>
      <c r="XR2" t="inlineStr">
        <is>
          <t>PX_LAST</t>
        </is>
      </c>
      <c r="XS2" t="inlineStr">
        <is>
          <t>PX_VOLUME</t>
        </is>
      </c>
      <c r="XU2" t="inlineStr">
        <is>
          <t>Date</t>
        </is>
      </c>
      <c r="XV2" t="inlineStr">
        <is>
          <t>PX_LAST</t>
        </is>
      </c>
      <c r="XW2" t="inlineStr">
        <is>
          <t>PX_VOLUME</t>
        </is>
      </c>
      <c r="XY2" t="inlineStr">
        <is>
          <t>Date</t>
        </is>
      </c>
      <c r="XZ2" t="inlineStr">
        <is>
          <t>PX_LAST</t>
        </is>
      </c>
      <c r="YA2" t="inlineStr">
        <is>
          <t>PX_VOLUME</t>
        </is>
      </c>
      <c r="YC2" t="inlineStr">
        <is>
          <t>Date</t>
        </is>
      </c>
      <c r="YD2" t="inlineStr">
        <is>
          <t>PX_LAST</t>
        </is>
      </c>
      <c r="YE2" t="inlineStr">
        <is>
          <t>PX_VOLUME</t>
        </is>
      </c>
      <c r="YG2" t="inlineStr">
        <is>
          <t>Date</t>
        </is>
      </c>
      <c r="YH2" t="inlineStr">
        <is>
          <t>PX_LAST</t>
        </is>
      </c>
      <c r="YI2" t="inlineStr">
        <is>
          <t>PX_VOLUME</t>
        </is>
      </c>
      <c r="YK2" t="inlineStr">
        <is>
          <t>Date</t>
        </is>
      </c>
      <c r="YL2" t="inlineStr">
        <is>
          <t>PX_LAST</t>
        </is>
      </c>
      <c r="YM2" t="inlineStr">
        <is>
          <t>PX_VOLUME</t>
        </is>
      </c>
      <c r="YO2" t="inlineStr">
        <is>
          <t>Date</t>
        </is>
      </c>
      <c r="YP2" t="inlineStr">
        <is>
          <t>PX_LAST</t>
        </is>
      </c>
      <c r="YQ2" t="inlineStr">
        <is>
          <t>PX_VOLUME</t>
        </is>
      </c>
      <c r="YS2" t="inlineStr">
        <is>
          <t>Date</t>
        </is>
      </c>
      <c r="YT2" t="inlineStr">
        <is>
          <t>PX_LAST</t>
        </is>
      </c>
      <c r="YU2" t="inlineStr">
        <is>
          <t>PX_VOLUME</t>
        </is>
      </c>
      <c r="YW2" t="inlineStr">
        <is>
          <t>Date</t>
        </is>
      </c>
      <c r="YX2" t="inlineStr">
        <is>
          <t>PX_LAST</t>
        </is>
      </c>
      <c r="YY2" t="inlineStr">
        <is>
          <t>PX_VOLUME</t>
        </is>
      </c>
      <c r="ZA2" t="inlineStr">
        <is>
          <t>Date</t>
        </is>
      </c>
      <c r="ZB2" t="inlineStr">
        <is>
          <t>PX_LAST</t>
        </is>
      </c>
      <c r="ZC2" t="inlineStr">
        <is>
          <t>PX_VOLUME</t>
        </is>
      </c>
      <c r="ZE2" t="inlineStr">
        <is>
          <t>Date</t>
        </is>
      </c>
      <c r="ZF2" t="inlineStr">
        <is>
          <t>PX_LAST</t>
        </is>
      </c>
      <c r="ZG2" t="inlineStr">
        <is>
          <t>PX_VOLUME</t>
        </is>
      </c>
      <c r="ZI2" t="inlineStr">
        <is>
          <t>Date</t>
        </is>
      </c>
      <c r="ZJ2" t="inlineStr">
        <is>
          <t>PX_LAST</t>
        </is>
      </c>
      <c r="ZK2" t="inlineStr">
        <is>
          <t>PX_VOLUME</t>
        </is>
      </c>
      <c r="ZM2" t="inlineStr">
        <is>
          <t>Date</t>
        </is>
      </c>
      <c r="ZN2" t="inlineStr">
        <is>
          <t>PX_LAST</t>
        </is>
      </c>
      <c r="ZO2" t="inlineStr">
        <is>
          <t>PX_VOLUME</t>
        </is>
      </c>
      <c r="ZQ2" t="inlineStr">
        <is>
          <t>Date</t>
        </is>
      </c>
      <c r="ZR2" t="inlineStr">
        <is>
          <t>PX_LAST</t>
        </is>
      </c>
      <c r="ZS2" t="inlineStr">
        <is>
          <t>PX_VOLUME</t>
        </is>
      </c>
      <c r="ZU2" t="inlineStr">
        <is>
          <t>Date</t>
        </is>
      </c>
      <c r="ZV2" t="inlineStr">
        <is>
          <t>PX_LAST</t>
        </is>
      </c>
      <c r="ZW2" t="inlineStr">
        <is>
          <t>PX_VOLUME</t>
        </is>
      </c>
      <c r="ZY2" t="inlineStr">
        <is>
          <t>Date</t>
        </is>
      </c>
      <c r="ZZ2" t="inlineStr">
        <is>
          <t>PX_LAST</t>
        </is>
      </c>
      <c r="AAA2" t="inlineStr">
        <is>
          <t>PX_VOLUME</t>
        </is>
      </c>
      <c r="AAC2" t="inlineStr">
        <is>
          <t>Date</t>
        </is>
      </c>
      <c r="AAD2" t="inlineStr">
        <is>
          <t>PX_LAST</t>
        </is>
      </c>
      <c r="AAE2" t="inlineStr">
        <is>
          <t>PX_VOLUME</t>
        </is>
      </c>
      <c r="AAG2" t="inlineStr">
        <is>
          <t>Date</t>
        </is>
      </c>
      <c r="AAH2" t="inlineStr">
        <is>
          <t>PX_LAST</t>
        </is>
      </c>
      <c r="AAI2" t="inlineStr">
        <is>
          <t>PX_VOLUME</t>
        </is>
      </c>
      <c r="AAK2" t="inlineStr">
        <is>
          <t>Date</t>
        </is>
      </c>
      <c r="AAL2" t="inlineStr">
        <is>
          <t>PX_LAST</t>
        </is>
      </c>
      <c r="AAM2" t="inlineStr">
        <is>
          <t>PX_VOLUME</t>
        </is>
      </c>
      <c r="AAO2" t="inlineStr">
        <is>
          <t>Date</t>
        </is>
      </c>
      <c r="AAP2" t="inlineStr">
        <is>
          <t>PX_LAST</t>
        </is>
      </c>
      <c r="AAQ2" t="inlineStr">
        <is>
          <t>PX_VOLUME</t>
        </is>
      </c>
      <c r="AAS2" t="inlineStr">
        <is>
          <t>Date</t>
        </is>
      </c>
      <c r="AAT2" t="inlineStr">
        <is>
          <t>PX_LAST</t>
        </is>
      </c>
      <c r="AAU2" t="inlineStr">
        <is>
          <t>PX_VOLUME</t>
        </is>
      </c>
      <c r="AAW2" t="inlineStr">
        <is>
          <t>Date</t>
        </is>
      </c>
      <c r="AAX2" t="inlineStr">
        <is>
          <t>PX_LAST</t>
        </is>
      </c>
      <c r="AAY2" t="inlineStr">
        <is>
          <t>PX_VOLUME</t>
        </is>
      </c>
      <c r="ABA2" t="inlineStr">
        <is>
          <t>Date</t>
        </is>
      </c>
      <c r="ABB2" t="inlineStr">
        <is>
          <t>PX_LAST</t>
        </is>
      </c>
      <c r="ABC2" t="inlineStr">
        <is>
          <t>PX_VOLUME</t>
        </is>
      </c>
      <c r="ABE2" t="inlineStr">
        <is>
          <t>Date</t>
        </is>
      </c>
      <c r="ABF2" t="inlineStr">
        <is>
          <t>PX_LAST</t>
        </is>
      </c>
      <c r="ABG2" t="inlineStr">
        <is>
          <t>PX_VOLUME</t>
        </is>
      </c>
      <c r="ABI2" t="inlineStr">
        <is>
          <t>Date</t>
        </is>
      </c>
      <c r="ABJ2" t="inlineStr">
        <is>
          <t>PX_LAST</t>
        </is>
      </c>
      <c r="ABK2" t="inlineStr">
        <is>
          <t>PX_VOLUME</t>
        </is>
      </c>
      <c r="ABM2" t="inlineStr">
        <is>
          <t>Date</t>
        </is>
      </c>
      <c r="ABN2" t="inlineStr">
        <is>
          <t>PX_LAST</t>
        </is>
      </c>
      <c r="ABO2" t="inlineStr">
        <is>
          <t>PX_VOLUME</t>
        </is>
      </c>
      <c r="ABQ2" t="inlineStr">
        <is>
          <t>Date</t>
        </is>
      </c>
      <c r="ABR2" t="inlineStr">
        <is>
          <t>PX_LAST</t>
        </is>
      </c>
      <c r="ABS2" t="inlineStr">
        <is>
          <t>PX_VOLUME</t>
        </is>
      </c>
      <c r="ABU2" t="inlineStr">
        <is>
          <t>Date</t>
        </is>
      </c>
      <c r="ABV2" t="inlineStr">
        <is>
          <t>PX_LAST</t>
        </is>
      </c>
      <c r="ABW2" t="inlineStr">
        <is>
          <t>PX_VOLUME</t>
        </is>
      </c>
      <c r="ABY2" t="inlineStr">
        <is>
          <t>Date</t>
        </is>
      </c>
      <c r="ABZ2" t="inlineStr">
        <is>
          <t>PX_LAST</t>
        </is>
      </c>
      <c r="ACA2" t="inlineStr">
        <is>
          <t>PX_VOLUME</t>
        </is>
      </c>
      <c r="ACC2" t="inlineStr">
        <is>
          <t>Date</t>
        </is>
      </c>
      <c r="ACD2" t="inlineStr">
        <is>
          <t>PX_LAST</t>
        </is>
      </c>
      <c r="ACE2" t="inlineStr">
        <is>
          <t>PX_VOLUME</t>
        </is>
      </c>
      <c r="ACG2" t="inlineStr">
        <is>
          <t>Date</t>
        </is>
      </c>
      <c r="ACH2" t="inlineStr">
        <is>
          <t>PX_LAST</t>
        </is>
      </c>
      <c r="ACI2" t="inlineStr">
        <is>
          <t>PX_VOLUME</t>
        </is>
      </c>
      <c r="ACK2" t="inlineStr">
        <is>
          <t>Date</t>
        </is>
      </c>
      <c r="ACL2" t="inlineStr">
        <is>
          <t>PX_LAST</t>
        </is>
      </c>
      <c r="ACM2" t="inlineStr">
        <is>
          <t>PX_VOLUME</t>
        </is>
      </c>
      <c r="ACO2" t="inlineStr">
        <is>
          <t>Date</t>
        </is>
      </c>
      <c r="ACP2" t="inlineStr">
        <is>
          <t>PX_LAST</t>
        </is>
      </c>
      <c r="ACQ2" t="inlineStr">
        <is>
          <t>PX_VOLUME</t>
        </is>
      </c>
      <c r="ACS2" t="inlineStr">
        <is>
          <t>Date</t>
        </is>
      </c>
      <c r="ACT2" t="inlineStr">
        <is>
          <t>PX_LAST</t>
        </is>
      </c>
      <c r="ACU2" t="inlineStr">
        <is>
          <t>PX_VOLUME</t>
        </is>
      </c>
      <c r="ACW2" t="inlineStr">
        <is>
          <t>Date</t>
        </is>
      </c>
      <c r="ACX2" t="inlineStr">
        <is>
          <t>PX_LAST</t>
        </is>
      </c>
      <c r="ACY2" t="inlineStr">
        <is>
          <t>PX_VOLUME</t>
        </is>
      </c>
      <c r="ADA2" t="inlineStr">
        <is>
          <t>Date</t>
        </is>
      </c>
      <c r="ADB2" t="inlineStr">
        <is>
          <t>PX_LAST</t>
        </is>
      </c>
      <c r="ADC2" t="inlineStr">
        <is>
          <t>PX_VOLUME</t>
        </is>
      </c>
      <c r="ADE2" t="inlineStr">
        <is>
          <t>Date</t>
        </is>
      </c>
      <c r="ADF2" t="inlineStr">
        <is>
          <t>PX_LAST</t>
        </is>
      </c>
      <c r="ADG2" t="inlineStr">
        <is>
          <t>PX_VOLUME</t>
        </is>
      </c>
      <c r="ADI2" t="inlineStr">
        <is>
          <t>Date</t>
        </is>
      </c>
      <c r="ADJ2" t="inlineStr">
        <is>
          <t>PX_LAST</t>
        </is>
      </c>
      <c r="ADK2" t="inlineStr">
        <is>
          <t>PX_VOLUME</t>
        </is>
      </c>
      <c r="ADM2" t="inlineStr">
        <is>
          <t>Date</t>
        </is>
      </c>
      <c r="ADN2" t="inlineStr">
        <is>
          <t>PX_LAST</t>
        </is>
      </c>
      <c r="ADO2" t="inlineStr">
        <is>
          <t>PX_VOLUME</t>
        </is>
      </c>
      <c r="ADQ2" t="inlineStr">
        <is>
          <t>Date</t>
        </is>
      </c>
      <c r="ADR2" t="inlineStr">
        <is>
          <t>PX_LAST</t>
        </is>
      </c>
      <c r="ADS2" t="inlineStr">
        <is>
          <t>PX_VOLUME</t>
        </is>
      </c>
    </row>
    <row r="3">
      <c r="A3">
        <f>BDH("BBG0199KSM51 Equity","PX_LAST,PX_VOLUME","1/1/2020","6/10/2026")</f>
        <v/>
      </c>
      <c r="E3">
        <f>BDH("BBG0198P70B5 Equity","PX_LAST,PX_VOLUME","1/1/2020","6/10/2026")</f>
        <v/>
      </c>
      <c r="I3">
        <f>BDH("BBG0198P70L4 Equity","PX_LAST,PX_VOLUME","1/1/2020","6/10/2026")</f>
        <v/>
      </c>
      <c r="M3">
        <f>BDH("BBG0198P70V3 Equity","PX_LAST,PX_VOLUME","1/1/2020","6/10/2026")</f>
        <v/>
      </c>
      <c r="Q3">
        <f>BDH("BBG0198P7132 Equity","PX_LAST,PX_VOLUME","1/1/2020","6/10/2026")</f>
        <v/>
      </c>
      <c r="U3">
        <f>BDH("BBG0198P71C2 Equity","PX_LAST,PX_VOLUME","1/1/2020","6/10/2026")</f>
        <v/>
      </c>
      <c r="Y3">
        <f>BDH("BBG0198P71M1 Equity","PX_LAST,PX_VOLUME","1/1/2020","6/10/2026")</f>
        <v/>
      </c>
      <c r="AC3">
        <f>BDH("BBG0198P71W0 Equity","PX_LAST,PX_VOLUME","1/1/2020","6/10/2026")</f>
        <v/>
      </c>
      <c r="AG3">
        <f>BDH("BBG0198P7249 Equity","PX_LAST,PX_VOLUME","1/1/2020","6/10/2026")</f>
        <v/>
      </c>
      <c r="AK3">
        <f>BDH("BBG0198P72F7 Equity","PX_LAST,PX_VOLUME","1/1/2020","6/10/2026")</f>
        <v/>
      </c>
      <c r="AO3">
        <f>BDH("BBG0198P72P6 Equity","PX_LAST,PX_VOLUME","1/1/2020","6/10/2026")</f>
        <v/>
      </c>
      <c r="AS3">
        <f>BDH("BBG0198P72Y6 Equity","PX_LAST,PX_VOLUME","1/1/2020","6/10/2026")</f>
        <v/>
      </c>
      <c r="AW3">
        <f>BDH("BBG0198P7365 Equity","PX_LAST,PX_VOLUME","1/1/2020","6/10/2026")</f>
        <v/>
      </c>
      <c r="BA3">
        <f>BDH("BBG0198P73G4 Equity","PX_LAST,PX_VOLUME","1/1/2020","6/10/2026")</f>
        <v/>
      </c>
      <c r="BE3">
        <f>BDH("BBG0198P73Q3 Equity","PX_LAST,PX_VOLUME","1/1/2020","6/10/2026")</f>
        <v/>
      </c>
      <c r="BI3">
        <f>BDH("BBG0198P73Z3 Equity","PX_LAST,PX_VOLUME","1/1/2020","6/10/2026")</f>
        <v/>
      </c>
      <c r="BM3">
        <f>BDH("BBG0198P7472 Equity","PX_LAST,PX_VOLUME","1/1/2020","6/10/2026")</f>
        <v/>
      </c>
      <c r="BQ3">
        <f>BDH("BBG0198P74H1 Equity","PX_LAST,PX_VOLUME","1/1/2020","6/10/2026")</f>
        <v/>
      </c>
      <c r="BU3">
        <f>BDH("BBG0198P74R0 Equity","PX_LAST,PX_VOLUME","1/1/2020","6/10/2026")</f>
        <v/>
      </c>
      <c r="BY3">
        <f>BDH("BBG0198P7506 Equity","PX_LAST,PX_VOLUME","1/1/2020","6/10/2026")</f>
        <v/>
      </c>
      <c r="CC3">
        <f>BDH("BBG0198P7588 Equity","PX_LAST,PX_VOLUME","1/1/2020","6/10/2026")</f>
        <v/>
      </c>
      <c r="CG3">
        <f>BDH("BBG0198P75J6 Equity","PX_LAST,PX_VOLUME","1/1/2020","6/10/2026")</f>
        <v/>
      </c>
      <c r="CK3">
        <f>BDH("BBG019RDSKB4 Equity","PX_LAST,PX_VOLUME","1/1/2020","6/10/2026")</f>
        <v/>
      </c>
      <c r="CO3">
        <f>BDH("BBG019P3V741 Equity","PX_LAST,PX_VOLUME","1/1/2020","6/10/2026")</f>
        <v/>
      </c>
      <c r="CS3">
        <f>BDH("BBG019P3V7P8 Equity","PX_LAST,PX_VOLUME","1/1/2020","6/10/2026")</f>
        <v/>
      </c>
      <c r="CW3">
        <f>BDH("BBG019P3V867 Equity","PX_LAST,PX_VOLUME","1/1/2020","6/10/2026")</f>
        <v/>
      </c>
      <c r="DA3">
        <f>BDH("BBG019P3V8Q5 Equity","PX_LAST,PX_VOLUME","1/1/2020","6/10/2026")</f>
        <v/>
      </c>
      <c r="DE3">
        <f>BDH("BBG019P3V974 Equity","PX_LAST,PX_VOLUME","1/1/2020","6/10/2026")</f>
        <v/>
      </c>
      <c r="DI3">
        <f>BDH("BBG019P3V9R2 Equity","PX_LAST,PX_VOLUME","1/1/2020","6/10/2026")</f>
        <v/>
      </c>
      <c r="DM3">
        <f>BDH("BBG019P3VB88 Equity","PX_LAST,PX_VOLUME","1/1/2020","6/10/2026")</f>
        <v/>
      </c>
      <c r="DQ3">
        <f>BDH("BBG019P3VBS6 Equity","PX_LAST,PX_VOLUME","1/1/2020","6/10/2026")</f>
        <v/>
      </c>
      <c r="DU3">
        <f>BDH("BBG019P3VCB2 Equity","PX_LAST,PX_VOLUME","1/1/2020","6/10/2026")</f>
        <v/>
      </c>
      <c r="DY3">
        <f>BDH("BBG019P3VCV0 Equity","PX_LAST,PX_VOLUME","1/1/2020","6/10/2026")</f>
        <v/>
      </c>
      <c r="EC3">
        <f>BDH("BBG019P3VDC9 Equity","PX_LAST,PX_VOLUME","1/1/2020","6/10/2026")</f>
        <v/>
      </c>
      <c r="EG3">
        <f>BDH("BBG019P3VDW7 Equity","PX_LAST,PX_VOLUME","1/1/2020","6/10/2026")</f>
        <v/>
      </c>
      <c r="EK3">
        <f>BDH("BBG019P3VFD3 Equity","PX_LAST,PX_VOLUME","1/1/2020","6/10/2026")</f>
        <v/>
      </c>
      <c r="EO3">
        <f>BDH("BBG019P3VFX1 Equity","PX_LAST,PX_VOLUME","1/1/2020","6/10/2026")</f>
        <v/>
      </c>
      <c r="ES3">
        <f>BDH("BBG019P3VGG8 Equity","PX_LAST,PX_VOLUME","1/1/2020","6/10/2026")</f>
        <v/>
      </c>
      <c r="EW3">
        <f>BDH("BBG019P3VGZ7 Equity","PX_LAST,PX_VOLUME","1/1/2020","6/10/2026")</f>
        <v/>
      </c>
      <c r="FA3">
        <f>BDH("BBG019P3VHH5 Equity","PX_LAST,PX_VOLUME","1/1/2020","6/10/2026")</f>
        <v/>
      </c>
      <c r="FE3">
        <f>BDH("BBG019P3VJ09 Equity","PX_LAST,PX_VOLUME","1/1/2020","6/10/2026")</f>
        <v/>
      </c>
      <c r="FI3">
        <f>BDH("BBG019P3VJJ9 Equity","PX_LAST,PX_VOLUME","1/1/2020","6/10/2026")</f>
        <v/>
      </c>
      <c r="FM3">
        <f>BDH("BBG019P3VK15 Equity","PX_LAST,PX_VOLUME","1/1/2020","6/10/2026")</f>
        <v/>
      </c>
      <c r="FQ3">
        <f>BDH("BBG019P3VKL3 Equity","PX_LAST,PX_VOLUME","1/1/2020","6/10/2026")</f>
        <v/>
      </c>
      <c r="FU3">
        <f>BDH("BBG019RDSKV2 Equity","PX_LAST,PX_VOLUME","1/1/2020","6/10/2026")</f>
        <v/>
      </c>
      <c r="FY3">
        <f>BDH("BBG01949S2N5 Equity","PX_LAST,PX_VOLUME","1/1/2020","6/10/2026")</f>
        <v/>
      </c>
      <c r="GC3">
        <f>BDH("BBG01949S2X4 Equity","PX_LAST,PX_VOLUME","1/1/2020","6/10/2026")</f>
        <v/>
      </c>
      <c r="GG3">
        <f>BDH("BBG01949S353 Equity","PX_LAST,PX_VOLUME","1/1/2020","6/10/2026")</f>
        <v/>
      </c>
      <c r="GK3">
        <f>BDH("BBG01949S3F2 Equity","PX_LAST,PX_VOLUME","1/1/2020","6/10/2026")</f>
        <v/>
      </c>
      <c r="GO3">
        <f>BDH("BBG01949S3P1 Equity","PX_LAST,PX_VOLUME","1/1/2020","6/10/2026")</f>
        <v/>
      </c>
      <c r="GS3">
        <f>BDH("BBG01949S3Y1 Equity","PX_LAST,PX_VOLUME","1/1/2020","6/10/2026")</f>
        <v/>
      </c>
      <c r="GW3">
        <f>BDH("BBG01949S460 Equity","PX_LAST,PX_VOLUME","1/1/2020","6/10/2026")</f>
        <v/>
      </c>
      <c r="HA3">
        <f>BDH("BBG01949S4G9 Equity","PX_LAST,PX_VOLUME","1/1/2020","6/10/2026")</f>
        <v/>
      </c>
      <c r="HE3">
        <f>BDH("BBG01949S4Q8 Equity","PX_LAST,PX_VOLUME","1/1/2020","6/10/2026")</f>
        <v/>
      </c>
      <c r="HI3">
        <f>BDH("BBG01949S503 Equity","PX_LAST,PX_VOLUME","1/1/2020","6/10/2026")</f>
        <v/>
      </c>
      <c r="HM3">
        <f>BDH("BBG01949S585 Equity","PX_LAST,PX_VOLUME","1/1/2020","6/10/2026")</f>
        <v/>
      </c>
      <c r="HQ3">
        <f>BDH("BBG01949S5J3 Equity","PX_LAST,PX_VOLUME","1/1/2020","6/10/2026")</f>
        <v/>
      </c>
      <c r="HU3">
        <f>BDH("BBG01949S5S3 Equity","PX_LAST,PX_VOLUME","1/1/2020","6/10/2026")</f>
        <v/>
      </c>
      <c r="HY3">
        <f>BDH("BBG01949S610 Equity","PX_LAST,PX_VOLUME","1/1/2020","6/10/2026")</f>
        <v/>
      </c>
      <c r="IC3">
        <f>BDH("BBG01949S692 Equity","PX_LAST,PX_VOLUME","1/1/2020","6/10/2026")</f>
        <v/>
      </c>
      <c r="IG3">
        <f>BDH("BBG01949S6K9 Equity","PX_LAST,PX_VOLUME","1/1/2020","6/10/2026")</f>
        <v/>
      </c>
      <c r="IK3">
        <f>BDH("BBG0199KSMF0 Equity","PX_LAST,PX_VOLUME","1/1/2020","6/10/2026")</f>
        <v/>
      </c>
      <c r="IO3">
        <f>BDH("BBG019RDSLC1 Equity","PX_LAST,PX_VOLUME","1/1/2020","6/10/2026")</f>
        <v/>
      </c>
      <c r="IS3">
        <f>BDH("BBG01C5CPPW2 Equity","PX_LAST,PX_VOLUME","1/1/2020","6/10/2026")</f>
        <v/>
      </c>
      <c r="IW3">
        <f>BDH("BBG01C5CPQN0 Equity","PX_LAST,PX_VOLUME","1/1/2020","6/10/2026")</f>
        <v/>
      </c>
      <c r="JA3">
        <f>BDH("BBG01BL96K28 Equity","PX_LAST,PX_VOLUME","1/1/2020","6/10/2026")</f>
        <v/>
      </c>
      <c r="JE3">
        <f>BDH("BBG01BL96KS0 Equity","PX_LAST,PX_VOLUME","1/1/2020","6/10/2026")</f>
        <v/>
      </c>
      <c r="JI3">
        <f>BDH("BBG01BL96LH0 Equity","PX_LAST,PX_VOLUME","1/1/2020","6/10/2026")</f>
        <v/>
      </c>
      <c r="JM3">
        <f>BDH("BBG01BL96M79 Equity","PX_LAST,PX_VOLUME","1/1/2020","6/10/2026")</f>
        <v/>
      </c>
      <c r="JQ3">
        <f>BDH("BBG01BL96MY9 Equity","PX_LAST,PX_VOLUME","1/1/2020","6/10/2026")</f>
        <v/>
      </c>
      <c r="JU3">
        <f>BDH("BBG01BL96NN9 Equity","PX_LAST,PX_VOLUME","1/1/2020","6/10/2026")</f>
        <v/>
      </c>
      <c r="JY3">
        <f>BDH("BBG01BL96PC6 Equity","PX_LAST,PX_VOLUME","1/1/2020","6/10/2026")</f>
        <v/>
      </c>
      <c r="KC3">
        <f>BDH("BBG01BL96Q25 Equity","PX_LAST,PX_VOLUME","1/1/2020","6/10/2026")</f>
        <v/>
      </c>
      <c r="KG3">
        <f>BDH("BBG01BL96QV3 Equity","PX_LAST,PX_VOLUME","1/1/2020","6/10/2026")</f>
        <v/>
      </c>
      <c r="KK3">
        <f>BDH("BBG01BL96RK3 Equity","PX_LAST,PX_VOLUME","1/1/2020","6/10/2026")</f>
        <v/>
      </c>
      <c r="KO3">
        <f>BDH("BBG01BL96S85 Equity","PX_LAST,PX_VOLUME","1/1/2020","6/10/2026")</f>
        <v/>
      </c>
      <c r="KS3">
        <f>BDH("BBG01BL96SZ5 Equity","PX_LAST,PX_VOLUME","1/1/2020","6/10/2026")</f>
        <v/>
      </c>
      <c r="KW3">
        <f>BDH("BBG01BL96TQ3 Equity","PX_LAST,PX_VOLUME","1/1/2020","6/10/2026")</f>
        <v/>
      </c>
      <c r="LA3">
        <f>BDH("BBG01BL96VF0 Equity","PX_LAST,PX_VOLUME","1/1/2020","6/10/2026")</f>
        <v/>
      </c>
      <c r="LE3">
        <f>BDH("BBG01BL96W40 Equity","PX_LAST,PX_VOLUME","1/1/2020","6/10/2026")</f>
        <v/>
      </c>
      <c r="LI3">
        <f>BDH("BBG01BL96WV0 Equity","PX_LAST,PX_VOLUME","1/1/2020","6/10/2026")</f>
        <v/>
      </c>
      <c r="LM3">
        <f>BDH("BBG01BL96XK0 Equity","PX_LAST,PX_VOLUME","1/1/2020","6/10/2026")</f>
        <v/>
      </c>
      <c r="LQ3">
        <f>BDH("BBG01BL96Y91 Equity","PX_LAST,PX_VOLUME","1/1/2020","6/10/2026")</f>
        <v/>
      </c>
      <c r="LU3">
        <f>BDH("BBG01BL96Z07 Equity","PX_LAST,PX_VOLUME","1/1/2020","6/10/2026")</f>
        <v/>
      </c>
      <c r="LY3">
        <f>BDH("BBG01BL96ZQ9 Equity","PX_LAST,PX_VOLUME","1/1/2020","6/10/2026")</f>
        <v/>
      </c>
      <c r="MC3">
        <f>BDH("BBG01BL970F7 Equity","PX_LAST,PX_VOLUME","1/1/2020","6/10/2026")</f>
        <v/>
      </c>
      <c r="MG3">
        <f>BDH("BBG01C0YQ0S8 Equity","PX_LAST,PX_VOLUME","1/1/2020","6/10/2026")</f>
        <v/>
      </c>
      <c r="MK3">
        <f>BDH("BBG01C0YQ1K4 Equity","PX_LAST,PX_VOLUME","1/1/2020","6/10/2026")</f>
        <v/>
      </c>
      <c r="MO3">
        <f>BDH("BBG01C0YQ2C1 Equity","PX_LAST,PX_VOLUME","1/1/2020","6/10/2026")</f>
        <v/>
      </c>
      <c r="MS3">
        <f>BDH("BBG01C0YQ348 Equity","PX_LAST,PX_VOLUME","1/1/2020","6/10/2026")</f>
        <v/>
      </c>
      <c r="MW3">
        <f>BDH("BBG01C0YQ3X6 Equity","PX_LAST,PX_VOLUME","1/1/2020","6/10/2026")</f>
        <v/>
      </c>
      <c r="NA3">
        <f>BDH("BBG01C0YQ4P3 Equity","PX_LAST,PX_VOLUME","1/1/2020","6/10/2026")</f>
        <v/>
      </c>
      <c r="NE3">
        <f>BDH("BBG01C0YQ5H9 Equity","PX_LAST,PX_VOLUME","1/1/2020","6/10/2026")</f>
        <v/>
      </c>
      <c r="NI3">
        <f>BDH("BBG01C0YQ687 Equity","PX_LAST,PX_VOLUME","1/1/2020","6/10/2026")</f>
        <v/>
      </c>
      <c r="NM3">
        <f>BDH("BBG01C0YQ712 Equity","PX_LAST,PX_VOLUME","1/1/2020","6/10/2026")</f>
        <v/>
      </c>
      <c r="NQ3">
        <f>BDH("BBG01C0YQ7T2 Equity","PX_LAST,PX_VOLUME","1/1/2020","6/10/2026")</f>
        <v/>
      </c>
      <c r="NU3">
        <f>BDH("BBG01C0YQ8N6 Equity","PX_LAST,PX_VOLUME","1/1/2020","6/10/2026")</f>
        <v/>
      </c>
      <c r="NY3">
        <f>BDH("BBG01C0YQ9F3 Equity","PX_LAST,PX_VOLUME","1/1/2020","6/10/2026")</f>
        <v/>
      </c>
      <c r="OC3">
        <f>BDH("BBG01C0YQB68 Equity","PX_LAST,PX_VOLUME","1/1/2020","6/10/2026")</f>
        <v/>
      </c>
      <c r="OG3">
        <f>BDH("BBG01C0YQBZ6 Equity","PX_LAST,PX_VOLUME","1/1/2020","6/10/2026")</f>
        <v/>
      </c>
      <c r="OK3">
        <f>BDH("BBG01C0YQCT1 Equity","PX_LAST,PX_VOLUME","1/1/2020","6/10/2026")</f>
        <v/>
      </c>
      <c r="OO3">
        <f>BDH("BBG01C0YQDL7 Equity","PX_LAST,PX_VOLUME","1/1/2020","6/10/2026")</f>
        <v/>
      </c>
      <c r="OS3">
        <f>BDH("BBG01C0YQFC2 Equity","PX_LAST,PX_VOLUME","1/1/2020","6/10/2026")</f>
        <v/>
      </c>
      <c r="OW3">
        <f>BDH("BBG01C0YQG49 Equity","PX_LAST,PX_VOLUME","1/1/2020","6/10/2026")</f>
        <v/>
      </c>
      <c r="PA3">
        <f>BDH("BBG01C0YQGY6 Equity","PX_LAST,PX_VOLUME","1/1/2020","6/10/2026")</f>
        <v/>
      </c>
      <c r="PE3">
        <f>BDH("BBG01C0YQHQ3 Equity","PX_LAST,PX_VOLUME","1/1/2020","6/10/2026")</f>
        <v/>
      </c>
      <c r="PI3">
        <f>BDH("BBG01BNH4RH9 Equity","PX_LAST,PX_VOLUME","1/1/2020","6/10/2026")</f>
        <v/>
      </c>
      <c r="PM3">
        <f>BDH("BBG01BNH4S69 Equity","PX_LAST,PX_VOLUME","1/1/2020","6/10/2026")</f>
        <v/>
      </c>
      <c r="PQ3">
        <f>BDH("BBG01BHCHZJ3 Equity","PX_LAST,PX_VOLUME","1/1/2020","6/10/2026")</f>
        <v/>
      </c>
      <c r="PU3">
        <f>BDH("BBG01BHCJ071 Equity","PX_LAST,PX_VOLUME","1/1/2020","6/10/2026")</f>
        <v/>
      </c>
      <c r="PY3">
        <f>BDH("BBG019YT4BJ9 Equity","PX_LAST,PX_VOLUME","1/1/2020","6/10/2026")</f>
        <v/>
      </c>
      <c r="QC3">
        <f>BDH("BBG01BHCJ0Y1 Equity","PX_LAST,PX_VOLUME","1/1/2020","6/10/2026")</f>
        <v/>
      </c>
      <c r="QG3">
        <f>BDH("BBG01BHCJ1N1 Equity","PX_LAST,PX_VOLUME","1/1/2020","6/10/2026")</f>
        <v/>
      </c>
      <c r="QK3">
        <f>BDH("BBG019XLZTL1 Equity","PX_LAST,PX_VOLUME","1/1/2020","6/10/2026")</f>
        <v/>
      </c>
      <c r="QO3">
        <f>BDH("BBG019XLZV90 Equity","PX_LAST,PX_VOLUME","1/1/2020","6/10/2026")</f>
        <v/>
      </c>
      <c r="QS3">
        <f>BDH("BBG019XLZW07 Equity","PX_LAST,PX_VOLUME","1/1/2020","6/10/2026")</f>
        <v/>
      </c>
      <c r="QW3">
        <f>BDH("BBG019XLZWQ9 Equity","PX_LAST,PX_VOLUME","1/1/2020","6/10/2026")</f>
        <v/>
      </c>
      <c r="RA3">
        <f>BDH("BBG019XLZXF9 Equity","PX_LAST,PX_VOLUME","1/1/2020","6/10/2026")</f>
        <v/>
      </c>
      <c r="RE3">
        <f>BDH("BBG019XLZY58 Equity","PX_LAST,PX_VOLUME","1/1/2020","6/10/2026")</f>
        <v/>
      </c>
      <c r="RI3">
        <f>BDH("BBG019XLZYW8 Equity","PX_LAST,PX_VOLUME","1/1/2020","6/10/2026")</f>
        <v/>
      </c>
      <c r="RM3">
        <f>BDH("BBG01949S6T0 Equity","PX_LAST,PX_VOLUME","1/1/2020","6/10/2026")</f>
        <v/>
      </c>
      <c r="RQ3">
        <f>BDH("BBG01949S727 Equity","PX_LAST,PX_VOLUME","1/1/2020","6/10/2026")</f>
        <v/>
      </c>
      <c r="RU3">
        <f>BDH("BBG01949S7B7 Equity","PX_LAST,PX_VOLUME","1/1/2020","6/10/2026")</f>
        <v/>
      </c>
      <c r="RY3">
        <f>BDH("BBG01949S7L6 Equity","PX_LAST,PX_VOLUME","1/1/2020","6/10/2026")</f>
        <v/>
      </c>
      <c r="SC3">
        <f>BDH("BBG01949S7V5 Equity","PX_LAST,PX_VOLUME","1/1/2020","6/10/2026")</f>
        <v/>
      </c>
      <c r="SG3">
        <f>BDH("BBG01949S843 Equity","PX_LAST,PX_VOLUME","1/1/2020","6/10/2026")</f>
        <v/>
      </c>
      <c r="SK3">
        <f>BDH("BBG01949S8D3 Equity","PX_LAST,PX_VOLUME","1/1/2020","6/10/2026")</f>
        <v/>
      </c>
      <c r="SO3">
        <f>BDH("BBG01949S8N2 Equity","PX_LAST,PX_VOLUME","1/1/2020","6/10/2026")</f>
        <v/>
      </c>
      <c r="SS3">
        <f>BDH("BBG01949S8X1 Equity","PX_LAST,PX_VOLUME","1/1/2020","6/10/2026")</f>
        <v/>
      </c>
      <c r="SW3">
        <f>BDH("BBG01949S950 Equity","PX_LAST,PX_VOLUME","1/1/2020","6/10/2026")</f>
        <v/>
      </c>
      <c r="TA3">
        <f>BDH("BBG01949S9F9 Equity","PX_LAST,PX_VOLUME","1/1/2020","6/10/2026")</f>
        <v/>
      </c>
      <c r="TE3">
        <f>BDH("BBG01949S9P8 Equity","PX_LAST,PX_VOLUME","1/1/2020","6/10/2026")</f>
        <v/>
      </c>
      <c r="TI3">
        <f>BDH("BBG01949S9Y8 Equity","PX_LAST,PX_VOLUME","1/1/2020","6/10/2026")</f>
        <v/>
      </c>
      <c r="TM3">
        <f>BDH("BBG01949SB64 Equity","PX_LAST,PX_VOLUME","1/1/2020","6/10/2026")</f>
        <v/>
      </c>
      <c r="TQ3">
        <f>BDH("BBG01949SBG3 Equity","PX_LAST,PX_VOLUME","1/1/2020","6/10/2026")</f>
        <v/>
      </c>
      <c r="TU3">
        <f>BDH("BBG01949SBQ2 Equity","PX_LAST,PX_VOLUME","1/1/2020","6/10/2026")</f>
        <v/>
      </c>
      <c r="TY3">
        <f>BDH("BBG0199KSMP9 Equity","PX_LAST,PX_VOLUME","1/1/2020","6/10/2026")</f>
        <v/>
      </c>
      <c r="UC3">
        <f>BDH("BBG019RDSLW9 Equity","PX_LAST,PX_VOLUME","1/1/2020","6/10/2026")</f>
        <v/>
      </c>
      <c r="UG3">
        <f>BDH("BBG01FV6CDC2 Equity","PX_LAST,PX_VOLUME","1/1/2020","6/10/2026")</f>
        <v/>
      </c>
      <c r="UK3">
        <f>BDH("BBG01FBTLRS6 Equity","PX_LAST,PX_VOLUME","1/1/2020","6/10/2026")</f>
        <v/>
      </c>
      <c r="UO3">
        <f>BDH("BBG01FBTLSR5 Equity","PX_LAST,PX_VOLUME","1/1/2020","6/10/2026")</f>
        <v/>
      </c>
      <c r="US3">
        <f>BDH("BBG01FBTLTQ4 Equity","PX_LAST,PX_VOLUME","1/1/2020","6/10/2026")</f>
        <v/>
      </c>
      <c r="UW3">
        <f>BDH("BBG01FBTLVQ9 Equity","PX_LAST,PX_VOLUME","1/1/2020","6/10/2026")</f>
        <v/>
      </c>
      <c r="VA3">
        <f>BDH("BBG01FBTLWP8 Equity","PX_LAST,PX_VOLUME","1/1/2020","6/10/2026")</f>
        <v/>
      </c>
      <c r="VE3">
        <f>BDH("BBG01G2LYG92 Equity","PX_LAST,PX_VOLUME","1/1/2020","6/10/2026")</f>
        <v/>
      </c>
      <c r="VI3">
        <f>BDH("BBG01G2LYH81 Equity","PX_LAST,PX_VOLUME","1/1/2020","6/10/2026")</f>
        <v/>
      </c>
      <c r="VM3">
        <f>BDH("BBG01FBTLXN8 Equity","PX_LAST,PX_VOLUME","1/1/2020","6/10/2026")</f>
        <v/>
      </c>
      <c r="VQ3">
        <f>BDH("BBG01G2LYJ78 Equity","PX_LAST,PX_VOLUME","1/1/2020","6/10/2026")</f>
        <v/>
      </c>
      <c r="VU3">
        <f>BDH("BBG01FBTLYN6 Equity","PX_LAST,PX_VOLUME","1/1/2020","6/10/2026")</f>
        <v/>
      </c>
      <c r="VY3">
        <f>BDH("BBG01G2LYK75 Equity","PX_LAST,PX_VOLUME","1/1/2020","6/10/2026")</f>
        <v/>
      </c>
      <c r="WC3">
        <f>BDH("BBG01FBTLZM4 Equity","PX_LAST,PX_VOLUME","1/1/2020","6/10/2026")</f>
        <v/>
      </c>
      <c r="WG3">
        <f>BDH("BBG01G2LYL64 Equity","PX_LAST,PX_VOLUME","1/1/2020","6/10/2026")</f>
        <v/>
      </c>
      <c r="WK3">
        <f>BDH("BBG01FBTM0L1 Equity","PX_LAST,PX_VOLUME","1/1/2020","6/10/2026")</f>
        <v/>
      </c>
      <c r="WO3">
        <f>BDH("BBG01G2LYM53 Equity","PX_LAST,PX_VOLUME","1/1/2020","6/10/2026")</f>
        <v/>
      </c>
      <c r="WS3">
        <f>BDH("BBG01FBTM1L9 Equity","PX_LAST,PX_VOLUME","1/1/2020","6/10/2026")</f>
        <v/>
      </c>
      <c r="WW3">
        <f>BDH("BBG01G2LYN51 Equity","PX_LAST,PX_VOLUME","1/1/2020","6/10/2026")</f>
        <v/>
      </c>
      <c r="XA3">
        <f>BDH("BBG01FBTM2K8 Equity","PX_LAST,PX_VOLUME","1/1/2020","6/10/2026")</f>
        <v/>
      </c>
      <c r="XE3">
        <f>BDH("BBG01G2LYP47 Equity","PX_LAST,PX_VOLUME","1/1/2020","6/10/2026")</f>
        <v/>
      </c>
      <c r="XI3">
        <f>BDH("BBG01FBTM3J8 Equity","PX_LAST,PX_VOLUME","1/1/2020","6/10/2026")</f>
        <v/>
      </c>
      <c r="XM3">
        <f>BDH("BBG01G2LYQ36 Equity","PX_LAST,PX_VOLUME","1/1/2020","6/10/2026")</f>
        <v/>
      </c>
      <c r="XQ3">
        <f>BDH("BBG01FBTM4H8 Equity","PX_LAST,PX_VOLUME","1/1/2020","6/10/2026")</f>
        <v/>
      </c>
      <c r="XU3">
        <f>BDH("BBG01FBTM5H5 Equity","PX_LAST,PX_VOLUME","1/1/2020","6/10/2026")</f>
        <v/>
      </c>
      <c r="XY3">
        <f>BDH("BBG01FBTM6G4 Equity","PX_LAST,PX_VOLUME","1/1/2020","6/10/2026")</f>
        <v/>
      </c>
      <c r="YC3">
        <f>BDH("BBG01FBTM7F3 Equity","PX_LAST,PX_VOLUME","1/1/2020","6/10/2026")</f>
        <v/>
      </c>
      <c r="YG3">
        <f>BDH("BBG01FBTM8F1 Equity","PX_LAST,PX_VOLUME","1/1/2020","6/10/2026")</f>
        <v/>
      </c>
      <c r="YK3">
        <f>BDH("BBG01FBTM9D1 Equity","PX_LAST,PX_VOLUME","1/1/2020","6/10/2026")</f>
        <v/>
      </c>
      <c r="YO3">
        <f>BDH("BBG01FKHFNZ0 Equity","PX_LAST,PX_VOLUME","1/1/2020","6/10/2026")</f>
        <v/>
      </c>
      <c r="YS3">
        <f>BDH("BBG01FBTMBC7 Equity","PX_LAST,PX_VOLUME","1/1/2020","6/10/2026")</f>
        <v/>
      </c>
      <c r="YW3">
        <f>BDH("BBG01FZ9V592 Equity","PX_LAST,PX_VOLUME","1/1/2020","6/10/2026")</f>
        <v/>
      </c>
      <c r="ZA3">
        <f>BDH("BBG01FZ9V681 Equity","PX_LAST,PX_VOLUME","1/1/2020","6/10/2026")</f>
        <v/>
      </c>
      <c r="ZE3">
        <f>BDH("BBG01FXKSYW4 Equity","PX_LAST,PX_VOLUME","1/1/2020","6/10/2026")</f>
        <v/>
      </c>
      <c r="ZI3">
        <f>BDH("BBG01FXKSZV2 Equity","PX_LAST,PX_VOLUME","1/1/2020","6/10/2026")</f>
        <v/>
      </c>
      <c r="ZM3">
        <f>BDH("BBG01FXKT0T1 Equity","PX_LAST,PX_VOLUME","1/1/2020","6/10/2026")</f>
        <v/>
      </c>
      <c r="ZQ3">
        <f>BDH("BBG01FXKT1T9 Equity","PX_LAST,PX_VOLUME","1/1/2020","6/10/2026")</f>
        <v/>
      </c>
      <c r="ZU3">
        <f>BDH("BBG01FXKT2S8 Equity","PX_LAST,PX_VOLUME","1/1/2020","6/10/2026")</f>
        <v/>
      </c>
      <c r="ZY3">
        <f>BDH("BBG01FXKT3R7 Equity","PX_LAST,PX_VOLUME","1/1/2020","6/10/2026")</f>
        <v/>
      </c>
      <c r="AAC3">
        <f>BDH("BBG01FXKT4Q6 Equity","PX_LAST,PX_VOLUME","1/1/2020","6/10/2026")</f>
        <v/>
      </c>
      <c r="AAG3">
        <f>BDH("BBG01FXKT5Q3 Equity","PX_LAST,PX_VOLUME","1/1/2020","6/10/2026")</f>
        <v/>
      </c>
      <c r="AAK3">
        <f>BDH("BBG01FXKT6P2 Equity","PX_LAST,PX_VOLUME","1/1/2020","6/10/2026")</f>
        <v/>
      </c>
      <c r="AAO3">
        <f>BDH("BBG01FXKT7N2 Equity","PX_LAST,PX_VOLUME","1/1/2020","6/10/2026")</f>
        <v/>
      </c>
      <c r="AAS3">
        <f>BDH("BBG01FXKT8N0 Equity","PX_LAST,PX_VOLUME","1/1/2020","6/10/2026")</f>
        <v/>
      </c>
      <c r="AAW3">
        <f>BDH("BBG01FXKT9M9 Equity","PX_LAST,PX_VOLUME","1/1/2020","6/10/2026")</f>
        <v/>
      </c>
      <c r="ABA3">
        <f>BDH("BBG01FXKTBL5 Equity","PX_LAST,PX_VOLUME","1/1/2020","6/10/2026")</f>
        <v/>
      </c>
      <c r="ABE3">
        <f>BDH("BBG01FXKTCL3 Equity","PX_LAST,PX_VOLUME","1/1/2020","6/10/2026")</f>
        <v/>
      </c>
      <c r="ABI3">
        <f>BDH("BBG01FXKTDK2 Equity","PX_LAST,PX_VOLUME","1/1/2020","6/10/2026")</f>
        <v/>
      </c>
      <c r="ABM3">
        <f>BDH("BBG01FXKTFJ9 Equity","PX_LAST,PX_VOLUME","1/1/2020","6/10/2026")</f>
        <v/>
      </c>
      <c r="ABQ3">
        <f>BDH("BBG01FXKTGH9 Equity","PX_LAST,PX_VOLUME","1/1/2020","6/10/2026")</f>
        <v/>
      </c>
      <c r="ABU3">
        <f>BDH("BBG01FY08LK0 Equity","PX_LAST,PX_VOLUME","1/1/2020","6/10/2026")</f>
        <v/>
      </c>
      <c r="ABY3">
        <f>BDH("BBG01FZYDQH2 Equity","PX_LAST,PX_VOLUME","1/1/2020","6/10/2026")</f>
        <v/>
      </c>
      <c r="ACC3">
        <f>BDH("BBG01G1KF9N6 Equity","PX_LAST,PX_VOLUME","1/1/2020","6/10/2026")</f>
        <v/>
      </c>
      <c r="ACG3">
        <f>BDH("BBG01BNH4SX9 Equity","PX_LAST,PX_VOLUME","1/1/2020","6/10/2026")</f>
        <v/>
      </c>
      <c r="ACK3">
        <f>BDH("BBG01BHCJ2D0 Equity","PX_LAST,PX_VOLUME","1/1/2020","6/10/2026")</f>
        <v/>
      </c>
      <c r="ACO3">
        <f>BDH("BBG01BHCJ339 Equity","PX_LAST,PX_VOLUME","1/1/2020","6/10/2026")</f>
        <v/>
      </c>
      <c r="ACS3">
        <f>BDH("BBG01BHCJ3T1 Equity","PX_LAST,PX_VOLUME","1/1/2020","6/10/2026")</f>
        <v/>
      </c>
      <c r="ACW3">
        <f>BDH("BBG01B9WSP53 Equity","PX_LAST,PX_VOLUME","1/1/2020","6/10/2026")</f>
        <v/>
      </c>
      <c r="ADA3">
        <f>BDH("BBG01B4PH327 Equity","PX_LAST,PX_VOLUME","1/1/2020","6/10/2026")</f>
        <v/>
      </c>
      <c r="ADE3">
        <f>BDH("BBG01B4PH3S9 Equity","PX_LAST,PX_VOLUME","1/1/2020","6/10/2026")</f>
        <v/>
      </c>
      <c r="ADI3">
        <f>BDH("BBG01B4PH4H9 Equity","PX_LAST,PX_VOLUME","1/1/2020","6/10/2026")</f>
        <v/>
      </c>
      <c r="ADM3">
        <f>BDH("BBG01B4PH568 Equity","PX_LAST,PX_VOLUME","1/1/2020","6/10/2026")</f>
        <v/>
      </c>
      <c r="ADQ3">
        <f>BDH("BBG01B4PH5Y7 Equity","PX_LAST,PX_VOLUME","1/1/2020","6/10/2026")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DS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BBG01B4PH6N7 Equity (TSLL US 06/16/23 P11)</t>
        </is>
      </c>
      <c r="E1" t="inlineStr">
        <is>
          <t>BBG01B4PH7C7 Equity (TSLL US 06/16/23 P12)</t>
        </is>
      </c>
      <c r="I1" t="inlineStr">
        <is>
          <t>BBG01B4PH826 Equity (TSLL US 06/16/23 P13)</t>
        </is>
      </c>
      <c r="M1" t="inlineStr">
        <is>
          <t>BBG01B4PH8T7 Equity (TSLL US 06/16/23 P14)</t>
        </is>
      </c>
      <c r="Q1" t="inlineStr">
        <is>
          <t>BBG01B4PH9J6 Equity (TSLL US 06/16/23 P15)</t>
        </is>
      </c>
      <c r="U1" t="inlineStr">
        <is>
          <t>BBG01B4PHB74 Equity (TSLL US 06/16/23 P16)</t>
        </is>
      </c>
      <c r="Y1" t="inlineStr">
        <is>
          <t>BBG01B4PHBY4 Equity (TSLL US 06/16/23 P17)</t>
        </is>
      </c>
      <c r="AC1" t="inlineStr">
        <is>
          <t>BBG01B4PHCN4 Equity (TSLL US 06/16/23 P18)</t>
        </is>
      </c>
      <c r="AG1" t="inlineStr">
        <is>
          <t>BBG01B4PHDD3 Equity (TSLL US 06/16/23 P19)</t>
        </is>
      </c>
      <c r="AK1" t="inlineStr">
        <is>
          <t>BBG01B4PHF39 Equity (TSLL US 06/16/23 P20)</t>
        </is>
      </c>
      <c r="AO1" t="inlineStr">
        <is>
          <t>BBG01B4PHFT1 Equity (TSLL US 06/16/23 P21)</t>
        </is>
      </c>
      <c r="AS1" t="inlineStr">
        <is>
          <t>BBG01B4PHGJ0 Equity (TSLL US 06/16/23 P22)</t>
        </is>
      </c>
      <c r="AW1" t="inlineStr">
        <is>
          <t>BBG01B4PHH80 Equity (TSLL US 06/16/23 P23)</t>
        </is>
      </c>
      <c r="BA1" t="inlineStr">
        <is>
          <t>BBG01B4PHHZ0 Equity (TSLL US 06/16/23 P24)</t>
        </is>
      </c>
      <c r="BE1" t="inlineStr">
        <is>
          <t>BBG01B4PHJP7 Equity (TSLL US 06/16/23 P25)</t>
        </is>
      </c>
      <c r="BI1" t="inlineStr">
        <is>
          <t>BBG01B4PHKD7 Equity (TSLL US 06/16/23 P26)</t>
        </is>
      </c>
      <c r="BM1" t="inlineStr">
        <is>
          <t>BBG01B9WSPW3 Equity (TSLL US 06/16/23 P30)</t>
        </is>
      </c>
      <c r="BQ1" t="inlineStr">
        <is>
          <t>BBG01GQJFNV2 Equity (TSLL US 07/21/23 P1)</t>
        </is>
      </c>
      <c r="BU1" t="inlineStr">
        <is>
          <t>BBG01GQJFPT0 Equity (TSLL US 07/21/23 P2)</t>
        </is>
      </c>
      <c r="BY1" t="inlineStr">
        <is>
          <t>BBG01GQJFQS9 Equity (TSLL US 07/21/23 P3)</t>
        </is>
      </c>
      <c r="CC1" t="inlineStr">
        <is>
          <t>BBG01GQJFRS7 Equity (TSLL US 07/21/23 P4)</t>
        </is>
      </c>
      <c r="CG1" t="inlineStr">
        <is>
          <t>BBG01GQJFSR6 Equity (TSLL US 07/21/23 P5)</t>
        </is>
      </c>
      <c r="CK1" t="inlineStr">
        <is>
          <t>BBG01GQJFTQ5 Equity (TSLL US 07/21/23 P6)</t>
        </is>
      </c>
      <c r="CO1" t="inlineStr">
        <is>
          <t>BBG01GQJFVQ0 Equity (TSLL US 07/21/23 P7)</t>
        </is>
      </c>
      <c r="CS1" t="inlineStr">
        <is>
          <t>BBG01GQJFWP9 Equity (TSLL US 07/21/23 P8)</t>
        </is>
      </c>
      <c r="CW1" t="inlineStr">
        <is>
          <t>BBG01GQJFXN9 Equity (TSLL US 07/21/23 P9)</t>
        </is>
      </c>
      <c r="DA1" t="inlineStr">
        <is>
          <t>BBG01GQJFYN7 Equity (TSLL US 07/21/23 P10)</t>
        </is>
      </c>
      <c r="DE1" t="inlineStr">
        <is>
          <t>BBG01GQJFZM5 Equity (TSLL US 07/21/23 P11)</t>
        </is>
      </c>
      <c r="DI1" t="inlineStr">
        <is>
          <t>BBG01GQJG0L2 Equity (TSLL US 07/21/23 P12)</t>
        </is>
      </c>
      <c r="DM1" t="inlineStr">
        <is>
          <t>BBG01GQJG1K1 Equity (TSLL US 07/21/23 P13)</t>
        </is>
      </c>
      <c r="DQ1" t="inlineStr">
        <is>
          <t>BBG01GQJG2K9 Equity (TSLL US 07/21/23 P14)</t>
        </is>
      </c>
      <c r="DU1" t="inlineStr">
        <is>
          <t>BBG01GQJG3J9 Equity (TSLL US 07/21/23 P15)</t>
        </is>
      </c>
      <c r="DY1" t="inlineStr">
        <is>
          <t>BBG01GQJG4H9 Equity (TSLL US 07/21/23 P16)</t>
        </is>
      </c>
      <c r="EC1" t="inlineStr">
        <is>
          <t>BBG01GQJG5H6 Equity (TSLL US 07/21/23 P17)</t>
        </is>
      </c>
      <c r="EG1" t="inlineStr">
        <is>
          <t>BBG01GQJG6G5 Equity (TSLL US 07/21/23 P18)</t>
        </is>
      </c>
      <c r="EK1" t="inlineStr">
        <is>
          <t>BBG01GSL94Z0 Equity (TSLL US 07/21/23 P19)</t>
        </is>
      </c>
      <c r="EO1" t="inlineStr">
        <is>
          <t>BBG01GVRFZC2 Equity (TSLL US 07/21/23 P20)</t>
        </is>
      </c>
      <c r="ES1" t="inlineStr">
        <is>
          <t>BBG01GVRG0B9 Equity (TSLL US 07/21/23 P21)</t>
        </is>
      </c>
      <c r="EW1" t="inlineStr">
        <is>
          <t>BBG01GX1NRS9 Equity (TSLL US 07/21/23 P22)</t>
        </is>
      </c>
      <c r="FA1" t="inlineStr">
        <is>
          <t>BBG01GXF18Y7 Equity (TSLL US 07/21/23 P23)</t>
        </is>
      </c>
      <c r="FE1" t="inlineStr">
        <is>
          <t>BBG01GZRCTD4 Equity (TSLL US 07/21/23 P25)</t>
        </is>
      </c>
      <c r="FI1" t="inlineStr">
        <is>
          <t>BBG01H26CTJ8 Equity (TSLL US 08/18/23 P2.5)</t>
        </is>
      </c>
      <c r="FM1" t="inlineStr">
        <is>
          <t>BBG01H26CVJ3 Equity (TSLL US 08/18/23 P5)</t>
        </is>
      </c>
      <c r="FQ1" t="inlineStr">
        <is>
          <t>BBG01H26CWH3 Equity (TSLL US 08/18/23 P7)</t>
        </is>
      </c>
      <c r="FU1" t="inlineStr">
        <is>
          <t>BBG01H26CXG2 Equity (TSLL US 08/18/23 P8)</t>
        </is>
      </c>
      <c r="FY1" t="inlineStr">
        <is>
          <t>BBG01H26CYF1 Equity (TSLL US 08/18/23 P9)</t>
        </is>
      </c>
      <c r="GC1" t="inlineStr">
        <is>
          <t>BBG01H26CZF8 Equity (TSLL US 08/18/23 P10)</t>
        </is>
      </c>
      <c r="GG1" t="inlineStr">
        <is>
          <t>BBG01H26D0D6 Equity (TSLL US 08/18/23 P11)</t>
        </is>
      </c>
      <c r="GK1" t="inlineStr">
        <is>
          <t>BBG01H26D1C5 Equity (TSLL US 08/18/23 P12)</t>
        </is>
      </c>
      <c r="GO1" t="inlineStr">
        <is>
          <t>BBG01H26D2C3 Equity (TSLL US 08/18/23 P13)</t>
        </is>
      </c>
      <c r="GS1" t="inlineStr">
        <is>
          <t>BBG01H26D3B2 Equity (TSLL US 08/18/23 P14)</t>
        </is>
      </c>
      <c r="GW1" t="inlineStr">
        <is>
          <t>BBG01H26D493 Equity (TSLL US 08/18/23 P15)</t>
        </is>
      </c>
      <c r="HA1" t="inlineStr">
        <is>
          <t>BBG01H26D590 Equity (TSLL US 08/18/23 P16)</t>
        </is>
      </c>
      <c r="HE1" t="inlineStr">
        <is>
          <t>BBG01H26D689 Equity (TSLL US 08/18/23 P17)</t>
        </is>
      </c>
      <c r="HI1" t="inlineStr">
        <is>
          <t>BBG01H26D778 Equity (TSLL US 08/18/23 P18)</t>
        </is>
      </c>
      <c r="HM1" t="inlineStr">
        <is>
          <t>BBG01H26D867 Equity (TSLL US 08/18/23 P19)</t>
        </is>
      </c>
      <c r="HQ1" t="inlineStr">
        <is>
          <t>BBG01H26D965 Equity (TSLL US 08/18/23 P20)</t>
        </is>
      </c>
      <c r="HU1" t="inlineStr">
        <is>
          <t>BBG01H26DB51 Equity (TSLL US 08/18/23 P21)</t>
        </is>
      </c>
      <c r="HY1" t="inlineStr">
        <is>
          <t>BBG01H26DC40 Equity (TSLL US 08/18/23 P22)</t>
        </is>
      </c>
      <c r="IC1" t="inlineStr">
        <is>
          <t>BBG01H26DD48 Equity (TSLL US 08/18/23 P23)</t>
        </is>
      </c>
      <c r="IG1" t="inlineStr">
        <is>
          <t>BBG01H26DF34 Equity (TSLL US 08/18/23 P24)</t>
        </is>
      </c>
      <c r="IK1" t="inlineStr">
        <is>
          <t>BBG01H26DG23 Equity (TSLL US 08/18/23 P25)</t>
        </is>
      </c>
      <c r="IO1" t="inlineStr">
        <is>
          <t>BBG01H26DH21 Equity (TSLL US 08/18/23 P26)</t>
        </is>
      </c>
      <c r="IS1" t="inlineStr">
        <is>
          <t>BBG01H26DJ18 Equity (TSLL US 08/18/23 P27)</t>
        </is>
      </c>
      <c r="IW1" t="inlineStr">
        <is>
          <t>BBG01H26DK06 Equity (TSLL US 08/18/23 P30)</t>
        </is>
      </c>
      <c r="JA1" t="inlineStr">
        <is>
          <t>BBG01CG2FH51 Equity (TSLL US 09/15/23 P1)</t>
        </is>
      </c>
      <c r="JE1" t="inlineStr">
        <is>
          <t>BBG01CG2FJ02 Equity (TSLL US 09/15/23 P2)</t>
        </is>
      </c>
      <c r="JI1" t="inlineStr">
        <is>
          <t>BBG01CG2FJS2 Equity (TSLL US 09/15/23 P3)</t>
        </is>
      </c>
      <c r="JM1" t="inlineStr">
        <is>
          <t>BBG01CG2FKK7 Equity (TSLL US 09/15/23 P4)</t>
        </is>
      </c>
      <c r="JQ1" t="inlineStr">
        <is>
          <t>BBG01CG2FLB5 Equity (TSLL US 09/15/23 P5)</t>
        </is>
      </c>
      <c r="JU1" t="inlineStr">
        <is>
          <t>BBG01CG2FM69 Equity (TSLL US 09/15/23 P6)</t>
        </is>
      </c>
      <c r="JY1" t="inlineStr">
        <is>
          <t>BBG01CG2FMZ7 Equity (TSLL US 09/15/23 P7)</t>
        </is>
      </c>
      <c r="KC1" t="inlineStr">
        <is>
          <t>BBG01CG2FNR4 Equity (TSLL US 09/15/23 P8)</t>
        </is>
      </c>
      <c r="KG1" t="inlineStr">
        <is>
          <t>BBG01CG2FPJ8 Equity (TSLL US 09/15/23 P9)</t>
        </is>
      </c>
      <c r="KK1" t="inlineStr">
        <is>
          <t>BBG01CG2FQB4 Equity (TSLL US 09/15/23 P10)</t>
        </is>
      </c>
      <c r="KO1" t="inlineStr">
        <is>
          <t>BBG01CG2FR31 Equity (TSLL US 09/15/23 P11)</t>
        </is>
      </c>
      <c r="KS1" t="inlineStr">
        <is>
          <t>BBG01CG2FRW9 Equity (TSLL US 09/15/23 P12)</t>
        </is>
      </c>
      <c r="KW1" t="inlineStr">
        <is>
          <t>BBG01CG2FSN7 Equity (TSLL US 09/15/23 P13)</t>
        </is>
      </c>
      <c r="LA1" t="inlineStr">
        <is>
          <t>BBG01DC5SBB8 Equity (TSLL US 09/15/23 P14)</t>
        </is>
      </c>
      <c r="LE1" t="inlineStr">
        <is>
          <t>BBG01DC5SC35 Equity (TSLL US 09/15/23 P15)</t>
        </is>
      </c>
      <c r="LI1" t="inlineStr">
        <is>
          <t>BBG01DJ4RFQ0 Equity (TSLL US 09/15/23 P16)</t>
        </is>
      </c>
      <c r="LM1" t="inlineStr">
        <is>
          <t>BBG01DJ4RGH8 Equity (TSLL US 09/15/23 P17)</t>
        </is>
      </c>
      <c r="LQ1" t="inlineStr">
        <is>
          <t>BBG01DMN5SV4 Equity (TSLL US 09/15/23 P18)</t>
        </is>
      </c>
      <c r="LU1" t="inlineStr">
        <is>
          <t>BBG01DMN5TM2 Equity (TSLL US 09/15/23 P19)</t>
        </is>
      </c>
      <c r="LY1" t="inlineStr">
        <is>
          <t>BBG01DMN5VF5 Equity (TSLL US 09/15/23 P20)</t>
        </is>
      </c>
      <c r="MC1" t="inlineStr">
        <is>
          <t>BBG01F2T7K61 Equity (TSLL US 09/15/23 P21)</t>
        </is>
      </c>
      <c r="MG1" t="inlineStr">
        <is>
          <t>BBG01F2T7L50 Equity (TSLL US 09/15/23 P22)</t>
        </is>
      </c>
      <c r="MK1" t="inlineStr">
        <is>
          <t>BBG01F2T7M49 Equity (TSLL US 09/15/23 P23)</t>
        </is>
      </c>
      <c r="MO1" t="inlineStr">
        <is>
          <t>BBG01F3WHDW9 Equity (TSLL US 09/15/23 P24)</t>
        </is>
      </c>
      <c r="MS1" t="inlineStr">
        <is>
          <t>BBG01FDNF450 Equity (TSLL US 09/15/23 P25)</t>
        </is>
      </c>
      <c r="MW1" t="inlineStr">
        <is>
          <t>BBG01H8N33L9 Equity (TSLL US 09/15/23 P30)</t>
        </is>
      </c>
      <c r="NA1" t="inlineStr">
        <is>
          <t>BBG01HZ5MDW3 Equity (TSLL US 10/20/23 P2.5)</t>
        </is>
      </c>
      <c r="NE1" t="inlineStr">
        <is>
          <t>BBG01HZ5MFV9 Equity (TSLL US 10/20/23 P4)</t>
        </is>
      </c>
      <c r="NI1" t="inlineStr">
        <is>
          <t>BBG01HZ5MH09 Equity (TSLL US 10/20/23 P5)</t>
        </is>
      </c>
      <c r="NM1" t="inlineStr">
        <is>
          <t>BBG01HZ5MHZ1 Equity (TSLL US 10/20/23 P6)</t>
        </is>
      </c>
      <c r="NQ1" t="inlineStr">
        <is>
          <t>BBG01HZ5MJY8 Equity (TSLL US 10/20/23 P7)</t>
        </is>
      </c>
      <c r="NU1" t="inlineStr">
        <is>
          <t>BBG01HZ5MKY5 Equity (TSLL US 10/20/23 P8)</t>
        </is>
      </c>
      <c r="NY1" t="inlineStr">
        <is>
          <t>BBG01HZ5MLX4 Equity (TSLL US 10/20/23 P9)</t>
        </is>
      </c>
      <c r="OC1" t="inlineStr">
        <is>
          <t>BBG01HZ5MMW3 Equity (TSLL US 10/20/23 P10)</t>
        </is>
      </c>
      <c r="OG1" t="inlineStr">
        <is>
          <t>BBG01HZ5MNX0 Equity (TSLL US 10/20/23 P11)</t>
        </is>
      </c>
      <c r="OK1" t="inlineStr">
        <is>
          <t>BBG01HZ5MPW6 Equity (TSLL US 10/20/23 P12)</t>
        </is>
      </c>
      <c r="OO1" t="inlineStr">
        <is>
          <t>BBG01JFSN5P5 Equity (TSLL US 10/20/23 P12.5)</t>
        </is>
      </c>
      <c r="OS1" t="inlineStr">
        <is>
          <t>BBG01HZ5MQV5 Equity (TSLL US 10/20/23 P13)</t>
        </is>
      </c>
      <c r="OW1" t="inlineStr">
        <is>
          <t>BBG01JFSN6N5 Equity (TSLL US 10/20/23 P13.5)</t>
        </is>
      </c>
      <c r="PA1" t="inlineStr">
        <is>
          <t>BBG01HZ5MRV3 Equity (TSLL US 10/20/23 P14)</t>
        </is>
      </c>
      <c r="PE1" t="inlineStr">
        <is>
          <t>BBG01JFSN7M4 Equity (TSLL US 10/20/23 P14.5)</t>
        </is>
      </c>
      <c r="PI1" t="inlineStr">
        <is>
          <t>BBG01HZ5MST4 Equity (TSLL US 10/20/23 P15)</t>
        </is>
      </c>
      <c r="PM1" t="inlineStr">
        <is>
          <t>BBG01JFSN8M2 Equity (TSLL US 10/20/23 P15.5)</t>
        </is>
      </c>
      <c r="PQ1" t="inlineStr">
        <is>
          <t>BBG01HZ5MTS3 Equity (TSLL US 10/20/23 P16)</t>
        </is>
      </c>
      <c r="PU1" t="inlineStr">
        <is>
          <t>BBG01JFSN9L1 Equity (TSLL US 10/20/23 P16.5)</t>
        </is>
      </c>
      <c r="PY1" t="inlineStr">
        <is>
          <t>BBG01HZ5MVR9 Equity (TSLL US 10/20/23 P17)</t>
        </is>
      </c>
      <c r="QC1" t="inlineStr">
        <is>
          <t>BBG01JFSNBK7 Equity (TSLL US 10/20/23 P17.5)</t>
        </is>
      </c>
      <c r="QG1" t="inlineStr">
        <is>
          <t>BBG01HZ5MWR7 Equity (TSLL US 10/20/23 P18)</t>
        </is>
      </c>
      <c r="QK1" t="inlineStr">
        <is>
          <t>BBG01JFSNCK5 Equity (TSLL US 10/20/23 P18.5)</t>
        </is>
      </c>
      <c r="QO1" t="inlineStr">
        <is>
          <t>BBG01HZ5MXQ6 Equity (TSLL US 10/20/23 P19)</t>
        </is>
      </c>
      <c r="QS1" t="inlineStr">
        <is>
          <t>BBG01JFSNDJ5 Equity (TSLL US 10/20/23 P19.5)</t>
        </is>
      </c>
      <c r="QW1" t="inlineStr">
        <is>
          <t>BBG01HZ5MYP5 Equity (TSLL US 10/20/23 P20)</t>
        </is>
      </c>
      <c r="RA1" t="inlineStr">
        <is>
          <t>BBG01JFSNFH2 Equity (TSLL US 10/20/23 P20.5)</t>
        </is>
      </c>
      <c r="RE1" t="inlineStr">
        <is>
          <t>BBG01HZ5MZP2 Equity (TSLL US 10/20/23 P21)</t>
        </is>
      </c>
      <c r="RI1" t="inlineStr">
        <is>
          <t>BBG01JFSNGH0 Equity (TSLL US 10/20/23 P21.5)</t>
        </is>
      </c>
      <c r="RM1" t="inlineStr">
        <is>
          <t>BBG01HZ5N0N0 Equity (TSLL US 10/20/23 P22)</t>
        </is>
      </c>
      <c r="RQ1" t="inlineStr">
        <is>
          <t>BBG01JFSNHG9 Equity (TSLL US 10/20/23 P22.5)</t>
        </is>
      </c>
      <c r="RU1" t="inlineStr">
        <is>
          <t>BBG01HZ5N1M9 Equity (TSLL US 10/20/23 P23)</t>
        </is>
      </c>
      <c r="RY1" t="inlineStr">
        <is>
          <t>BBG01JFSNJF6 Equity (TSLL US 10/20/23 P23.5)</t>
        </is>
      </c>
      <c r="SC1" t="inlineStr">
        <is>
          <t>BBG01HZ5N2N6 Equity (TSLL US 10/20/23 P24)</t>
        </is>
      </c>
      <c r="SG1" t="inlineStr">
        <is>
          <t>BBG01HZ5N3M5 Equity (TSLL US 10/20/23 P25)</t>
        </is>
      </c>
      <c r="SK1" t="inlineStr">
        <is>
          <t>BBG01HZ5N4L4 Equity (TSLL US 10/20/23 P30)</t>
        </is>
      </c>
      <c r="SO1" t="inlineStr">
        <is>
          <t>BBG01JF6T3H1 Equity (TSLL US 11/17/23 P5)</t>
        </is>
      </c>
      <c r="SS1" t="inlineStr">
        <is>
          <t>BBG01JCKCTC9 Equity (TSLL US 11/17/23 P7)</t>
        </is>
      </c>
      <c r="SW1" t="inlineStr">
        <is>
          <t>BBG01JCKCVB5 Equity (TSLL US 11/17/23 P8)</t>
        </is>
      </c>
      <c r="TA1" t="inlineStr">
        <is>
          <t>BBG01JCKCW96 Equity (TSLL US 11/17/23 P9)</t>
        </is>
      </c>
      <c r="TE1" t="inlineStr">
        <is>
          <t>BBG01JCKCX85 Equity (TSLL US 11/17/23 P10)</t>
        </is>
      </c>
      <c r="TI1" t="inlineStr">
        <is>
          <t>BBG01JCKCY83 Equity (TSLL US 11/17/23 P11)</t>
        </is>
      </c>
      <c r="TM1" t="inlineStr">
        <is>
          <t>BBG01JCKCZ71 Equity (TSLL US 11/17/23 P12)</t>
        </is>
      </c>
      <c r="TQ1" t="inlineStr">
        <is>
          <t>BBG01JCKD068 Equity (TSLL US 11/17/23 P13)</t>
        </is>
      </c>
      <c r="TU1" t="inlineStr">
        <is>
          <t>BBG01JCKD166 Equity (TSLL US 11/17/23 P14)</t>
        </is>
      </c>
      <c r="TY1" t="inlineStr">
        <is>
          <t>BBG01JCKD255 Equity (TSLL US 11/17/23 P15)</t>
        </is>
      </c>
      <c r="UC1" t="inlineStr">
        <is>
          <t>BBG01JCKD344 Equity (TSLL US 11/17/23 P16)</t>
        </is>
      </c>
      <c r="UG1" t="inlineStr">
        <is>
          <t>BBG01JCKD451 Equity (TSLL US 11/17/23 P17)</t>
        </is>
      </c>
      <c r="UK1" t="inlineStr">
        <is>
          <t>BBG01JCKD549 Equity (TSLL US 11/17/23 P18)</t>
        </is>
      </c>
      <c r="UO1" t="inlineStr">
        <is>
          <t>BBG01JCKD638 Equity (TSLL US 11/17/23 P19)</t>
        </is>
      </c>
      <c r="US1" t="inlineStr">
        <is>
          <t>BBG01JCKD754 Equity (TSLL US 11/17/23 P20)</t>
        </is>
      </c>
      <c r="UW1" t="inlineStr">
        <is>
          <t>BBG01JCKD843 Equity (TSLL US 11/17/23 P21)</t>
        </is>
      </c>
      <c r="VA1" t="inlineStr">
        <is>
          <t>BBG01JCKD932 Equity (TSLL US 11/17/23 P22)</t>
        </is>
      </c>
      <c r="VE1" t="inlineStr">
        <is>
          <t>BBG01JCKDB28 Equity (TSLL US 11/17/23 P23)</t>
        </is>
      </c>
      <c r="VI1" t="inlineStr">
        <is>
          <t>BBG01JCKDC35 Equity (TSLL US 11/17/23 P24)</t>
        </is>
      </c>
      <c r="VM1" t="inlineStr">
        <is>
          <t>BBG01JCKDD24 Equity (TSLL US 11/17/23 P25)</t>
        </is>
      </c>
      <c r="VQ1" t="inlineStr">
        <is>
          <t>BBG01JCKDF10 Equity (TSLL US 11/17/23 P26)</t>
        </is>
      </c>
      <c r="VU1" t="inlineStr">
        <is>
          <t>BBG01JCKDG18 Equity (TSLL US 11/17/23 P27)</t>
        </is>
      </c>
      <c r="VY1" t="inlineStr">
        <is>
          <t>BBG01JCKDH07 Equity (TSLL US 11/17/23 P30)</t>
        </is>
      </c>
      <c r="WC1" t="inlineStr">
        <is>
          <t>BBG01JCKDHZ9 Equity (TSLL US 11/17/23 P35)</t>
        </is>
      </c>
      <c r="WG1" t="inlineStr">
        <is>
          <t>BBG01GCFY7R4 Equity (TSLL US 12/15/23 P0.73)</t>
        </is>
      </c>
      <c r="WK1" t="inlineStr">
        <is>
          <t>BBG01GCFY8S1 Equity (TSLL US 12/15/23 P1.73)</t>
        </is>
      </c>
      <c r="WO1" t="inlineStr">
        <is>
          <t>BBG01GCFY9R0 Equity (TSLL US 12/15/23 P2.73)</t>
        </is>
      </c>
      <c r="WS1" t="inlineStr">
        <is>
          <t>BBG01GCFYBQ6 Equity (TSLL US 12/15/23 P3.73)</t>
        </is>
      </c>
      <c r="WW1" t="inlineStr">
        <is>
          <t>BBG01GCFYCP5 Equity (TSLL US 12/15/23 P4.73)</t>
        </is>
      </c>
      <c r="XA1" t="inlineStr">
        <is>
          <t>BBG01GCFYDQ2 Equity (TSLL US 12/15/23 P5.73)</t>
        </is>
      </c>
      <c r="XE1" t="inlineStr">
        <is>
          <t>BBG01GCFYFP8 Equity (TSLL US 12/15/23 P6.73)</t>
        </is>
      </c>
      <c r="XI1" t="inlineStr">
        <is>
          <t>BBG01GCFYGN8 Equity (TSLL US 12/15/23 P7.73)</t>
        </is>
      </c>
      <c r="XM1" t="inlineStr">
        <is>
          <t>BBG01GCFYHN6 Equity (TSLL US 12/15/23 P8.73)</t>
        </is>
      </c>
      <c r="XQ1" t="inlineStr">
        <is>
          <t>BBG01GCFYJM3 Equity (TSLL US 12/15/23 P9.73)</t>
        </is>
      </c>
      <c r="XU1" t="inlineStr">
        <is>
          <t>BBG01GCFYKL1 Equity (TSLL US 12/15/23 P10.73)</t>
        </is>
      </c>
      <c r="XY1" t="inlineStr">
        <is>
          <t>BBG01GCFYLL9 Equity (TSLL US 12/15/23 P11.73)</t>
        </is>
      </c>
      <c r="YC1" t="inlineStr">
        <is>
          <t>BBG01GCFYMK8 Equity (TSLL US 12/15/23 P12.73)</t>
        </is>
      </c>
      <c r="YG1" t="inlineStr">
        <is>
          <t>BBG01GCFYNJ8 Equity (TSLL US 12/15/23 P13.73)</t>
        </is>
      </c>
      <c r="YK1" t="inlineStr">
        <is>
          <t>BBG01GCFYPH5 Equity (TSLL US 12/15/23 P14.73)</t>
        </is>
      </c>
      <c r="YO1" t="inlineStr">
        <is>
          <t>BBG01GCFYQH3 Equity (TSLL US 12/15/23 P15.73)</t>
        </is>
      </c>
      <c r="YS1" t="inlineStr">
        <is>
          <t>BBG01GCFYRG2 Equity (TSLL US 12/15/23 P16.73)</t>
        </is>
      </c>
      <c r="YW1" t="inlineStr">
        <is>
          <t>BBG01GCFYSF1 Equity (TSLL US 12/15/23 P17.73)</t>
        </is>
      </c>
      <c r="ZA1" t="inlineStr">
        <is>
          <t>BBG01GCFYTF9 Equity (TSLL US 12/15/23 P18.73)</t>
        </is>
      </c>
      <c r="ZE1" t="inlineStr">
        <is>
          <t>BBG01GCFYVD6 Equity (TSLL US 12/15/23 P19.73)</t>
        </is>
      </c>
      <c r="ZI1" t="inlineStr">
        <is>
          <t>BBG01GCFYWC5 Equity (TSLL US 12/15/23 P20.73)</t>
        </is>
      </c>
      <c r="ZM1" t="inlineStr">
        <is>
          <t>BBG01GSL95Y8 Equity (TSLL US 12/15/23 P21.73)</t>
        </is>
      </c>
      <c r="ZQ1" t="inlineStr">
        <is>
          <t>BBG01GVRG190 Equity (TSLL US 12/15/23 P22.73)</t>
        </is>
      </c>
      <c r="ZU1" t="inlineStr">
        <is>
          <t>BBG01GXF19Y5 Equity (TSLL US 12/15/23 P23.73)</t>
        </is>
      </c>
      <c r="ZY1" t="inlineStr">
        <is>
          <t>BBG01GY1CVZ3 Equity (TSLL US 12/15/23 P24.73)</t>
        </is>
      </c>
      <c r="AAC1" t="inlineStr">
        <is>
          <t>BBG01GZRD082 Equity (TSLL US 12/15/23 P29.73)</t>
        </is>
      </c>
      <c r="AAG1" t="inlineStr">
        <is>
          <t>BBG01HDTXGK9 Equity (TSLL US 12/15/23 P34.73)</t>
        </is>
      </c>
      <c r="AAK1" t="inlineStr">
        <is>
          <t>BBG01K6P2H02 Equity (TSLL US 01/19/24 P3.73)</t>
        </is>
      </c>
      <c r="AAO1" t="inlineStr">
        <is>
          <t>BBG01K6P2HZ4 Equity (TSLL US 01/19/24 P4.73)</t>
        </is>
      </c>
      <c r="AAS1" t="inlineStr">
        <is>
          <t>BBG01K6P2JY1 Equity (TSLL US 01/19/24 P5.73)</t>
        </is>
      </c>
      <c r="AAW1" t="inlineStr">
        <is>
          <t>BBG01K6P2KY8 Equity (TSLL US 01/19/24 P6.73)</t>
        </is>
      </c>
      <c r="ABA1" t="inlineStr">
        <is>
          <t>BBG01K6P2LX7 Equity (TSLL US 01/19/24 P7.73)</t>
        </is>
      </c>
      <c r="ABE1" t="inlineStr">
        <is>
          <t>BBG01K6P2MW6 Equity (TSLL US 01/19/24 P8.73)</t>
        </is>
      </c>
      <c r="ABI1" t="inlineStr">
        <is>
          <t>BBG01K6P2NV5 Equity (TSLL US 01/19/24 P9.73)</t>
        </is>
      </c>
      <c r="ABM1" t="inlineStr">
        <is>
          <t>BBG01K6P2PV0 Equity (TSLL US 01/19/24 P10.73)</t>
        </is>
      </c>
      <c r="ABQ1" t="inlineStr">
        <is>
          <t>BBG01K6P2QT1 Equity (TSLL US 01/19/24 P11.73)</t>
        </is>
      </c>
      <c r="ABU1" t="inlineStr">
        <is>
          <t>BBG01K6P2RS0 Equity (TSLL US 01/19/24 P12.73)</t>
        </is>
      </c>
      <c r="ABY1" t="inlineStr">
        <is>
          <t>BBG01K6P2ST7 Equity (TSLL US 01/19/24 P13.73)</t>
        </is>
      </c>
      <c r="ACC1" t="inlineStr">
        <is>
          <t>BBG01K6P2TS6 Equity (TSLL US 01/19/24 P14.73)</t>
        </is>
      </c>
      <c r="ACG1" t="inlineStr">
        <is>
          <t>BBG01K6P2VR2 Equity (TSLL US 01/19/24 P15.73)</t>
        </is>
      </c>
      <c r="ACK1" t="inlineStr">
        <is>
          <t>BBG01K6P2WR0 Equity (TSLL US 01/19/24 P16.73)</t>
        </is>
      </c>
      <c r="ACO1" t="inlineStr">
        <is>
          <t>BBG01K6P2XQ9 Equity (TSLL US 01/19/24 P17.73)</t>
        </is>
      </c>
      <c r="ACS1" t="inlineStr">
        <is>
          <t>BBG01K6P2YP8 Equity (TSLL US 01/19/24 P18.73)</t>
        </is>
      </c>
      <c r="ACW1" t="inlineStr">
        <is>
          <t>BBG01K6P2ZN7 Equity (TSLL US 01/19/24 P19.73)</t>
        </is>
      </c>
      <c r="ADA1" t="inlineStr">
        <is>
          <t>BBG01K6P30N3 Equity (TSLL US 01/19/24 P20.73)</t>
        </is>
      </c>
      <c r="ADE1" t="inlineStr">
        <is>
          <t>BBG01K6P31M2 Equity (TSLL US 01/19/24 P21.73)</t>
        </is>
      </c>
      <c r="ADI1" t="inlineStr">
        <is>
          <t>BBG01K6P32L1 Equity (TSLL US 01/19/24 P22.73)</t>
        </is>
      </c>
      <c r="ADM1" t="inlineStr">
        <is>
          <t>BBG01K6P33L9 Equity (TSLL US 01/19/24 P23.73)</t>
        </is>
      </c>
      <c r="ADQ1" t="inlineStr">
        <is>
          <t>BBG01KBZMKF9 Equity (TSLL US 01/19/24 P24.73)</t>
        </is>
      </c>
    </row>
    <row r="2">
      <c r="A2" t="inlineStr">
        <is>
          <t>Date</t>
        </is>
      </c>
      <c r="B2" t="inlineStr">
        <is>
          <t>PX_LAST</t>
        </is>
      </c>
      <c r="C2" t="inlineStr">
        <is>
          <t>PX_VOLUME</t>
        </is>
      </c>
      <c r="E2" t="inlineStr">
        <is>
          <t>Date</t>
        </is>
      </c>
      <c r="F2" t="inlineStr">
        <is>
          <t>PX_LAST</t>
        </is>
      </c>
      <c r="G2" t="inlineStr">
        <is>
          <t>PX_VOLUME</t>
        </is>
      </c>
      <c r="I2" t="inlineStr">
        <is>
          <t>Date</t>
        </is>
      </c>
      <c r="J2" t="inlineStr">
        <is>
          <t>PX_LAST</t>
        </is>
      </c>
      <c r="K2" t="inlineStr">
        <is>
          <t>PX_VOLUME</t>
        </is>
      </c>
      <c r="M2" t="inlineStr">
        <is>
          <t>Date</t>
        </is>
      </c>
      <c r="N2" t="inlineStr">
        <is>
          <t>PX_LAST</t>
        </is>
      </c>
      <c r="O2" t="inlineStr">
        <is>
          <t>PX_VOLUME</t>
        </is>
      </c>
      <c r="Q2" t="inlineStr">
        <is>
          <t>Date</t>
        </is>
      </c>
      <c r="R2" t="inlineStr">
        <is>
          <t>PX_LAST</t>
        </is>
      </c>
      <c r="S2" t="inlineStr">
        <is>
          <t>PX_VOLUME</t>
        </is>
      </c>
      <c r="U2" t="inlineStr">
        <is>
          <t>Date</t>
        </is>
      </c>
      <c r="V2" t="inlineStr">
        <is>
          <t>PX_LAST</t>
        </is>
      </c>
      <c r="W2" t="inlineStr">
        <is>
          <t>PX_VOLUME</t>
        </is>
      </c>
      <c r="Y2" t="inlineStr">
        <is>
          <t>Date</t>
        </is>
      </c>
      <c r="Z2" t="inlineStr">
        <is>
          <t>PX_LAST</t>
        </is>
      </c>
      <c r="AA2" t="inlineStr">
        <is>
          <t>PX_VOLUME</t>
        </is>
      </c>
      <c r="AC2" t="inlineStr">
        <is>
          <t>Date</t>
        </is>
      </c>
      <c r="AD2" t="inlineStr">
        <is>
          <t>PX_LAST</t>
        </is>
      </c>
      <c r="AE2" t="inlineStr">
        <is>
          <t>PX_VOLUME</t>
        </is>
      </c>
      <c r="AG2" t="inlineStr">
        <is>
          <t>Date</t>
        </is>
      </c>
      <c r="AH2" t="inlineStr">
        <is>
          <t>PX_LAST</t>
        </is>
      </c>
      <c r="AI2" t="inlineStr">
        <is>
          <t>PX_VOLUME</t>
        </is>
      </c>
      <c r="AK2" t="inlineStr">
        <is>
          <t>Date</t>
        </is>
      </c>
      <c r="AL2" t="inlineStr">
        <is>
          <t>PX_LAST</t>
        </is>
      </c>
      <c r="AM2" t="inlineStr">
        <is>
          <t>PX_VOLUME</t>
        </is>
      </c>
      <c r="AO2" t="inlineStr">
        <is>
          <t>Date</t>
        </is>
      </c>
      <c r="AP2" t="inlineStr">
        <is>
          <t>PX_LAST</t>
        </is>
      </c>
      <c r="AQ2" t="inlineStr">
        <is>
          <t>PX_VOLUME</t>
        </is>
      </c>
      <c r="AS2" t="inlineStr">
        <is>
          <t>Date</t>
        </is>
      </c>
      <c r="AT2" t="inlineStr">
        <is>
          <t>PX_LAST</t>
        </is>
      </c>
      <c r="AU2" t="inlineStr">
        <is>
          <t>PX_VOLUME</t>
        </is>
      </c>
      <c r="AW2" t="inlineStr">
        <is>
          <t>Date</t>
        </is>
      </c>
      <c r="AX2" t="inlineStr">
        <is>
          <t>PX_LAST</t>
        </is>
      </c>
      <c r="AY2" t="inlineStr">
        <is>
          <t>PX_VOLUME</t>
        </is>
      </c>
      <c r="BA2" t="inlineStr">
        <is>
          <t>Date</t>
        </is>
      </c>
      <c r="BB2" t="inlineStr">
        <is>
          <t>PX_LAST</t>
        </is>
      </c>
      <c r="BC2" t="inlineStr">
        <is>
          <t>PX_VOLUME</t>
        </is>
      </c>
      <c r="BE2" t="inlineStr">
        <is>
          <t>Date</t>
        </is>
      </c>
      <c r="BF2" t="inlineStr">
        <is>
          <t>PX_LAST</t>
        </is>
      </c>
      <c r="BG2" t="inlineStr">
        <is>
          <t>PX_VOLUME</t>
        </is>
      </c>
      <c r="BI2" t="inlineStr">
        <is>
          <t>Date</t>
        </is>
      </c>
      <c r="BJ2" t="inlineStr">
        <is>
          <t>PX_LAST</t>
        </is>
      </c>
      <c r="BK2" t="inlineStr">
        <is>
          <t>PX_VOLUME</t>
        </is>
      </c>
      <c r="BM2" t="inlineStr">
        <is>
          <t>Date</t>
        </is>
      </c>
      <c r="BN2" t="inlineStr">
        <is>
          <t>PX_LAST</t>
        </is>
      </c>
      <c r="BO2" t="inlineStr">
        <is>
          <t>PX_VOLUME</t>
        </is>
      </c>
      <c r="BQ2" t="inlineStr">
        <is>
          <t>Date</t>
        </is>
      </c>
      <c r="BR2" t="inlineStr">
        <is>
          <t>PX_LAST</t>
        </is>
      </c>
      <c r="BS2" t="inlineStr">
        <is>
          <t>PX_VOLUME</t>
        </is>
      </c>
      <c r="BU2" t="inlineStr">
        <is>
          <t>Date</t>
        </is>
      </c>
      <c r="BV2" t="inlineStr">
        <is>
          <t>PX_LAST</t>
        </is>
      </c>
      <c r="BW2" t="inlineStr">
        <is>
          <t>PX_VOLUME</t>
        </is>
      </c>
      <c r="BY2" t="inlineStr">
        <is>
          <t>Date</t>
        </is>
      </c>
      <c r="BZ2" t="inlineStr">
        <is>
          <t>PX_LAST</t>
        </is>
      </c>
      <c r="CA2" t="inlineStr">
        <is>
          <t>PX_VOLUME</t>
        </is>
      </c>
      <c r="CC2" t="inlineStr">
        <is>
          <t>Date</t>
        </is>
      </c>
      <c r="CD2" t="inlineStr">
        <is>
          <t>PX_LAST</t>
        </is>
      </c>
      <c r="CE2" t="inlineStr">
        <is>
          <t>PX_VOLUME</t>
        </is>
      </c>
      <c r="CG2" t="inlineStr">
        <is>
          <t>Date</t>
        </is>
      </c>
      <c r="CH2" t="inlineStr">
        <is>
          <t>PX_LAST</t>
        </is>
      </c>
      <c r="CI2" t="inlineStr">
        <is>
          <t>PX_VOLUME</t>
        </is>
      </c>
      <c r="CK2" t="inlineStr">
        <is>
          <t>Date</t>
        </is>
      </c>
      <c r="CL2" t="inlineStr">
        <is>
          <t>PX_LAST</t>
        </is>
      </c>
      <c r="CM2" t="inlineStr">
        <is>
          <t>PX_VOLUME</t>
        </is>
      </c>
      <c r="CO2" t="inlineStr">
        <is>
          <t>Date</t>
        </is>
      </c>
      <c r="CP2" t="inlineStr">
        <is>
          <t>PX_LAST</t>
        </is>
      </c>
      <c r="CQ2" t="inlineStr">
        <is>
          <t>PX_VOLUME</t>
        </is>
      </c>
      <c r="CS2" t="inlineStr">
        <is>
          <t>Date</t>
        </is>
      </c>
      <c r="CT2" t="inlineStr">
        <is>
          <t>PX_LAST</t>
        </is>
      </c>
      <c r="CU2" t="inlineStr">
        <is>
          <t>PX_VOLUME</t>
        </is>
      </c>
      <c r="CW2" t="inlineStr">
        <is>
          <t>Date</t>
        </is>
      </c>
      <c r="CX2" t="inlineStr">
        <is>
          <t>PX_LAST</t>
        </is>
      </c>
      <c r="CY2" t="inlineStr">
        <is>
          <t>PX_VOLUME</t>
        </is>
      </c>
      <c r="DA2" t="inlineStr">
        <is>
          <t>Date</t>
        </is>
      </c>
      <c r="DB2" t="inlineStr">
        <is>
          <t>PX_LAST</t>
        </is>
      </c>
      <c r="DC2" t="inlineStr">
        <is>
          <t>PX_VOLUME</t>
        </is>
      </c>
      <c r="DE2" t="inlineStr">
        <is>
          <t>Date</t>
        </is>
      </c>
      <c r="DF2" t="inlineStr">
        <is>
          <t>PX_LAST</t>
        </is>
      </c>
      <c r="DG2" t="inlineStr">
        <is>
          <t>PX_VOLUME</t>
        </is>
      </c>
      <c r="DI2" t="inlineStr">
        <is>
          <t>Date</t>
        </is>
      </c>
      <c r="DJ2" t="inlineStr">
        <is>
          <t>PX_LAST</t>
        </is>
      </c>
      <c r="DK2" t="inlineStr">
        <is>
          <t>PX_VOLUME</t>
        </is>
      </c>
      <c r="DM2" t="inlineStr">
        <is>
          <t>Date</t>
        </is>
      </c>
      <c r="DN2" t="inlineStr">
        <is>
          <t>PX_LAST</t>
        </is>
      </c>
      <c r="DO2" t="inlineStr">
        <is>
          <t>PX_VOLUME</t>
        </is>
      </c>
      <c r="DQ2" t="inlineStr">
        <is>
          <t>Date</t>
        </is>
      </c>
      <c r="DR2" t="inlineStr">
        <is>
          <t>PX_LAST</t>
        </is>
      </c>
      <c r="DS2" t="inlineStr">
        <is>
          <t>PX_VOLUME</t>
        </is>
      </c>
      <c r="DU2" t="inlineStr">
        <is>
          <t>Date</t>
        </is>
      </c>
      <c r="DV2" t="inlineStr">
        <is>
          <t>PX_LAST</t>
        </is>
      </c>
      <c r="DW2" t="inlineStr">
        <is>
          <t>PX_VOLUME</t>
        </is>
      </c>
      <c r="DY2" t="inlineStr">
        <is>
          <t>Date</t>
        </is>
      </c>
      <c r="DZ2" t="inlineStr">
        <is>
          <t>PX_LAST</t>
        </is>
      </c>
      <c r="EA2" t="inlineStr">
        <is>
          <t>PX_VOLUME</t>
        </is>
      </c>
      <c r="EC2" t="inlineStr">
        <is>
          <t>Date</t>
        </is>
      </c>
      <c r="ED2" t="inlineStr">
        <is>
          <t>PX_LAST</t>
        </is>
      </c>
      <c r="EE2" t="inlineStr">
        <is>
          <t>PX_VOLUME</t>
        </is>
      </c>
      <c r="EG2" t="inlineStr">
        <is>
          <t>Date</t>
        </is>
      </c>
      <c r="EH2" t="inlineStr">
        <is>
          <t>PX_LAST</t>
        </is>
      </c>
      <c r="EI2" t="inlineStr">
        <is>
          <t>PX_VOLUME</t>
        </is>
      </c>
      <c r="EK2" t="inlineStr">
        <is>
          <t>Date</t>
        </is>
      </c>
      <c r="EL2" t="inlineStr">
        <is>
          <t>PX_LAST</t>
        </is>
      </c>
      <c r="EM2" t="inlineStr">
        <is>
          <t>PX_VOLUME</t>
        </is>
      </c>
      <c r="EO2" t="inlineStr">
        <is>
          <t>Date</t>
        </is>
      </c>
      <c r="EP2" t="inlineStr">
        <is>
          <t>PX_LAST</t>
        </is>
      </c>
      <c r="EQ2" t="inlineStr">
        <is>
          <t>PX_VOLUME</t>
        </is>
      </c>
      <c r="ES2" t="inlineStr">
        <is>
          <t>Date</t>
        </is>
      </c>
      <c r="ET2" t="inlineStr">
        <is>
          <t>PX_LAST</t>
        </is>
      </c>
      <c r="EU2" t="inlineStr">
        <is>
          <t>PX_VOLUME</t>
        </is>
      </c>
      <c r="EW2" t="inlineStr">
        <is>
          <t>Date</t>
        </is>
      </c>
      <c r="EX2" t="inlineStr">
        <is>
          <t>PX_LAST</t>
        </is>
      </c>
      <c r="EY2" t="inlineStr">
        <is>
          <t>PX_VOLUME</t>
        </is>
      </c>
      <c r="FA2" t="inlineStr">
        <is>
          <t>Date</t>
        </is>
      </c>
      <c r="FB2" t="inlineStr">
        <is>
          <t>PX_LAST</t>
        </is>
      </c>
      <c r="FC2" t="inlineStr">
        <is>
          <t>PX_VOLUME</t>
        </is>
      </c>
      <c r="FE2" t="inlineStr">
        <is>
          <t>Date</t>
        </is>
      </c>
      <c r="FF2" t="inlineStr">
        <is>
          <t>PX_LAST</t>
        </is>
      </c>
      <c r="FG2" t="inlineStr">
        <is>
          <t>PX_VOLUME</t>
        </is>
      </c>
      <c r="FI2" t="inlineStr">
        <is>
          <t>Date</t>
        </is>
      </c>
      <c r="FJ2" t="inlineStr">
        <is>
          <t>PX_LAST</t>
        </is>
      </c>
      <c r="FK2" t="inlineStr">
        <is>
          <t>PX_VOLUME</t>
        </is>
      </c>
      <c r="FM2" t="inlineStr">
        <is>
          <t>Date</t>
        </is>
      </c>
      <c r="FN2" t="inlineStr">
        <is>
          <t>PX_LAST</t>
        </is>
      </c>
      <c r="FO2" t="inlineStr">
        <is>
          <t>PX_VOLUME</t>
        </is>
      </c>
      <c r="FQ2" t="inlineStr">
        <is>
          <t>Date</t>
        </is>
      </c>
      <c r="FR2" t="inlineStr">
        <is>
          <t>PX_LAST</t>
        </is>
      </c>
      <c r="FS2" t="inlineStr">
        <is>
          <t>PX_VOLUME</t>
        </is>
      </c>
      <c r="FU2" t="inlineStr">
        <is>
          <t>Date</t>
        </is>
      </c>
      <c r="FV2" t="inlineStr">
        <is>
          <t>PX_LAST</t>
        </is>
      </c>
      <c r="FW2" t="inlineStr">
        <is>
          <t>PX_VOLUME</t>
        </is>
      </c>
      <c r="FY2" t="inlineStr">
        <is>
          <t>Date</t>
        </is>
      </c>
      <c r="FZ2" t="inlineStr">
        <is>
          <t>PX_LAST</t>
        </is>
      </c>
      <c r="GA2" t="inlineStr">
        <is>
          <t>PX_VOLUME</t>
        </is>
      </c>
      <c r="GC2" t="inlineStr">
        <is>
          <t>Date</t>
        </is>
      </c>
      <c r="GD2" t="inlineStr">
        <is>
          <t>PX_LAST</t>
        </is>
      </c>
      <c r="GE2" t="inlineStr">
        <is>
          <t>PX_VOLUME</t>
        </is>
      </c>
      <c r="GG2" t="inlineStr">
        <is>
          <t>Date</t>
        </is>
      </c>
      <c r="GH2" t="inlineStr">
        <is>
          <t>PX_LAST</t>
        </is>
      </c>
      <c r="GI2" t="inlineStr">
        <is>
          <t>PX_VOLUME</t>
        </is>
      </c>
      <c r="GK2" t="inlineStr">
        <is>
          <t>Date</t>
        </is>
      </c>
      <c r="GL2" t="inlineStr">
        <is>
          <t>PX_LAST</t>
        </is>
      </c>
      <c r="GM2" t="inlineStr">
        <is>
          <t>PX_VOLUME</t>
        </is>
      </c>
      <c r="GO2" t="inlineStr">
        <is>
          <t>Date</t>
        </is>
      </c>
      <c r="GP2" t="inlineStr">
        <is>
          <t>PX_LAST</t>
        </is>
      </c>
      <c r="GQ2" t="inlineStr">
        <is>
          <t>PX_VOLUME</t>
        </is>
      </c>
      <c r="GS2" t="inlineStr">
        <is>
          <t>Date</t>
        </is>
      </c>
      <c r="GT2" t="inlineStr">
        <is>
          <t>PX_LAST</t>
        </is>
      </c>
      <c r="GU2" t="inlineStr">
        <is>
          <t>PX_VOLUME</t>
        </is>
      </c>
      <c r="GW2" t="inlineStr">
        <is>
          <t>Date</t>
        </is>
      </c>
      <c r="GX2" t="inlineStr">
        <is>
          <t>PX_LAST</t>
        </is>
      </c>
      <c r="GY2" t="inlineStr">
        <is>
          <t>PX_VOLUME</t>
        </is>
      </c>
      <c r="HA2" t="inlineStr">
        <is>
          <t>Date</t>
        </is>
      </c>
      <c r="HB2" t="inlineStr">
        <is>
          <t>PX_LAST</t>
        </is>
      </c>
      <c r="HC2" t="inlineStr">
        <is>
          <t>PX_VOLUME</t>
        </is>
      </c>
      <c r="HE2" t="inlineStr">
        <is>
          <t>Date</t>
        </is>
      </c>
      <c r="HF2" t="inlineStr">
        <is>
          <t>PX_LAST</t>
        </is>
      </c>
      <c r="HG2" t="inlineStr">
        <is>
          <t>PX_VOLUME</t>
        </is>
      </c>
      <c r="HI2" t="inlineStr">
        <is>
          <t>Date</t>
        </is>
      </c>
      <c r="HJ2" t="inlineStr">
        <is>
          <t>PX_LAST</t>
        </is>
      </c>
      <c r="HK2" t="inlineStr">
        <is>
          <t>PX_VOLUME</t>
        </is>
      </c>
      <c r="HM2" t="inlineStr">
        <is>
          <t>Date</t>
        </is>
      </c>
      <c r="HN2" t="inlineStr">
        <is>
          <t>PX_LAST</t>
        </is>
      </c>
      <c r="HO2" t="inlineStr">
        <is>
          <t>PX_VOLUME</t>
        </is>
      </c>
      <c r="HQ2" t="inlineStr">
        <is>
          <t>Date</t>
        </is>
      </c>
      <c r="HR2" t="inlineStr">
        <is>
          <t>PX_LAST</t>
        </is>
      </c>
      <c r="HS2" t="inlineStr">
        <is>
          <t>PX_VOLUME</t>
        </is>
      </c>
      <c r="HU2" t="inlineStr">
        <is>
          <t>Date</t>
        </is>
      </c>
      <c r="HV2" t="inlineStr">
        <is>
          <t>PX_LAST</t>
        </is>
      </c>
      <c r="HW2" t="inlineStr">
        <is>
          <t>PX_VOLUME</t>
        </is>
      </c>
      <c r="HY2" t="inlineStr">
        <is>
          <t>Date</t>
        </is>
      </c>
      <c r="HZ2" t="inlineStr">
        <is>
          <t>PX_LAST</t>
        </is>
      </c>
      <c r="IA2" t="inlineStr">
        <is>
          <t>PX_VOLUME</t>
        </is>
      </c>
      <c r="IC2" t="inlineStr">
        <is>
          <t>Date</t>
        </is>
      </c>
      <c r="ID2" t="inlineStr">
        <is>
          <t>PX_LAST</t>
        </is>
      </c>
      <c r="IE2" t="inlineStr">
        <is>
          <t>PX_VOLUME</t>
        </is>
      </c>
      <c r="IG2" t="inlineStr">
        <is>
          <t>Date</t>
        </is>
      </c>
      <c r="IH2" t="inlineStr">
        <is>
          <t>PX_LAST</t>
        </is>
      </c>
      <c r="II2" t="inlineStr">
        <is>
          <t>PX_VOLUME</t>
        </is>
      </c>
      <c r="IK2" t="inlineStr">
        <is>
          <t>Date</t>
        </is>
      </c>
      <c r="IL2" t="inlineStr">
        <is>
          <t>PX_LAST</t>
        </is>
      </c>
      <c r="IM2" t="inlineStr">
        <is>
          <t>PX_VOLUME</t>
        </is>
      </c>
      <c r="IO2" t="inlineStr">
        <is>
          <t>Date</t>
        </is>
      </c>
      <c r="IP2" t="inlineStr">
        <is>
          <t>PX_LAST</t>
        </is>
      </c>
      <c r="IQ2" t="inlineStr">
        <is>
          <t>PX_VOLUME</t>
        </is>
      </c>
      <c r="IS2" t="inlineStr">
        <is>
          <t>Date</t>
        </is>
      </c>
      <c r="IT2" t="inlineStr">
        <is>
          <t>PX_LAST</t>
        </is>
      </c>
      <c r="IU2" t="inlineStr">
        <is>
          <t>PX_VOLUME</t>
        </is>
      </c>
      <c r="IW2" t="inlineStr">
        <is>
          <t>Date</t>
        </is>
      </c>
      <c r="IX2" t="inlineStr">
        <is>
          <t>PX_LAST</t>
        </is>
      </c>
      <c r="IY2" t="inlineStr">
        <is>
          <t>PX_VOLUME</t>
        </is>
      </c>
      <c r="JA2" t="inlineStr">
        <is>
          <t>Date</t>
        </is>
      </c>
      <c r="JB2" t="inlineStr">
        <is>
          <t>PX_LAST</t>
        </is>
      </c>
      <c r="JC2" t="inlineStr">
        <is>
          <t>PX_VOLUME</t>
        </is>
      </c>
      <c r="JE2" t="inlineStr">
        <is>
          <t>Date</t>
        </is>
      </c>
      <c r="JF2" t="inlineStr">
        <is>
          <t>PX_LAST</t>
        </is>
      </c>
      <c r="JG2" t="inlineStr">
        <is>
          <t>PX_VOLUME</t>
        </is>
      </c>
      <c r="JI2" t="inlineStr">
        <is>
          <t>Date</t>
        </is>
      </c>
      <c r="JJ2" t="inlineStr">
        <is>
          <t>PX_LAST</t>
        </is>
      </c>
      <c r="JK2" t="inlineStr">
        <is>
          <t>PX_VOLUME</t>
        </is>
      </c>
      <c r="JM2" t="inlineStr">
        <is>
          <t>Date</t>
        </is>
      </c>
      <c r="JN2" t="inlineStr">
        <is>
          <t>PX_LAST</t>
        </is>
      </c>
      <c r="JO2" t="inlineStr">
        <is>
          <t>PX_VOLUME</t>
        </is>
      </c>
      <c r="JQ2" t="inlineStr">
        <is>
          <t>Date</t>
        </is>
      </c>
      <c r="JR2" t="inlineStr">
        <is>
          <t>PX_LAST</t>
        </is>
      </c>
      <c r="JS2" t="inlineStr">
        <is>
          <t>PX_VOLUME</t>
        </is>
      </c>
      <c r="JU2" t="inlineStr">
        <is>
          <t>Date</t>
        </is>
      </c>
      <c r="JV2" t="inlineStr">
        <is>
          <t>PX_LAST</t>
        </is>
      </c>
      <c r="JW2" t="inlineStr">
        <is>
          <t>PX_VOLUME</t>
        </is>
      </c>
      <c r="JY2" t="inlineStr">
        <is>
          <t>Date</t>
        </is>
      </c>
      <c r="JZ2" t="inlineStr">
        <is>
          <t>PX_LAST</t>
        </is>
      </c>
      <c r="KA2" t="inlineStr">
        <is>
          <t>PX_VOLUME</t>
        </is>
      </c>
      <c r="KC2" t="inlineStr">
        <is>
          <t>Date</t>
        </is>
      </c>
      <c r="KD2" t="inlineStr">
        <is>
          <t>PX_LAST</t>
        </is>
      </c>
      <c r="KE2" t="inlineStr">
        <is>
          <t>PX_VOLUME</t>
        </is>
      </c>
      <c r="KG2" t="inlineStr">
        <is>
          <t>Date</t>
        </is>
      </c>
      <c r="KH2" t="inlineStr">
        <is>
          <t>PX_LAST</t>
        </is>
      </c>
      <c r="KI2" t="inlineStr">
        <is>
          <t>PX_VOLUME</t>
        </is>
      </c>
      <c r="KK2" t="inlineStr">
        <is>
          <t>Date</t>
        </is>
      </c>
      <c r="KL2" t="inlineStr">
        <is>
          <t>PX_LAST</t>
        </is>
      </c>
      <c r="KM2" t="inlineStr">
        <is>
          <t>PX_VOLUME</t>
        </is>
      </c>
      <c r="KO2" t="inlineStr">
        <is>
          <t>Date</t>
        </is>
      </c>
      <c r="KP2" t="inlineStr">
        <is>
          <t>PX_LAST</t>
        </is>
      </c>
      <c r="KQ2" t="inlineStr">
        <is>
          <t>PX_VOLUME</t>
        </is>
      </c>
      <c r="KS2" t="inlineStr">
        <is>
          <t>Date</t>
        </is>
      </c>
      <c r="KT2" t="inlineStr">
        <is>
          <t>PX_LAST</t>
        </is>
      </c>
      <c r="KU2" t="inlineStr">
        <is>
          <t>PX_VOLUME</t>
        </is>
      </c>
      <c r="KW2" t="inlineStr">
        <is>
          <t>Date</t>
        </is>
      </c>
      <c r="KX2" t="inlineStr">
        <is>
          <t>PX_LAST</t>
        </is>
      </c>
      <c r="KY2" t="inlineStr">
        <is>
          <t>PX_VOLUME</t>
        </is>
      </c>
      <c r="LA2" t="inlineStr">
        <is>
          <t>Date</t>
        </is>
      </c>
      <c r="LB2" t="inlineStr">
        <is>
          <t>PX_LAST</t>
        </is>
      </c>
      <c r="LC2" t="inlineStr">
        <is>
          <t>PX_VOLUME</t>
        </is>
      </c>
      <c r="LE2" t="inlineStr">
        <is>
          <t>Date</t>
        </is>
      </c>
      <c r="LF2" t="inlineStr">
        <is>
          <t>PX_LAST</t>
        </is>
      </c>
      <c r="LG2" t="inlineStr">
        <is>
          <t>PX_VOLUME</t>
        </is>
      </c>
      <c r="LI2" t="inlineStr">
        <is>
          <t>Date</t>
        </is>
      </c>
      <c r="LJ2" t="inlineStr">
        <is>
          <t>PX_LAST</t>
        </is>
      </c>
      <c r="LK2" t="inlineStr">
        <is>
          <t>PX_VOLUME</t>
        </is>
      </c>
      <c r="LM2" t="inlineStr">
        <is>
          <t>Date</t>
        </is>
      </c>
      <c r="LN2" t="inlineStr">
        <is>
          <t>PX_LAST</t>
        </is>
      </c>
      <c r="LO2" t="inlineStr">
        <is>
          <t>PX_VOLUME</t>
        </is>
      </c>
      <c r="LQ2" t="inlineStr">
        <is>
          <t>Date</t>
        </is>
      </c>
      <c r="LR2" t="inlineStr">
        <is>
          <t>PX_LAST</t>
        </is>
      </c>
      <c r="LS2" t="inlineStr">
        <is>
          <t>PX_VOLUME</t>
        </is>
      </c>
      <c r="LU2" t="inlineStr">
        <is>
          <t>Date</t>
        </is>
      </c>
      <c r="LV2" t="inlineStr">
        <is>
          <t>PX_LAST</t>
        </is>
      </c>
      <c r="LW2" t="inlineStr">
        <is>
          <t>PX_VOLUME</t>
        </is>
      </c>
      <c r="LY2" t="inlineStr">
        <is>
          <t>Date</t>
        </is>
      </c>
      <c r="LZ2" t="inlineStr">
        <is>
          <t>PX_LAST</t>
        </is>
      </c>
      <c r="MA2" t="inlineStr">
        <is>
          <t>PX_VOLUME</t>
        </is>
      </c>
      <c r="MC2" t="inlineStr">
        <is>
          <t>Date</t>
        </is>
      </c>
      <c r="MD2" t="inlineStr">
        <is>
          <t>PX_LAST</t>
        </is>
      </c>
      <c r="ME2" t="inlineStr">
        <is>
          <t>PX_VOLUME</t>
        </is>
      </c>
      <c r="MG2" t="inlineStr">
        <is>
          <t>Date</t>
        </is>
      </c>
      <c r="MH2" t="inlineStr">
        <is>
          <t>PX_LAST</t>
        </is>
      </c>
      <c r="MI2" t="inlineStr">
        <is>
          <t>PX_VOLUME</t>
        </is>
      </c>
      <c r="MK2" t="inlineStr">
        <is>
          <t>Date</t>
        </is>
      </c>
      <c r="ML2" t="inlineStr">
        <is>
          <t>PX_LAST</t>
        </is>
      </c>
      <c r="MM2" t="inlineStr">
        <is>
          <t>PX_VOLUME</t>
        </is>
      </c>
      <c r="MO2" t="inlineStr">
        <is>
          <t>Date</t>
        </is>
      </c>
      <c r="MP2" t="inlineStr">
        <is>
          <t>PX_LAST</t>
        </is>
      </c>
      <c r="MQ2" t="inlineStr">
        <is>
          <t>PX_VOLUME</t>
        </is>
      </c>
      <c r="MS2" t="inlineStr">
        <is>
          <t>Date</t>
        </is>
      </c>
      <c r="MT2" t="inlineStr">
        <is>
          <t>PX_LAST</t>
        </is>
      </c>
      <c r="MU2" t="inlineStr">
        <is>
          <t>PX_VOLUME</t>
        </is>
      </c>
      <c r="MW2" t="inlineStr">
        <is>
          <t>Date</t>
        </is>
      </c>
      <c r="MX2" t="inlineStr">
        <is>
          <t>PX_LAST</t>
        </is>
      </c>
      <c r="MY2" t="inlineStr">
        <is>
          <t>PX_VOLUME</t>
        </is>
      </c>
      <c r="NA2" t="inlineStr">
        <is>
          <t>Date</t>
        </is>
      </c>
      <c r="NB2" t="inlineStr">
        <is>
          <t>PX_LAST</t>
        </is>
      </c>
      <c r="NC2" t="inlineStr">
        <is>
          <t>PX_VOLUME</t>
        </is>
      </c>
      <c r="NE2" t="inlineStr">
        <is>
          <t>Date</t>
        </is>
      </c>
      <c r="NF2" t="inlineStr">
        <is>
          <t>PX_LAST</t>
        </is>
      </c>
      <c r="NG2" t="inlineStr">
        <is>
          <t>PX_VOLUME</t>
        </is>
      </c>
      <c r="NI2" t="inlineStr">
        <is>
          <t>Date</t>
        </is>
      </c>
      <c r="NJ2" t="inlineStr">
        <is>
          <t>PX_LAST</t>
        </is>
      </c>
      <c r="NK2" t="inlineStr">
        <is>
          <t>PX_VOLUME</t>
        </is>
      </c>
      <c r="NM2" t="inlineStr">
        <is>
          <t>Date</t>
        </is>
      </c>
      <c r="NN2" t="inlineStr">
        <is>
          <t>PX_LAST</t>
        </is>
      </c>
      <c r="NO2" t="inlineStr">
        <is>
          <t>PX_VOLUME</t>
        </is>
      </c>
      <c r="NQ2" t="inlineStr">
        <is>
          <t>Date</t>
        </is>
      </c>
      <c r="NR2" t="inlineStr">
        <is>
          <t>PX_LAST</t>
        </is>
      </c>
      <c r="NS2" t="inlineStr">
        <is>
          <t>PX_VOLUME</t>
        </is>
      </c>
      <c r="NU2" t="inlineStr">
        <is>
          <t>Date</t>
        </is>
      </c>
      <c r="NV2" t="inlineStr">
        <is>
          <t>PX_LAST</t>
        </is>
      </c>
      <c r="NW2" t="inlineStr">
        <is>
          <t>PX_VOLUME</t>
        </is>
      </c>
      <c r="NY2" t="inlineStr">
        <is>
          <t>Date</t>
        </is>
      </c>
      <c r="NZ2" t="inlineStr">
        <is>
          <t>PX_LAST</t>
        </is>
      </c>
      <c r="OA2" t="inlineStr">
        <is>
          <t>PX_VOLUME</t>
        </is>
      </c>
      <c r="OC2" t="inlineStr">
        <is>
          <t>Date</t>
        </is>
      </c>
      <c r="OD2" t="inlineStr">
        <is>
          <t>PX_LAST</t>
        </is>
      </c>
      <c r="OE2" t="inlineStr">
        <is>
          <t>PX_VOLUME</t>
        </is>
      </c>
      <c r="OG2" t="inlineStr">
        <is>
          <t>Date</t>
        </is>
      </c>
      <c r="OH2" t="inlineStr">
        <is>
          <t>PX_LAST</t>
        </is>
      </c>
      <c r="OI2" t="inlineStr">
        <is>
          <t>PX_VOLUME</t>
        </is>
      </c>
      <c r="OK2" t="inlineStr">
        <is>
          <t>Date</t>
        </is>
      </c>
      <c r="OL2" t="inlineStr">
        <is>
          <t>PX_LAST</t>
        </is>
      </c>
      <c r="OM2" t="inlineStr">
        <is>
          <t>PX_VOLUME</t>
        </is>
      </c>
      <c r="OO2" t="inlineStr">
        <is>
          <t>Date</t>
        </is>
      </c>
      <c r="OP2" t="inlineStr">
        <is>
          <t>PX_LAST</t>
        </is>
      </c>
      <c r="OQ2" t="inlineStr">
        <is>
          <t>PX_VOLUME</t>
        </is>
      </c>
      <c r="OS2" t="inlineStr">
        <is>
          <t>Date</t>
        </is>
      </c>
      <c r="OT2" t="inlineStr">
        <is>
          <t>PX_LAST</t>
        </is>
      </c>
      <c r="OU2" t="inlineStr">
        <is>
          <t>PX_VOLUME</t>
        </is>
      </c>
      <c r="OW2" t="inlineStr">
        <is>
          <t>Date</t>
        </is>
      </c>
      <c r="OX2" t="inlineStr">
        <is>
          <t>PX_LAST</t>
        </is>
      </c>
      <c r="OY2" t="inlineStr">
        <is>
          <t>PX_VOLUME</t>
        </is>
      </c>
      <c r="PA2" t="inlineStr">
        <is>
          <t>Date</t>
        </is>
      </c>
      <c r="PB2" t="inlineStr">
        <is>
          <t>PX_LAST</t>
        </is>
      </c>
      <c r="PC2" t="inlineStr">
        <is>
          <t>PX_VOLUME</t>
        </is>
      </c>
      <c r="PE2" t="inlineStr">
        <is>
          <t>Date</t>
        </is>
      </c>
      <c r="PF2" t="inlineStr">
        <is>
          <t>PX_LAST</t>
        </is>
      </c>
      <c r="PG2" t="inlineStr">
        <is>
          <t>PX_VOLUME</t>
        </is>
      </c>
      <c r="PI2" t="inlineStr">
        <is>
          <t>Date</t>
        </is>
      </c>
      <c r="PJ2" t="inlineStr">
        <is>
          <t>PX_LAST</t>
        </is>
      </c>
      <c r="PK2" t="inlineStr">
        <is>
          <t>PX_VOLUME</t>
        </is>
      </c>
      <c r="PM2" t="inlineStr">
        <is>
          <t>Date</t>
        </is>
      </c>
      <c r="PN2" t="inlineStr">
        <is>
          <t>PX_LAST</t>
        </is>
      </c>
      <c r="PO2" t="inlineStr">
        <is>
          <t>PX_VOLUME</t>
        </is>
      </c>
      <c r="PQ2" t="inlineStr">
        <is>
          <t>Date</t>
        </is>
      </c>
      <c r="PR2" t="inlineStr">
        <is>
          <t>PX_LAST</t>
        </is>
      </c>
      <c r="PS2" t="inlineStr">
        <is>
          <t>PX_VOLUME</t>
        </is>
      </c>
      <c r="PU2" t="inlineStr">
        <is>
          <t>Date</t>
        </is>
      </c>
      <c r="PV2" t="inlineStr">
        <is>
          <t>PX_LAST</t>
        </is>
      </c>
      <c r="PW2" t="inlineStr">
        <is>
          <t>PX_VOLUME</t>
        </is>
      </c>
      <c r="PY2" t="inlineStr">
        <is>
          <t>Date</t>
        </is>
      </c>
      <c r="PZ2" t="inlineStr">
        <is>
          <t>PX_LAST</t>
        </is>
      </c>
      <c r="QA2" t="inlineStr">
        <is>
          <t>PX_VOLUME</t>
        </is>
      </c>
      <c r="QC2" t="inlineStr">
        <is>
          <t>Date</t>
        </is>
      </c>
      <c r="QD2" t="inlineStr">
        <is>
          <t>PX_LAST</t>
        </is>
      </c>
      <c r="QE2" t="inlineStr">
        <is>
          <t>PX_VOLUME</t>
        </is>
      </c>
      <c r="QG2" t="inlineStr">
        <is>
          <t>Date</t>
        </is>
      </c>
      <c r="QH2" t="inlineStr">
        <is>
          <t>PX_LAST</t>
        </is>
      </c>
      <c r="QI2" t="inlineStr">
        <is>
          <t>PX_VOLUME</t>
        </is>
      </c>
      <c r="QK2" t="inlineStr">
        <is>
          <t>Date</t>
        </is>
      </c>
      <c r="QL2" t="inlineStr">
        <is>
          <t>PX_LAST</t>
        </is>
      </c>
      <c r="QM2" t="inlineStr">
        <is>
          <t>PX_VOLUME</t>
        </is>
      </c>
      <c r="QO2" t="inlineStr">
        <is>
          <t>Date</t>
        </is>
      </c>
      <c r="QP2" t="inlineStr">
        <is>
          <t>PX_LAST</t>
        </is>
      </c>
      <c r="QQ2" t="inlineStr">
        <is>
          <t>PX_VOLUME</t>
        </is>
      </c>
      <c r="QS2" t="inlineStr">
        <is>
          <t>Date</t>
        </is>
      </c>
      <c r="QT2" t="inlineStr">
        <is>
          <t>PX_LAST</t>
        </is>
      </c>
      <c r="QU2" t="inlineStr">
        <is>
          <t>PX_VOLUME</t>
        </is>
      </c>
      <c r="QW2" t="inlineStr">
        <is>
          <t>Date</t>
        </is>
      </c>
      <c r="QX2" t="inlineStr">
        <is>
          <t>PX_LAST</t>
        </is>
      </c>
      <c r="QY2" t="inlineStr">
        <is>
          <t>PX_VOLUME</t>
        </is>
      </c>
      <c r="RA2" t="inlineStr">
        <is>
          <t>Date</t>
        </is>
      </c>
      <c r="RB2" t="inlineStr">
        <is>
          <t>PX_LAST</t>
        </is>
      </c>
      <c r="RC2" t="inlineStr">
        <is>
          <t>PX_VOLUME</t>
        </is>
      </c>
      <c r="RE2" t="inlineStr">
        <is>
          <t>Date</t>
        </is>
      </c>
      <c r="RF2" t="inlineStr">
        <is>
          <t>PX_LAST</t>
        </is>
      </c>
      <c r="RG2" t="inlineStr">
        <is>
          <t>PX_VOLUME</t>
        </is>
      </c>
      <c r="RI2" t="inlineStr">
        <is>
          <t>Date</t>
        </is>
      </c>
      <c r="RJ2" t="inlineStr">
        <is>
          <t>PX_LAST</t>
        </is>
      </c>
      <c r="RK2" t="inlineStr">
        <is>
          <t>PX_VOLUME</t>
        </is>
      </c>
      <c r="RM2" t="inlineStr">
        <is>
          <t>Date</t>
        </is>
      </c>
      <c r="RN2" t="inlineStr">
        <is>
          <t>PX_LAST</t>
        </is>
      </c>
      <c r="RO2" t="inlineStr">
        <is>
          <t>PX_VOLUME</t>
        </is>
      </c>
      <c r="RQ2" t="inlineStr">
        <is>
          <t>Date</t>
        </is>
      </c>
      <c r="RR2" t="inlineStr">
        <is>
          <t>PX_LAST</t>
        </is>
      </c>
      <c r="RS2" t="inlineStr">
        <is>
          <t>PX_VOLUME</t>
        </is>
      </c>
      <c r="RU2" t="inlineStr">
        <is>
          <t>Date</t>
        </is>
      </c>
      <c r="RV2" t="inlineStr">
        <is>
          <t>PX_LAST</t>
        </is>
      </c>
      <c r="RW2" t="inlineStr">
        <is>
          <t>PX_VOLUME</t>
        </is>
      </c>
      <c r="RY2" t="inlineStr">
        <is>
          <t>Date</t>
        </is>
      </c>
      <c r="RZ2" t="inlineStr">
        <is>
          <t>PX_LAST</t>
        </is>
      </c>
      <c r="SA2" t="inlineStr">
        <is>
          <t>PX_VOLUME</t>
        </is>
      </c>
      <c r="SC2" t="inlineStr">
        <is>
          <t>Date</t>
        </is>
      </c>
      <c r="SD2" t="inlineStr">
        <is>
          <t>PX_LAST</t>
        </is>
      </c>
      <c r="SE2" t="inlineStr">
        <is>
          <t>PX_VOLUME</t>
        </is>
      </c>
      <c r="SG2" t="inlineStr">
        <is>
          <t>Date</t>
        </is>
      </c>
      <c r="SH2" t="inlineStr">
        <is>
          <t>PX_LAST</t>
        </is>
      </c>
      <c r="SI2" t="inlineStr">
        <is>
          <t>PX_VOLUME</t>
        </is>
      </c>
      <c r="SK2" t="inlineStr">
        <is>
          <t>Date</t>
        </is>
      </c>
      <c r="SL2" t="inlineStr">
        <is>
          <t>PX_LAST</t>
        </is>
      </c>
      <c r="SM2" t="inlineStr">
        <is>
          <t>PX_VOLUME</t>
        </is>
      </c>
      <c r="SO2" t="inlineStr">
        <is>
          <t>Date</t>
        </is>
      </c>
      <c r="SP2" t="inlineStr">
        <is>
          <t>PX_LAST</t>
        </is>
      </c>
      <c r="SQ2" t="inlineStr">
        <is>
          <t>PX_VOLUME</t>
        </is>
      </c>
      <c r="SS2" t="inlineStr">
        <is>
          <t>Date</t>
        </is>
      </c>
      <c r="ST2" t="inlineStr">
        <is>
          <t>PX_LAST</t>
        </is>
      </c>
      <c r="SU2" t="inlineStr">
        <is>
          <t>PX_VOLUME</t>
        </is>
      </c>
      <c r="SW2" t="inlineStr">
        <is>
          <t>Date</t>
        </is>
      </c>
      <c r="SX2" t="inlineStr">
        <is>
          <t>PX_LAST</t>
        </is>
      </c>
      <c r="SY2" t="inlineStr">
        <is>
          <t>PX_VOLUME</t>
        </is>
      </c>
      <c r="TA2" t="inlineStr">
        <is>
          <t>Date</t>
        </is>
      </c>
      <c r="TB2" t="inlineStr">
        <is>
          <t>PX_LAST</t>
        </is>
      </c>
      <c r="TC2" t="inlineStr">
        <is>
          <t>PX_VOLUME</t>
        </is>
      </c>
      <c r="TE2" t="inlineStr">
        <is>
          <t>Date</t>
        </is>
      </c>
      <c r="TF2" t="inlineStr">
        <is>
          <t>PX_LAST</t>
        </is>
      </c>
      <c r="TG2" t="inlineStr">
        <is>
          <t>PX_VOLUME</t>
        </is>
      </c>
      <c r="TI2" t="inlineStr">
        <is>
          <t>Date</t>
        </is>
      </c>
      <c r="TJ2" t="inlineStr">
        <is>
          <t>PX_LAST</t>
        </is>
      </c>
      <c r="TK2" t="inlineStr">
        <is>
          <t>PX_VOLUME</t>
        </is>
      </c>
      <c r="TM2" t="inlineStr">
        <is>
          <t>Date</t>
        </is>
      </c>
      <c r="TN2" t="inlineStr">
        <is>
          <t>PX_LAST</t>
        </is>
      </c>
      <c r="TO2" t="inlineStr">
        <is>
          <t>PX_VOLUME</t>
        </is>
      </c>
      <c r="TQ2" t="inlineStr">
        <is>
          <t>Date</t>
        </is>
      </c>
      <c r="TR2" t="inlineStr">
        <is>
          <t>PX_LAST</t>
        </is>
      </c>
      <c r="TS2" t="inlineStr">
        <is>
          <t>PX_VOLUME</t>
        </is>
      </c>
      <c r="TU2" t="inlineStr">
        <is>
          <t>Date</t>
        </is>
      </c>
      <c r="TV2" t="inlineStr">
        <is>
          <t>PX_LAST</t>
        </is>
      </c>
      <c r="TW2" t="inlineStr">
        <is>
          <t>PX_VOLUME</t>
        </is>
      </c>
      <c r="TY2" t="inlineStr">
        <is>
          <t>Date</t>
        </is>
      </c>
      <c r="TZ2" t="inlineStr">
        <is>
          <t>PX_LAST</t>
        </is>
      </c>
      <c r="UA2" t="inlineStr">
        <is>
          <t>PX_VOLUME</t>
        </is>
      </c>
      <c r="UC2" t="inlineStr">
        <is>
          <t>Date</t>
        </is>
      </c>
      <c r="UD2" t="inlineStr">
        <is>
          <t>PX_LAST</t>
        </is>
      </c>
      <c r="UE2" t="inlineStr">
        <is>
          <t>PX_VOLUME</t>
        </is>
      </c>
      <c r="UG2" t="inlineStr">
        <is>
          <t>Date</t>
        </is>
      </c>
      <c r="UH2" t="inlineStr">
        <is>
          <t>PX_LAST</t>
        </is>
      </c>
      <c r="UI2" t="inlineStr">
        <is>
          <t>PX_VOLUME</t>
        </is>
      </c>
      <c r="UK2" t="inlineStr">
        <is>
          <t>Date</t>
        </is>
      </c>
      <c r="UL2" t="inlineStr">
        <is>
          <t>PX_LAST</t>
        </is>
      </c>
      <c r="UM2" t="inlineStr">
        <is>
          <t>PX_VOLUME</t>
        </is>
      </c>
      <c r="UO2" t="inlineStr">
        <is>
          <t>Date</t>
        </is>
      </c>
      <c r="UP2" t="inlineStr">
        <is>
          <t>PX_LAST</t>
        </is>
      </c>
      <c r="UQ2" t="inlineStr">
        <is>
          <t>PX_VOLUME</t>
        </is>
      </c>
      <c r="US2" t="inlineStr">
        <is>
          <t>Date</t>
        </is>
      </c>
      <c r="UT2" t="inlineStr">
        <is>
          <t>PX_LAST</t>
        </is>
      </c>
      <c r="UU2" t="inlineStr">
        <is>
          <t>PX_VOLUME</t>
        </is>
      </c>
      <c r="UW2" t="inlineStr">
        <is>
          <t>Date</t>
        </is>
      </c>
      <c r="UX2" t="inlineStr">
        <is>
          <t>PX_LAST</t>
        </is>
      </c>
      <c r="UY2" t="inlineStr">
        <is>
          <t>PX_VOLUME</t>
        </is>
      </c>
      <c r="VA2" t="inlineStr">
        <is>
          <t>Date</t>
        </is>
      </c>
      <c r="VB2" t="inlineStr">
        <is>
          <t>PX_LAST</t>
        </is>
      </c>
      <c r="VC2" t="inlineStr">
        <is>
          <t>PX_VOLUME</t>
        </is>
      </c>
      <c r="VE2" t="inlineStr">
        <is>
          <t>Date</t>
        </is>
      </c>
      <c r="VF2" t="inlineStr">
        <is>
          <t>PX_LAST</t>
        </is>
      </c>
      <c r="VG2" t="inlineStr">
        <is>
          <t>PX_VOLUME</t>
        </is>
      </c>
      <c r="VI2" t="inlineStr">
        <is>
          <t>Date</t>
        </is>
      </c>
      <c r="VJ2" t="inlineStr">
        <is>
          <t>PX_LAST</t>
        </is>
      </c>
      <c r="VK2" t="inlineStr">
        <is>
          <t>PX_VOLUME</t>
        </is>
      </c>
      <c r="VM2" t="inlineStr">
        <is>
          <t>Date</t>
        </is>
      </c>
      <c r="VN2" t="inlineStr">
        <is>
          <t>PX_LAST</t>
        </is>
      </c>
      <c r="VO2" t="inlineStr">
        <is>
          <t>PX_VOLUME</t>
        </is>
      </c>
      <c r="VQ2" t="inlineStr">
        <is>
          <t>Date</t>
        </is>
      </c>
      <c r="VR2" t="inlineStr">
        <is>
          <t>PX_LAST</t>
        </is>
      </c>
      <c r="VS2" t="inlineStr">
        <is>
          <t>PX_VOLUME</t>
        </is>
      </c>
      <c r="VU2" t="inlineStr">
        <is>
          <t>Date</t>
        </is>
      </c>
      <c r="VV2" t="inlineStr">
        <is>
          <t>PX_LAST</t>
        </is>
      </c>
      <c r="VW2" t="inlineStr">
        <is>
          <t>PX_VOLUME</t>
        </is>
      </c>
      <c r="VY2" t="inlineStr">
        <is>
          <t>Date</t>
        </is>
      </c>
      <c r="VZ2" t="inlineStr">
        <is>
          <t>PX_LAST</t>
        </is>
      </c>
      <c r="WA2" t="inlineStr">
        <is>
          <t>PX_VOLUME</t>
        </is>
      </c>
      <c r="WC2" t="inlineStr">
        <is>
          <t>Date</t>
        </is>
      </c>
      <c r="WD2" t="inlineStr">
        <is>
          <t>PX_LAST</t>
        </is>
      </c>
      <c r="WE2" t="inlineStr">
        <is>
          <t>PX_VOLUME</t>
        </is>
      </c>
      <c r="WG2" t="inlineStr">
        <is>
          <t>Date</t>
        </is>
      </c>
      <c r="WH2" t="inlineStr">
        <is>
          <t>PX_LAST</t>
        </is>
      </c>
      <c r="WI2" t="inlineStr">
        <is>
          <t>PX_VOLUME</t>
        </is>
      </c>
      <c r="WK2" t="inlineStr">
        <is>
          <t>Date</t>
        </is>
      </c>
      <c r="WL2" t="inlineStr">
        <is>
          <t>PX_LAST</t>
        </is>
      </c>
      <c r="WM2" t="inlineStr">
        <is>
          <t>PX_VOLUME</t>
        </is>
      </c>
      <c r="WO2" t="inlineStr">
        <is>
          <t>Date</t>
        </is>
      </c>
      <c r="WP2" t="inlineStr">
        <is>
          <t>PX_LAST</t>
        </is>
      </c>
      <c r="WQ2" t="inlineStr">
        <is>
          <t>PX_VOLUME</t>
        </is>
      </c>
      <c r="WS2" t="inlineStr">
        <is>
          <t>Date</t>
        </is>
      </c>
      <c r="WT2" t="inlineStr">
        <is>
          <t>PX_LAST</t>
        </is>
      </c>
      <c r="WU2" t="inlineStr">
        <is>
          <t>PX_VOLUME</t>
        </is>
      </c>
      <c r="WW2" t="inlineStr">
        <is>
          <t>Date</t>
        </is>
      </c>
      <c r="WX2" t="inlineStr">
        <is>
          <t>PX_LAST</t>
        </is>
      </c>
      <c r="WY2" t="inlineStr">
        <is>
          <t>PX_VOLUME</t>
        </is>
      </c>
      <c r="XA2" t="inlineStr">
        <is>
          <t>Date</t>
        </is>
      </c>
      <c r="XB2" t="inlineStr">
        <is>
          <t>PX_LAST</t>
        </is>
      </c>
      <c r="XC2" t="inlineStr">
        <is>
          <t>PX_VOLUME</t>
        </is>
      </c>
      <c r="XE2" t="inlineStr">
        <is>
          <t>Date</t>
        </is>
      </c>
      <c r="XF2" t="inlineStr">
        <is>
          <t>PX_LAST</t>
        </is>
      </c>
      <c r="XG2" t="inlineStr">
        <is>
          <t>PX_VOLUME</t>
        </is>
      </c>
      <c r="XI2" t="inlineStr">
        <is>
          <t>Date</t>
        </is>
      </c>
      <c r="XJ2" t="inlineStr">
        <is>
          <t>PX_LAST</t>
        </is>
      </c>
      <c r="XK2" t="inlineStr">
        <is>
          <t>PX_VOLUME</t>
        </is>
      </c>
      <c r="XM2" t="inlineStr">
        <is>
          <t>Date</t>
        </is>
      </c>
      <c r="XN2" t="inlineStr">
        <is>
          <t>PX_LAST</t>
        </is>
      </c>
      <c r="XO2" t="inlineStr">
        <is>
          <t>PX_VOLUME</t>
        </is>
      </c>
      <c r="XQ2" t="inlineStr">
        <is>
          <t>Date</t>
        </is>
      </c>
      <c r="XR2" t="inlineStr">
        <is>
          <t>PX_LAST</t>
        </is>
      </c>
      <c r="XS2" t="inlineStr">
        <is>
          <t>PX_VOLUME</t>
        </is>
      </c>
      <c r="XU2" t="inlineStr">
        <is>
          <t>Date</t>
        </is>
      </c>
      <c r="XV2" t="inlineStr">
        <is>
          <t>PX_LAST</t>
        </is>
      </c>
      <c r="XW2" t="inlineStr">
        <is>
          <t>PX_VOLUME</t>
        </is>
      </c>
      <c r="XY2" t="inlineStr">
        <is>
          <t>Date</t>
        </is>
      </c>
      <c r="XZ2" t="inlineStr">
        <is>
          <t>PX_LAST</t>
        </is>
      </c>
      <c r="YA2" t="inlineStr">
        <is>
          <t>PX_VOLUME</t>
        </is>
      </c>
      <c r="YC2" t="inlineStr">
        <is>
          <t>Date</t>
        </is>
      </c>
      <c r="YD2" t="inlineStr">
        <is>
          <t>PX_LAST</t>
        </is>
      </c>
      <c r="YE2" t="inlineStr">
        <is>
          <t>PX_VOLUME</t>
        </is>
      </c>
      <c r="YG2" t="inlineStr">
        <is>
          <t>Date</t>
        </is>
      </c>
      <c r="YH2" t="inlineStr">
        <is>
          <t>PX_LAST</t>
        </is>
      </c>
      <c r="YI2" t="inlineStr">
        <is>
          <t>PX_VOLUME</t>
        </is>
      </c>
      <c r="YK2" t="inlineStr">
        <is>
          <t>Date</t>
        </is>
      </c>
      <c r="YL2" t="inlineStr">
        <is>
          <t>PX_LAST</t>
        </is>
      </c>
      <c r="YM2" t="inlineStr">
        <is>
          <t>PX_VOLUME</t>
        </is>
      </c>
      <c r="YO2" t="inlineStr">
        <is>
          <t>Date</t>
        </is>
      </c>
      <c r="YP2" t="inlineStr">
        <is>
          <t>PX_LAST</t>
        </is>
      </c>
      <c r="YQ2" t="inlineStr">
        <is>
          <t>PX_VOLUME</t>
        </is>
      </c>
      <c r="YS2" t="inlineStr">
        <is>
          <t>Date</t>
        </is>
      </c>
      <c r="YT2" t="inlineStr">
        <is>
          <t>PX_LAST</t>
        </is>
      </c>
      <c r="YU2" t="inlineStr">
        <is>
          <t>PX_VOLUME</t>
        </is>
      </c>
      <c r="YW2" t="inlineStr">
        <is>
          <t>Date</t>
        </is>
      </c>
      <c r="YX2" t="inlineStr">
        <is>
          <t>PX_LAST</t>
        </is>
      </c>
      <c r="YY2" t="inlineStr">
        <is>
          <t>PX_VOLUME</t>
        </is>
      </c>
      <c r="ZA2" t="inlineStr">
        <is>
          <t>Date</t>
        </is>
      </c>
      <c r="ZB2" t="inlineStr">
        <is>
          <t>PX_LAST</t>
        </is>
      </c>
      <c r="ZC2" t="inlineStr">
        <is>
          <t>PX_VOLUME</t>
        </is>
      </c>
      <c r="ZE2" t="inlineStr">
        <is>
          <t>Date</t>
        </is>
      </c>
      <c r="ZF2" t="inlineStr">
        <is>
          <t>PX_LAST</t>
        </is>
      </c>
      <c r="ZG2" t="inlineStr">
        <is>
          <t>PX_VOLUME</t>
        </is>
      </c>
      <c r="ZI2" t="inlineStr">
        <is>
          <t>Date</t>
        </is>
      </c>
      <c r="ZJ2" t="inlineStr">
        <is>
          <t>PX_LAST</t>
        </is>
      </c>
      <c r="ZK2" t="inlineStr">
        <is>
          <t>PX_VOLUME</t>
        </is>
      </c>
      <c r="ZM2" t="inlineStr">
        <is>
          <t>Date</t>
        </is>
      </c>
      <c r="ZN2" t="inlineStr">
        <is>
          <t>PX_LAST</t>
        </is>
      </c>
      <c r="ZO2" t="inlineStr">
        <is>
          <t>PX_VOLUME</t>
        </is>
      </c>
      <c r="ZQ2" t="inlineStr">
        <is>
          <t>Date</t>
        </is>
      </c>
      <c r="ZR2" t="inlineStr">
        <is>
          <t>PX_LAST</t>
        </is>
      </c>
      <c r="ZS2" t="inlineStr">
        <is>
          <t>PX_VOLUME</t>
        </is>
      </c>
      <c r="ZU2" t="inlineStr">
        <is>
          <t>Date</t>
        </is>
      </c>
      <c r="ZV2" t="inlineStr">
        <is>
          <t>PX_LAST</t>
        </is>
      </c>
      <c r="ZW2" t="inlineStr">
        <is>
          <t>PX_VOLUME</t>
        </is>
      </c>
      <c r="ZY2" t="inlineStr">
        <is>
          <t>Date</t>
        </is>
      </c>
      <c r="ZZ2" t="inlineStr">
        <is>
          <t>PX_LAST</t>
        </is>
      </c>
      <c r="AAA2" t="inlineStr">
        <is>
          <t>PX_VOLUME</t>
        </is>
      </c>
      <c r="AAC2" t="inlineStr">
        <is>
          <t>Date</t>
        </is>
      </c>
      <c r="AAD2" t="inlineStr">
        <is>
          <t>PX_LAST</t>
        </is>
      </c>
      <c r="AAE2" t="inlineStr">
        <is>
          <t>PX_VOLUME</t>
        </is>
      </c>
      <c r="AAG2" t="inlineStr">
        <is>
          <t>Date</t>
        </is>
      </c>
      <c r="AAH2" t="inlineStr">
        <is>
          <t>PX_LAST</t>
        </is>
      </c>
      <c r="AAI2" t="inlineStr">
        <is>
          <t>PX_VOLUME</t>
        </is>
      </c>
      <c r="AAK2" t="inlineStr">
        <is>
          <t>Date</t>
        </is>
      </c>
      <c r="AAL2" t="inlineStr">
        <is>
          <t>PX_LAST</t>
        </is>
      </c>
      <c r="AAM2" t="inlineStr">
        <is>
          <t>PX_VOLUME</t>
        </is>
      </c>
      <c r="AAO2" t="inlineStr">
        <is>
          <t>Date</t>
        </is>
      </c>
      <c r="AAP2" t="inlineStr">
        <is>
          <t>PX_LAST</t>
        </is>
      </c>
      <c r="AAQ2" t="inlineStr">
        <is>
          <t>PX_VOLUME</t>
        </is>
      </c>
      <c r="AAS2" t="inlineStr">
        <is>
          <t>Date</t>
        </is>
      </c>
      <c r="AAT2" t="inlineStr">
        <is>
          <t>PX_LAST</t>
        </is>
      </c>
      <c r="AAU2" t="inlineStr">
        <is>
          <t>PX_VOLUME</t>
        </is>
      </c>
      <c r="AAW2" t="inlineStr">
        <is>
          <t>Date</t>
        </is>
      </c>
      <c r="AAX2" t="inlineStr">
        <is>
          <t>PX_LAST</t>
        </is>
      </c>
      <c r="AAY2" t="inlineStr">
        <is>
          <t>PX_VOLUME</t>
        </is>
      </c>
      <c r="ABA2" t="inlineStr">
        <is>
          <t>Date</t>
        </is>
      </c>
      <c r="ABB2" t="inlineStr">
        <is>
          <t>PX_LAST</t>
        </is>
      </c>
      <c r="ABC2" t="inlineStr">
        <is>
          <t>PX_VOLUME</t>
        </is>
      </c>
      <c r="ABE2" t="inlineStr">
        <is>
          <t>Date</t>
        </is>
      </c>
      <c r="ABF2" t="inlineStr">
        <is>
          <t>PX_LAST</t>
        </is>
      </c>
      <c r="ABG2" t="inlineStr">
        <is>
          <t>PX_VOLUME</t>
        </is>
      </c>
      <c r="ABI2" t="inlineStr">
        <is>
          <t>Date</t>
        </is>
      </c>
      <c r="ABJ2" t="inlineStr">
        <is>
          <t>PX_LAST</t>
        </is>
      </c>
      <c r="ABK2" t="inlineStr">
        <is>
          <t>PX_VOLUME</t>
        </is>
      </c>
      <c r="ABM2" t="inlineStr">
        <is>
          <t>Date</t>
        </is>
      </c>
      <c r="ABN2" t="inlineStr">
        <is>
          <t>PX_LAST</t>
        </is>
      </c>
      <c r="ABO2" t="inlineStr">
        <is>
          <t>PX_VOLUME</t>
        </is>
      </c>
      <c r="ABQ2" t="inlineStr">
        <is>
          <t>Date</t>
        </is>
      </c>
      <c r="ABR2" t="inlineStr">
        <is>
          <t>PX_LAST</t>
        </is>
      </c>
      <c r="ABS2" t="inlineStr">
        <is>
          <t>PX_VOLUME</t>
        </is>
      </c>
      <c r="ABU2" t="inlineStr">
        <is>
          <t>Date</t>
        </is>
      </c>
      <c r="ABV2" t="inlineStr">
        <is>
          <t>PX_LAST</t>
        </is>
      </c>
      <c r="ABW2" t="inlineStr">
        <is>
          <t>PX_VOLUME</t>
        </is>
      </c>
      <c r="ABY2" t="inlineStr">
        <is>
          <t>Date</t>
        </is>
      </c>
      <c r="ABZ2" t="inlineStr">
        <is>
          <t>PX_LAST</t>
        </is>
      </c>
      <c r="ACA2" t="inlineStr">
        <is>
          <t>PX_VOLUME</t>
        </is>
      </c>
      <c r="ACC2" t="inlineStr">
        <is>
          <t>Date</t>
        </is>
      </c>
      <c r="ACD2" t="inlineStr">
        <is>
          <t>PX_LAST</t>
        </is>
      </c>
      <c r="ACE2" t="inlineStr">
        <is>
          <t>PX_VOLUME</t>
        </is>
      </c>
      <c r="ACG2" t="inlineStr">
        <is>
          <t>Date</t>
        </is>
      </c>
      <c r="ACH2" t="inlineStr">
        <is>
          <t>PX_LAST</t>
        </is>
      </c>
      <c r="ACI2" t="inlineStr">
        <is>
          <t>PX_VOLUME</t>
        </is>
      </c>
      <c r="ACK2" t="inlineStr">
        <is>
          <t>Date</t>
        </is>
      </c>
      <c r="ACL2" t="inlineStr">
        <is>
          <t>PX_LAST</t>
        </is>
      </c>
      <c r="ACM2" t="inlineStr">
        <is>
          <t>PX_VOLUME</t>
        </is>
      </c>
      <c r="ACO2" t="inlineStr">
        <is>
          <t>Date</t>
        </is>
      </c>
      <c r="ACP2" t="inlineStr">
        <is>
          <t>PX_LAST</t>
        </is>
      </c>
      <c r="ACQ2" t="inlineStr">
        <is>
          <t>PX_VOLUME</t>
        </is>
      </c>
      <c r="ACS2" t="inlineStr">
        <is>
          <t>Date</t>
        </is>
      </c>
      <c r="ACT2" t="inlineStr">
        <is>
          <t>PX_LAST</t>
        </is>
      </c>
      <c r="ACU2" t="inlineStr">
        <is>
          <t>PX_VOLUME</t>
        </is>
      </c>
      <c r="ACW2" t="inlineStr">
        <is>
          <t>Date</t>
        </is>
      </c>
      <c r="ACX2" t="inlineStr">
        <is>
          <t>PX_LAST</t>
        </is>
      </c>
      <c r="ACY2" t="inlineStr">
        <is>
          <t>PX_VOLUME</t>
        </is>
      </c>
      <c r="ADA2" t="inlineStr">
        <is>
          <t>Date</t>
        </is>
      </c>
      <c r="ADB2" t="inlineStr">
        <is>
          <t>PX_LAST</t>
        </is>
      </c>
      <c r="ADC2" t="inlineStr">
        <is>
          <t>PX_VOLUME</t>
        </is>
      </c>
      <c r="ADE2" t="inlineStr">
        <is>
          <t>Date</t>
        </is>
      </c>
      <c r="ADF2" t="inlineStr">
        <is>
          <t>PX_LAST</t>
        </is>
      </c>
      <c r="ADG2" t="inlineStr">
        <is>
          <t>PX_VOLUME</t>
        </is>
      </c>
      <c r="ADI2" t="inlineStr">
        <is>
          <t>Date</t>
        </is>
      </c>
      <c r="ADJ2" t="inlineStr">
        <is>
          <t>PX_LAST</t>
        </is>
      </c>
      <c r="ADK2" t="inlineStr">
        <is>
          <t>PX_VOLUME</t>
        </is>
      </c>
      <c r="ADM2" t="inlineStr">
        <is>
          <t>Date</t>
        </is>
      </c>
      <c r="ADN2" t="inlineStr">
        <is>
          <t>PX_LAST</t>
        </is>
      </c>
      <c r="ADO2" t="inlineStr">
        <is>
          <t>PX_VOLUME</t>
        </is>
      </c>
      <c r="ADQ2" t="inlineStr">
        <is>
          <t>Date</t>
        </is>
      </c>
      <c r="ADR2" t="inlineStr">
        <is>
          <t>PX_LAST</t>
        </is>
      </c>
      <c r="ADS2" t="inlineStr">
        <is>
          <t>PX_VOLUME</t>
        </is>
      </c>
    </row>
    <row r="3">
      <c r="A3">
        <f>BDH("BBG01B4PH6N7 Equity","PX_LAST,PX_VOLUME","1/1/2020","6/10/2026")</f>
        <v/>
      </c>
      <c r="E3">
        <f>BDH("BBG01B4PH7C7 Equity","PX_LAST,PX_VOLUME","1/1/2020","6/10/2026")</f>
        <v/>
      </c>
      <c r="I3">
        <f>BDH("BBG01B4PH826 Equity","PX_LAST,PX_VOLUME","1/1/2020","6/10/2026")</f>
        <v/>
      </c>
      <c r="M3">
        <f>BDH("BBG01B4PH8T7 Equity","PX_LAST,PX_VOLUME","1/1/2020","6/10/2026")</f>
        <v/>
      </c>
      <c r="Q3">
        <f>BDH("BBG01B4PH9J6 Equity","PX_LAST,PX_VOLUME","1/1/2020","6/10/2026")</f>
        <v/>
      </c>
      <c r="U3">
        <f>BDH("BBG01B4PHB74 Equity","PX_LAST,PX_VOLUME","1/1/2020","6/10/2026")</f>
        <v/>
      </c>
      <c r="Y3">
        <f>BDH("BBG01B4PHBY4 Equity","PX_LAST,PX_VOLUME","1/1/2020","6/10/2026")</f>
        <v/>
      </c>
      <c r="AC3">
        <f>BDH("BBG01B4PHCN4 Equity","PX_LAST,PX_VOLUME","1/1/2020","6/10/2026")</f>
        <v/>
      </c>
      <c r="AG3">
        <f>BDH("BBG01B4PHDD3 Equity","PX_LAST,PX_VOLUME","1/1/2020","6/10/2026")</f>
        <v/>
      </c>
      <c r="AK3">
        <f>BDH("BBG01B4PHF39 Equity","PX_LAST,PX_VOLUME","1/1/2020","6/10/2026")</f>
        <v/>
      </c>
      <c r="AO3">
        <f>BDH("BBG01B4PHFT1 Equity","PX_LAST,PX_VOLUME","1/1/2020","6/10/2026")</f>
        <v/>
      </c>
      <c r="AS3">
        <f>BDH("BBG01B4PHGJ0 Equity","PX_LAST,PX_VOLUME","1/1/2020","6/10/2026")</f>
        <v/>
      </c>
      <c r="AW3">
        <f>BDH("BBG01B4PHH80 Equity","PX_LAST,PX_VOLUME","1/1/2020","6/10/2026")</f>
        <v/>
      </c>
      <c r="BA3">
        <f>BDH("BBG01B4PHHZ0 Equity","PX_LAST,PX_VOLUME","1/1/2020","6/10/2026")</f>
        <v/>
      </c>
      <c r="BE3">
        <f>BDH("BBG01B4PHJP7 Equity","PX_LAST,PX_VOLUME","1/1/2020","6/10/2026")</f>
        <v/>
      </c>
      <c r="BI3">
        <f>BDH("BBG01B4PHKD7 Equity","PX_LAST,PX_VOLUME","1/1/2020","6/10/2026")</f>
        <v/>
      </c>
      <c r="BM3">
        <f>BDH("BBG01B9WSPW3 Equity","PX_LAST,PX_VOLUME","1/1/2020","6/10/2026")</f>
        <v/>
      </c>
      <c r="BQ3">
        <f>BDH("BBG01GQJFNV2 Equity","PX_LAST,PX_VOLUME","1/1/2020","6/10/2026")</f>
        <v/>
      </c>
      <c r="BU3">
        <f>BDH("BBG01GQJFPT0 Equity","PX_LAST,PX_VOLUME","1/1/2020","6/10/2026")</f>
        <v/>
      </c>
      <c r="BY3">
        <f>BDH("BBG01GQJFQS9 Equity","PX_LAST,PX_VOLUME","1/1/2020","6/10/2026")</f>
        <v/>
      </c>
      <c r="CC3">
        <f>BDH("BBG01GQJFRS7 Equity","PX_LAST,PX_VOLUME","1/1/2020","6/10/2026")</f>
        <v/>
      </c>
      <c r="CG3">
        <f>BDH("BBG01GQJFSR6 Equity","PX_LAST,PX_VOLUME","1/1/2020","6/10/2026")</f>
        <v/>
      </c>
      <c r="CK3">
        <f>BDH("BBG01GQJFTQ5 Equity","PX_LAST,PX_VOLUME","1/1/2020","6/10/2026")</f>
        <v/>
      </c>
      <c r="CO3">
        <f>BDH("BBG01GQJFVQ0 Equity","PX_LAST,PX_VOLUME","1/1/2020","6/10/2026")</f>
        <v/>
      </c>
      <c r="CS3">
        <f>BDH("BBG01GQJFWP9 Equity","PX_LAST,PX_VOLUME","1/1/2020","6/10/2026")</f>
        <v/>
      </c>
      <c r="CW3">
        <f>BDH("BBG01GQJFXN9 Equity","PX_LAST,PX_VOLUME","1/1/2020","6/10/2026")</f>
        <v/>
      </c>
      <c r="DA3">
        <f>BDH("BBG01GQJFYN7 Equity","PX_LAST,PX_VOLUME","1/1/2020","6/10/2026")</f>
        <v/>
      </c>
      <c r="DE3">
        <f>BDH("BBG01GQJFZM5 Equity","PX_LAST,PX_VOLUME","1/1/2020","6/10/2026")</f>
        <v/>
      </c>
      <c r="DI3">
        <f>BDH("BBG01GQJG0L2 Equity","PX_LAST,PX_VOLUME","1/1/2020","6/10/2026")</f>
        <v/>
      </c>
      <c r="DM3">
        <f>BDH("BBG01GQJG1K1 Equity","PX_LAST,PX_VOLUME","1/1/2020","6/10/2026")</f>
        <v/>
      </c>
      <c r="DQ3">
        <f>BDH("BBG01GQJG2K9 Equity","PX_LAST,PX_VOLUME","1/1/2020","6/10/2026")</f>
        <v/>
      </c>
      <c r="DU3">
        <f>BDH("BBG01GQJG3J9 Equity","PX_LAST,PX_VOLUME","1/1/2020","6/10/2026")</f>
        <v/>
      </c>
      <c r="DY3">
        <f>BDH("BBG01GQJG4H9 Equity","PX_LAST,PX_VOLUME","1/1/2020","6/10/2026")</f>
        <v/>
      </c>
      <c r="EC3">
        <f>BDH("BBG01GQJG5H6 Equity","PX_LAST,PX_VOLUME","1/1/2020","6/10/2026")</f>
        <v/>
      </c>
      <c r="EG3">
        <f>BDH("BBG01GQJG6G5 Equity","PX_LAST,PX_VOLUME","1/1/2020","6/10/2026")</f>
        <v/>
      </c>
      <c r="EK3">
        <f>BDH("BBG01GSL94Z0 Equity","PX_LAST,PX_VOLUME","1/1/2020","6/10/2026")</f>
        <v/>
      </c>
      <c r="EO3">
        <f>BDH("BBG01GVRFZC2 Equity","PX_LAST,PX_VOLUME","1/1/2020","6/10/2026")</f>
        <v/>
      </c>
      <c r="ES3">
        <f>BDH("BBG01GVRG0B9 Equity","PX_LAST,PX_VOLUME","1/1/2020","6/10/2026")</f>
        <v/>
      </c>
      <c r="EW3">
        <f>BDH("BBG01GX1NRS9 Equity","PX_LAST,PX_VOLUME","1/1/2020","6/10/2026")</f>
        <v/>
      </c>
      <c r="FA3">
        <f>BDH("BBG01GXF18Y7 Equity","PX_LAST,PX_VOLUME","1/1/2020","6/10/2026")</f>
        <v/>
      </c>
      <c r="FE3">
        <f>BDH("BBG01GZRCTD4 Equity","PX_LAST,PX_VOLUME","1/1/2020","6/10/2026")</f>
        <v/>
      </c>
      <c r="FI3">
        <f>BDH("BBG01H26CTJ8 Equity","PX_LAST,PX_VOLUME","1/1/2020","6/10/2026")</f>
        <v/>
      </c>
      <c r="FM3">
        <f>BDH("BBG01H26CVJ3 Equity","PX_LAST,PX_VOLUME","1/1/2020","6/10/2026")</f>
        <v/>
      </c>
      <c r="FQ3">
        <f>BDH("BBG01H26CWH3 Equity","PX_LAST,PX_VOLUME","1/1/2020","6/10/2026")</f>
        <v/>
      </c>
      <c r="FU3">
        <f>BDH("BBG01H26CXG2 Equity","PX_LAST,PX_VOLUME","1/1/2020","6/10/2026")</f>
        <v/>
      </c>
      <c r="FY3">
        <f>BDH("BBG01H26CYF1 Equity","PX_LAST,PX_VOLUME","1/1/2020","6/10/2026")</f>
        <v/>
      </c>
      <c r="GC3">
        <f>BDH("BBG01H26CZF8 Equity","PX_LAST,PX_VOLUME","1/1/2020","6/10/2026")</f>
        <v/>
      </c>
      <c r="GG3">
        <f>BDH("BBG01H26D0D6 Equity","PX_LAST,PX_VOLUME","1/1/2020","6/10/2026")</f>
        <v/>
      </c>
      <c r="GK3">
        <f>BDH("BBG01H26D1C5 Equity","PX_LAST,PX_VOLUME","1/1/2020","6/10/2026")</f>
        <v/>
      </c>
      <c r="GO3">
        <f>BDH("BBG01H26D2C3 Equity","PX_LAST,PX_VOLUME","1/1/2020","6/10/2026")</f>
        <v/>
      </c>
      <c r="GS3">
        <f>BDH("BBG01H26D3B2 Equity","PX_LAST,PX_VOLUME","1/1/2020","6/10/2026")</f>
        <v/>
      </c>
      <c r="GW3">
        <f>BDH("BBG01H26D493 Equity","PX_LAST,PX_VOLUME","1/1/2020","6/10/2026")</f>
        <v/>
      </c>
      <c r="HA3">
        <f>BDH("BBG01H26D590 Equity","PX_LAST,PX_VOLUME","1/1/2020","6/10/2026")</f>
        <v/>
      </c>
      <c r="HE3">
        <f>BDH("BBG01H26D689 Equity","PX_LAST,PX_VOLUME","1/1/2020","6/10/2026")</f>
        <v/>
      </c>
      <c r="HI3">
        <f>BDH("BBG01H26D778 Equity","PX_LAST,PX_VOLUME","1/1/2020","6/10/2026")</f>
        <v/>
      </c>
      <c r="HM3">
        <f>BDH("BBG01H26D867 Equity","PX_LAST,PX_VOLUME","1/1/2020","6/10/2026")</f>
        <v/>
      </c>
      <c r="HQ3">
        <f>BDH("BBG01H26D965 Equity","PX_LAST,PX_VOLUME","1/1/2020","6/10/2026")</f>
        <v/>
      </c>
      <c r="HU3">
        <f>BDH("BBG01H26DB51 Equity","PX_LAST,PX_VOLUME","1/1/2020","6/10/2026")</f>
        <v/>
      </c>
      <c r="HY3">
        <f>BDH("BBG01H26DC40 Equity","PX_LAST,PX_VOLUME","1/1/2020","6/10/2026")</f>
        <v/>
      </c>
      <c r="IC3">
        <f>BDH("BBG01H26DD48 Equity","PX_LAST,PX_VOLUME","1/1/2020","6/10/2026")</f>
        <v/>
      </c>
      <c r="IG3">
        <f>BDH("BBG01H26DF34 Equity","PX_LAST,PX_VOLUME","1/1/2020","6/10/2026")</f>
        <v/>
      </c>
      <c r="IK3">
        <f>BDH("BBG01H26DG23 Equity","PX_LAST,PX_VOLUME","1/1/2020","6/10/2026")</f>
        <v/>
      </c>
      <c r="IO3">
        <f>BDH("BBG01H26DH21 Equity","PX_LAST,PX_VOLUME","1/1/2020","6/10/2026")</f>
        <v/>
      </c>
      <c r="IS3">
        <f>BDH("BBG01H26DJ18 Equity","PX_LAST,PX_VOLUME","1/1/2020","6/10/2026")</f>
        <v/>
      </c>
      <c r="IW3">
        <f>BDH("BBG01H26DK06 Equity","PX_LAST,PX_VOLUME","1/1/2020","6/10/2026")</f>
        <v/>
      </c>
      <c r="JA3">
        <f>BDH("BBG01CG2FH51 Equity","PX_LAST,PX_VOLUME","1/1/2020","6/10/2026")</f>
        <v/>
      </c>
      <c r="JE3">
        <f>BDH("BBG01CG2FJ02 Equity","PX_LAST,PX_VOLUME","1/1/2020","6/10/2026")</f>
        <v/>
      </c>
      <c r="JI3">
        <f>BDH("BBG01CG2FJS2 Equity","PX_LAST,PX_VOLUME","1/1/2020","6/10/2026")</f>
        <v/>
      </c>
      <c r="JM3">
        <f>BDH("BBG01CG2FKK7 Equity","PX_LAST,PX_VOLUME","1/1/2020","6/10/2026")</f>
        <v/>
      </c>
      <c r="JQ3">
        <f>BDH("BBG01CG2FLB5 Equity","PX_LAST,PX_VOLUME","1/1/2020","6/10/2026")</f>
        <v/>
      </c>
      <c r="JU3">
        <f>BDH("BBG01CG2FM69 Equity","PX_LAST,PX_VOLUME","1/1/2020","6/10/2026")</f>
        <v/>
      </c>
      <c r="JY3">
        <f>BDH("BBG01CG2FMZ7 Equity","PX_LAST,PX_VOLUME","1/1/2020","6/10/2026")</f>
        <v/>
      </c>
      <c r="KC3">
        <f>BDH("BBG01CG2FNR4 Equity","PX_LAST,PX_VOLUME","1/1/2020","6/10/2026")</f>
        <v/>
      </c>
      <c r="KG3">
        <f>BDH("BBG01CG2FPJ8 Equity","PX_LAST,PX_VOLUME","1/1/2020","6/10/2026")</f>
        <v/>
      </c>
      <c r="KK3">
        <f>BDH("BBG01CG2FQB4 Equity","PX_LAST,PX_VOLUME","1/1/2020","6/10/2026")</f>
        <v/>
      </c>
      <c r="KO3">
        <f>BDH("BBG01CG2FR31 Equity","PX_LAST,PX_VOLUME","1/1/2020","6/10/2026")</f>
        <v/>
      </c>
      <c r="KS3">
        <f>BDH("BBG01CG2FRW9 Equity","PX_LAST,PX_VOLUME","1/1/2020","6/10/2026")</f>
        <v/>
      </c>
      <c r="KW3">
        <f>BDH("BBG01CG2FSN7 Equity","PX_LAST,PX_VOLUME","1/1/2020","6/10/2026")</f>
        <v/>
      </c>
      <c r="LA3">
        <f>BDH("BBG01DC5SBB8 Equity","PX_LAST,PX_VOLUME","1/1/2020","6/10/2026")</f>
        <v/>
      </c>
      <c r="LE3">
        <f>BDH("BBG01DC5SC35 Equity","PX_LAST,PX_VOLUME","1/1/2020","6/10/2026")</f>
        <v/>
      </c>
      <c r="LI3">
        <f>BDH("BBG01DJ4RFQ0 Equity","PX_LAST,PX_VOLUME","1/1/2020","6/10/2026")</f>
        <v/>
      </c>
      <c r="LM3">
        <f>BDH("BBG01DJ4RGH8 Equity","PX_LAST,PX_VOLUME","1/1/2020","6/10/2026")</f>
        <v/>
      </c>
      <c r="LQ3">
        <f>BDH("BBG01DMN5SV4 Equity","PX_LAST,PX_VOLUME","1/1/2020","6/10/2026")</f>
        <v/>
      </c>
      <c r="LU3">
        <f>BDH("BBG01DMN5TM2 Equity","PX_LAST,PX_VOLUME","1/1/2020","6/10/2026")</f>
        <v/>
      </c>
      <c r="LY3">
        <f>BDH("BBG01DMN5VF5 Equity","PX_LAST,PX_VOLUME","1/1/2020","6/10/2026")</f>
        <v/>
      </c>
      <c r="MC3">
        <f>BDH("BBG01F2T7K61 Equity","PX_LAST,PX_VOLUME","1/1/2020","6/10/2026")</f>
        <v/>
      </c>
      <c r="MG3">
        <f>BDH("BBG01F2T7L50 Equity","PX_LAST,PX_VOLUME","1/1/2020","6/10/2026")</f>
        <v/>
      </c>
      <c r="MK3">
        <f>BDH("BBG01F2T7M49 Equity","PX_LAST,PX_VOLUME","1/1/2020","6/10/2026")</f>
        <v/>
      </c>
      <c r="MO3">
        <f>BDH("BBG01F3WHDW9 Equity","PX_LAST,PX_VOLUME","1/1/2020","6/10/2026")</f>
        <v/>
      </c>
      <c r="MS3">
        <f>BDH("BBG01FDNF450 Equity","PX_LAST,PX_VOLUME","1/1/2020","6/10/2026")</f>
        <v/>
      </c>
      <c r="MW3">
        <f>BDH("BBG01H8N33L9 Equity","PX_LAST,PX_VOLUME","1/1/2020","6/10/2026")</f>
        <v/>
      </c>
      <c r="NA3">
        <f>BDH("BBG01HZ5MDW3 Equity","PX_LAST,PX_VOLUME","1/1/2020","6/10/2026")</f>
        <v/>
      </c>
      <c r="NE3">
        <f>BDH("BBG01HZ5MFV9 Equity","PX_LAST,PX_VOLUME","1/1/2020","6/10/2026")</f>
        <v/>
      </c>
      <c r="NI3">
        <f>BDH("BBG01HZ5MH09 Equity","PX_LAST,PX_VOLUME","1/1/2020","6/10/2026")</f>
        <v/>
      </c>
      <c r="NM3">
        <f>BDH("BBG01HZ5MHZ1 Equity","PX_LAST,PX_VOLUME","1/1/2020","6/10/2026")</f>
        <v/>
      </c>
      <c r="NQ3">
        <f>BDH("BBG01HZ5MJY8 Equity","PX_LAST,PX_VOLUME","1/1/2020","6/10/2026")</f>
        <v/>
      </c>
      <c r="NU3">
        <f>BDH("BBG01HZ5MKY5 Equity","PX_LAST,PX_VOLUME","1/1/2020","6/10/2026")</f>
        <v/>
      </c>
      <c r="NY3">
        <f>BDH("BBG01HZ5MLX4 Equity","PX_LAST,PX_VOLUME","1/1/2020","6/10/2026")</f>
        <v/>
      </c>
      <c r="OC3">
        <f>BDH("BBG01HZ5MMW3 Equity","PX_LAST,PX_VOLUME","1/1/2020","6/10/2026")</f>
        <v/>
      </c>
      <c r="OG3">
        <f>BDH("BBG01HZ5MNX0 Equity","PX_LAST,PX_VOLUME","1/1/2020","6/10/2026")</f>
        <v/>
      </c>
      <c r="OK3">
        <f>BDH("BBG01HZ5MPW6 Equity","PX_LAST,PX_VOLUME","1/1/2020","6/10/2026")</f>
        <v/>
      </c>
      <c r="OO3">
        <f>BDH("BBG01JFSN5P5 Equity","PX_LAST,PX_VOLUME","1/1/2020","6/10/2026")</f>
        <v/>
      </c>
      <c r="OS3">
        <f>BDH("BBG01HZ5MQV5 Equity","PX_LAST,PX_VOLUME","1/1/2020","6/10/2026")</f>
        <v/>
      </c>
      <c r="OW3">
        <f>BDH("BBG01JFSN6N5 Equity","PX_LAST,PX_VOLUME","1/1/2020","6/10/2026")</f>
        <v/>
      </c>
      <c r="PA3">
        <f>BDH("BBG01HZ5MRV3 Equity","PX_LAST,PX_VOLUME","1/1/2020","6/10/2026")</f>
        <v/>
      </c>
      <c r="PE3">
        <f>BDH("BBG01JFSN7M4 Equity","PX_LAST,PX_VOLUME","1/1/2020","6/10/2026")</f>
        <v/>
      </c>
      <c r="PI3">
        <f>BDH("BBG01HZ5MST4 Equity","PX_LAST,PX_VOLUME","1/1/2020","6/10/2026")</f>
        <v/>
      </c>
      <c r="PM3">
        <f>BDH("BBG01JFSN8M2 Equity","PX_LAST,PX_VOLUME","1/1/2020","6/10/2026")</f>
        <v/>
      </c>
      <c r="PQ3">
        <f>BDH("BBG01HZ5MTS3 Equity","PX_LAST,PX_VOLUME","1/1/2020","6/10/2026")</f>
        <v/>
      </c>
      <c r="PU3">
        <f>BDH("BBG01JFSN9L1 Equity","PX_LAST,PX_VOLUME","1/1/2020","6/10/2026")</f>
        <v/>
      </c>
      <c r="PY3">
        <f>BDH("BBG01HZ5MVR9 Equity","PX_LAST,PX_VOLUME","1/1/2020","6/10/2026")</f>
        <v/>
      </c>
      <c r="QC3">
        <f>BDH("BBG01JFSNBK7 Equity","PX_LAST,PX_VOLUME","1/1/2020","6/10/2026")</f>
        <v/>
      </c>
      <c r="QG3">
        <f>BDH("BBG01HZ5MWR7 Equity","PX_LAST,PX_VOLUME","1/1/2020","6/10/2026")</f>
        <v/>
      </c>
      <c r="QK3">
        <f>BDH("BBG01JFSNCK5 Equity","PX_LAST,PX_VOLUME","1/1/2020","6/10/2026")</f>
        <v/>
      </c>
      <c r="QO3">
        <f>BDH("BBG01HZ5MXQ6 Equity","PX_LAST,PX_VOLUME","1/1/2020","6/10/2026")</f>
        <v/>
      </c>
      <c r="QS3">
        <f>BDH("BBG01JFSNDJ5 Equity","PX_LAST,PX_VOLUME","1/1/2020","6/10/2026")</f>
        <v/>
      </c>
      <c r="QW3">
        <f>BDH("BBG01HZ5MYP5 Equity","PX_LAST,PX_VOLUME","1/1/2020","6/10/2026")</f>
        <v/>
      </c>
      <c r="RA3">
        <f>BDH("BBG01JFSNFH2 Equity","PX_LAST,PX_VOLUME","1/1/2020","6/10/2026")</f>
        <v/>
      </c>
      <c r="RE3">
        <f>BDH("BBG01HZ5MZP2 Equity","PX_LAST,PX_VOLUME","1/1/2020","6/10/2026")</f>
        <v/>
      </c>
      <c r="RI3">
        <f>BDH("BBG01JFSNGH0 Equity","PX_LAST,PX_VOLUME","1/1/2020","6/10/2026")</f>
        <v/>
      </c>
      <c r="RM3">
        <f>BDH("BBG01HZ5N0N0 Equity","PX_LAST,PX_VOLUME","1/1/2020","6/10/2026")</f>
        <v/>
      </c>
      <c r="RQ3">
        <f>BDH("BBG01JFSNHG9 Equity","PX_LAST,PX_VOLUME","1/1/2020","6/10/2026")</f>
        <v/>
      </c>
      <c r="RU3">
        <f>BDH("BBG01HZ5N1M9 Equity","PX_LAST,PX_VOLUME","1/1/2020","6/10/2026")</f>
        <v/>
      </c>
      <c r="RY3">
        <f>BDH("BBG01JFSNJF6 Equity","PX_LAST,PX_VOLUME","1/1/2020","6/10/2026")</f>
        <v/>
      </c>
      <c r="SC3">
        <f>BDH("BBG01HZ5N2N6 Equity","PX_LAST,PX_VOLUME","1/1/2020","6/10/2026")</f>
        <v/>
      </c>
      <c r="SG3">
        <f>BDH("BBG01HZ5N3M5 Equity","PX_LAST,PX_VOLUME","1/1/2020","6/10/2026")</f>
        <v/>
      </c>
      <c r="SK3">
        <f>BDH("BBG01HZ5N4L4 Equity","PX_LAST,PX_VOLUME","1/1/2020","6/10/2026")</f>
        <v/>
      </c>
      <c r="SO3">
        <f>BDH("BBG01JF6T3H1 Equity","PX_LAST,PX_VOLUME","1/1/2020","6/10/2026")</f>
        <v/>
      </c>
      <c r="SS3">
        <f>BDH("BBG01JCKCTC9 Equity","PX_LAST,PX_VOLUME","1/1/2020","6/10/2026")</f>
        <v/>
      </c>
      <c r="SW3">
        <f>BDH("BBG01JCKCVB5 Equity","PX_LAST,PX_VOLUME","1/1/2020","6/10/2026")</f>
        <v/>
      </c>
      <c r="TA3">
        <f>BDH("BBG01JCKCW96 Equity","PX_LAST,PX_VOLUME","1/1/2020","6/10/2026")</f>
        <v/>
      </c>
      <c r="TE3">
        <f>BDH("BBG01JCKCX85 Equity","PX_LAST,PX_VOLUME","1/1/2020","6/10/2026")</f>
        <v/>
      </c>
      <c r="TI3">
        <f>BDH("BBG01JCKCY83 Equity","PX_LAST,PX_VOLUME","1/1/2020","6/10/2026")</f>
        <v/>
      </c>
      <c r="TM3">
        <f>BDH("BBG01JCKCZ71 Equity","PX_LAST,PX_VOLUME","1/1/2020","6/10/2026")</f>
        <v/>
      </c>
      <c r="TQ3">
        <f>BDH("BBG01JCKD068 Equity","PX_LAST,PX_VOLUME","1/1/2020","6/10/2026")</f>
        <v/>
      </c>
      <c r="TU3">
        <f>BDH("BBG01JCKD166 Equity","PX_LAST,PX_VOLUME","1/1/2020","6/10/2026")</f>
        <v/>
      </c>
      <c r="TY3">
        <f>BDH("BBG01JCKD255 Equity","PX_LAST,PX_VOLUME","1/1/2020","6/10/2026")</f>
        <v/>
      </c>
      <c r="UC3">
        <f>BDH("BBG01JCKD344 Equity","PX_LAST,PX_VOLUME","1/1/2020","6/10/2026")</f>
        <v/>
      </c>
      <c r="UG3">
        <f>BDH("BBG01JCKD451 Equity","PX_LAST,PX_VOLUME","1/1/2020","6/10/2026")</f>
        <v/>
      </c>
      <c r="UK3">
        <f>BDH("BBG01JCKD549 Equity","PX_LAST,PX_VOLUME","1/1/2020","6/10/2026")</f>
        <v/>
      </c>
      <c r="UO3">
        <f>BDH("BBG01JCKD638 Equity","PX_LAST,PX_VOLUME","1/1/2020","6/10/2026")</f>
        <v/>
      </c>
      <c r="US3">
        <f>BDH("BBG01JCKD754 Equity","PX_LAST,PX_VOLUME","1/1/2020","6/10/2026")</f>
        <v/>
      </c>
      <c r="UW3">
        <f>BDH("BBG01JCKD843 Equity","PX_LAST,PX_VOLUME","1/1/2020","6/10/2026")</f>
        <v/>
      </c>
      <c r="VA3">
        <f>BDH("BBG01JCKD932 Equity","PX_LAST,PX_VOLUME","1/1/2020","6/10/2026")</f>
        <v/>
      </c>
      <c r="VE3">
        <f>BDH("BBG01JCKDB28 Equity","PX_LAST,PX_VOLUME","1/1/2020","6/10/2026")</f>
        <v/>
      </c>
      <c r="VI3">
        <f>BDH("BBG01JCKDC35 Equity","PX_LAST,PX_VOLUME","1/1/2020","6/10/2026")</f>
        <v/>
      </c>
      <c r="VM3">
        <f>BDH("BBG01JCKDD24 Equity","PX_LAST,PX_VOLUME","1/1/2020","6/10/2026")</f>
        <v/>
      </c>
      <c r="VQ3">
        <f>BDH("BBG01JCKDF10 Equity","PX_LAST,PX_VOLUME","1/1/2020","6/10/2026")</f>
        <v/>
      </c>
      <c r="VU3">
        <f>BDH("BBG01JCKDG18 Equity","PX_LAST,PX_VOLUME","1/1/2020","6/10/2026")</f>
        <v/>
      </c>
      <c r="VY3">
        <f>BDH("BBG01JCKDH07 Equity","PX_LAST,PX_VOLUME","1/1/2020","6/10/2026")</f>
        <v/>
      </c>
      <c r="WC3">
        <f>BDH("BBG01JCKDHZ9 Equity","PX_LAST,PX_VOLUME","1/1/2020","6/10/2026")</f>
        <v/>
      </c>
      <c r="WG3">
        <f>BDH("BBG01GCFY7R4 Equity","PX_LAST,PX_VOLUME","1/1/2020","6/10/2026")</f>
        <v/>
      </c>
      <c r="WK3">
        <f>BDH("BBG01GCFY8S1 Equity","PX_LAST,PX_VOLUME","1/1/2020","6/10/2026")</f>
        <v/>
      </c>
      <c r="WO3">
        <f>BDH("BBG01GCFY9R0 Equity","PX_LAST,PX_VOLUME","1/1/2020","6/10/2026")</f>
        <v/>
      </c>
      <c r="WS3">
        <f>BDH("BBG01GCFYBQ6 Equity","PX_LAST,PX_VOLUME","1/1/2020","6/10/2026")</f>
        <v/>
      </c>
      <c r="WW3">
        <f>BDH("BBG01GCFYCP5 Equity","PX_LAST,PX_VOLUME","1/1/2020","6/10/2026")</f>
        <v/>
      </c>
      <c r="XA3">
        <f>BDH("BBG01GCFYDQ2 Equity","PX_LAST,PX_VOLUME","1/1/2020","6/10/2026")</f>
        <v/>
      </c>
      <c r="XE3">
        <f>BDH("BBG01GCFYFP8 Equity","PX_LAST,PX_VOLUME","1/1/2020","6/10/2026")</f>
        <v/>
      </c>
      <c r="XI3">
        <f>BDH("BBG01GCFYGN8 Equity","PX_LAST,PX_VOLUME","1/1/2020","6/10/2026")</f>
        <v/>
      </c>
      <c r="XM3">
        <f>BDH("BBG01GCFYHN6 Equity","PX_LAST,PX_VOLUME","1/1/2020","6/10/2026")</f>
        <v/>
      </c>
      <c r="XQ3">
        <f>BDH("BBG01GCFYJM3 Equity","PX_LAST,PX_VOLUME","1/1/2020","6/10/2026")</f>
        <v/>
      </c>
      <c r="XU3">
        <f>BDH("BBG01GCFYKL1 Equity","PX_LAST,PX_VOLUME","1/1/2020","6/10/2026")</f>
        <v/>
      </c>
      <c r="XY3">
        <f>BDH("BBG01GCFYLL9 Equity","PX_LAST,PX_VOLUME","1/1/2020","6/10/2026")</f>
        <v/>
      </c>
      <c r="YC3">
        <f>BDH("BBG01GCFYMK8 Equity","PX_LAST,PX_VOLUME","1/1/2020","6/10/2026")</f>
        <v/>
      </c>
      <c r="YG3">
        <f>BDH("BBG01GCFYNJ8 Equity","PX_LAST,PX_VOLUME","1/1/2020","6/10/2026")</f>
        <v/>
      </c>
      <c r="YK3">
        <f>BDH("BBG01GCFYPH5 Equity","PX_LAST,PX_VOLUME","1/1/2020","6/10/2026")</f>
        <v/>
      </c>
      <c r="YO3">
        <f>BDH("BBG01GCFYQH3 Equity","PX_LAST,PX_VOLUME","1/1/2020","6/10/2026")</f>
        <v/>
      </c>
      <c r="YS3">
        <f>BDH("BBG01GCFYRG2 Equity","PX_LAST,PX_VOLUME","1/1/2020","6/10/2026")</f>
        <v/>
      </c>
      <c r="YW3">
        <f>BDH("BBG01GCFYSF1 Equity","PX_LAST,PX_VOLUME","1/1/2020","6/10/2026")</f>
        <v/>
      </c>
      <c r="ZA3">
        <f>BDH("BBG01GCFYTF9 Equity","PX_LAST,PX_VOLUME","1/1/2020","6/10/2026")</f>
        <v/>
      </c>
      <c r="ZE3">
        <f>BDH("BBG01GCFYVD6 Equity","PX_LAST,PX_VOLUME","1/1/2020","6/10/2026")</f>
        <v/>
      </c>
      <c r="ZI3">
        <f>BDH("BBG01GCFYWC5 Equity","PX_LAST,PX_VOLUME","1/1/2020","6/10/2026")</f>
        <v/>
      </c>
      <c r="ZM3">
        <f>BDH("BBG01GSL95Y8 Equity","PX_LAST,PX_VOLUME","1/1/2020","6/10/2026")</f>
        <v/>
      </c>
      <c r="ZQ3">
        <f>BDH("BBG01GVRG190 Equity","PX_LAST,PX_VOLUME","1/1/2020","6/10/2026")</f>
        <v/>
      </c>
      <c r="ZU3">
        <f>BDH("BBG01GXF19Y5 Equity","PX_LAST,PX_VOLUME","1/1/2020","6/10/2026")</f>
        <v/>
      </c>
      <c r="ZY3">
        <f>BDH("BBG01GY1CVZ3 Equity","PX_LAST,PX_VOLUME","1/1/2020","6/10/2026")</f>
        <v/>
      </c>
      <c r="AAC3">
        <f>BDH("BBG01GZRD082 Equity","PX_LAST,PX_VOLUME","1/1/2020","6/10/2026")</f>
        <v/>
      </c>
      <c r="AAG3">
        <f>BDH("BBG01HDTXGK9 Equity","PX_LAST,PX_VOLUME","1/1/2020","6/10/2026")</f>
        <v/>
      </c>
      <c r="AAK3">
        <f>BDH("BBG01K6P2H02 Equity","PX_LAST,PX_VOLUME","1/1/2020","6/10/2026")</f>
        <v/>
      </c>
      <c r="AAO3">
        <f>BDH("BBG01K6P2HZ4 Equity","PX_LAST,PX_VOLUME","1/1/2020","6/10/2026")</f>
        <v/>
      </c>
      <c r="AAS3">
        <f>BDH("BBG01K6P2JY1 Equity","PX_LAST,PX_VOLUME","1/1/2020","6/10/2026")</f>
        <v/>
      </c>
      <c r="AAW3">
        <f>BDH("BBG01K6P2KY8 Equity","PX_LAST,PX_VOLUME","1/1/2020","6/10/2026")</f>
        <v/>
      </c>
      <c r="ABA3">
        <f>BDH("BBG01K6P2LX7 Equity","PX_LAST,PX_VOLUME","1/1/2020","6/10/2026")</f>
        <v/>
      </c>
      <c r="ABE3">
        <f>BDH("BBG01K6P2MW6 Equity","PX_LAST,PX_VOLUME","1/1/2020","6/10/2026")</f>
        <v/>
      </c>
      <c r="ABI3">
        <f>BDH("BBG01K6P2NV5 Equity","PX_LAST,PX_VOLUME","1/1/2020","6/10/2026")</f>
        <v/>
      </c>
      <c r="ABM3">
        <f>BDH("BBG01K6P2PV0 Equity","PX_LAST,PX_VOLUME","1/1/2020","6/10/2026")</f>
        <v/>
      </c>
      <c r="ABQ3">
        <f>BDH("BBG01K6P2QT1 Equity","PX_LAST,PX_VOLUME","1/1/2020","6/10/2026")</f>
        <v/>
      </c>
      <c r="ABU3">
        <f>BDH("BBG01K6P2RS0 Equity","PX_LAST,PX_VOLUME","1/1/2020","6/10/2026")</f>
        <v/>
      </c>
      <c r="ABY3">
        <f>BDH("BBG01K6P2ST7 Equity","PX_LAST,PX_VOLUME","1/1/2020","6/10/2026")</f>
        <v/>
      </c>
      <c r="ACC3">
        <f>BDH("BBG01K6P2TS6 Equity","PX_LAST,PX_VOLUME","1/1/2020","6/10/2026")</f>
        <v/>
      </c>
      <c r="ACG3">
        <f>BDH("BBG01K6P2VR2 Equity","PX_LAST,PX_VOLUME","1/1/2020","6/10/2026")</f>
        <v/>
      </c>
      <c r="ACK3">
        <f>BDH("BBG01K6P2WR0 Equity","PX_LAST,PX_VOLUME","1/1/2020","6/10/2026")</f>
        <v/>
      </c>
      <c r="ACO3">
        <f>BDH("BBG01K6P2XQ9 Equity","PX_LAST,PX_VOLUME","1/1/2020","6/10/2026")</f>
        <v/>
      </c>
      <c r="ACS3">
        <f>BDH("BBG01K6P2YP8 Equity","PX_LAST,PX_VOLUME","1/1/2020","6/10/2026")</f>
        <v/>
      </c>
      <c r="ACW3">
        <f>BDH("BBG01K6P2ZN7 Equity","PX_LAST,PX_VOLUME","1/1/2020","6/10/2026")</f>
        <v/>
      </c>
      <c r="ADA3">
        <f>BDH("BBG01K6P30N3 Equity","PX_LAST,PX_VOLUME","1/1/2020","6/10/2026")</f>
        <v/>
      </c>
      <c r="ADE3">
        <f>BDH("BBG01K6P31M2 Equity","PX_LAST,PX_VOLUME","1/1/2020","6/10/2026")</f>
        <v/>
      </c>
      <c r="ADI3">
        <f>BDH("BBG01K6P32L1 Equity","PX_LAST,PX_VOLUME","1/1/2020","6/10/2026")</f>
        <v/>
      </c>
      <c r="ADM3">
        <f>BDH("BBG01K6P33L9 Equity","PX_LAST,PX_VOLUME","1/1/2020","6/10/2026")</f>
        <v/>
      </c>
      <c r="ADQ3">
        <f>BDH("BBG01KBZMKF9 Equity","PX_LAST,PX_VOLUME","1/1/2020","6/10/2026")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DS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BBG01KLVT2N1 Equity (TSLL US 02/16/24 P4)</t>
        </is>
      </c>
      <c r="E1" t="inlineStr">
        <is>
          <t>BBG01KLVT3M0 Equity (TSLL US 02/16/24 P5)</t>
        </is>
      </c>
      <c r="I1" t="inlineStr">
        <is>
          <t>BBG01KLVT4L9 Equity (TSLL US 02/16/24 P6)</t>
        </is>
      </c>
      <c r="M1" t="inlineStr">
        <is>
          <t>BBG01KLVT5P2 Equity (TSLL US 02/16/24 P7)</t>
        </is>
      </c>
      <c r="Q1" t="inlineStr">
        <is>
          <t>BBG01KLVT6N2 Equity (TSLL US 02/16/24 P8)</t>
        </is>
      </c>
      <c r="U1" t="inlineStr">
        <is>
          <t>BBG01KLVT7M1 Equity (TSLL US 02/16/24 P9)</t>
        </is>
      </c>
      <c r="Y1" t="inlineStr">
        <is>
          <t>BBG01KLVT8P6 Equity (TSLL US 02/16/24 P10)</t>
        </is>
      </c>
      <c r="AC1" t="inlineStr">
        <is>
          <t>BBG01KLVT9N6 Equity (TSLL US 02/16/24 P11)</t>
        </is>
      </c>
      <c r="AG1" t="inlineStr">
        <is>
          <t>BBG01KLVTBM2 Equity (TSLL US 02/16/24 P12)</t>
        </is>
      </c>
      <c r="AK1" t="inlineStr">
        <is>
          <t>BBG01KLVTCM0 Equity (TSLL US 02/16/24 P13)</t>
        </is>
      </c>
      <c r="AO1" t="inlineStr">
        <is>
          <t>BBG01KLVTDL9 Equity (TSLL US 02/16/24 P14)</t>
        </is>
      </c>
      <c r="AS1" t="inlineStr">
        <is>
          <t>BBG01KLVTFK5 Equity (TSLL US 02/16/24 P15)</t>
        </is>
      </c>
      <c r="AW1" t="inlineStr">
        <is>
          <t>BBG01KLVTGK3 Equity (TSLL US 02/16/24 P16)</t>
        </is>
      </c>
      <c r="BA1" t="inlineStr">
        <is>
          <t>BBG01KLVTHJ3 Equity (TSLL US 02/16/24 P17)</t>
        </is>
      </c>
      <c r="BE1" t="inlineStr">
        <is>
          <t>BBG01KLVTJH1 Equity (TSLL US 02/16/24 P18)</t>
        </is>
      </c>
      <c r="BI1" t="inlineStr">
        <is>
          <t>BBG01KLVTKG9 Equity (TSLL US 02/16/24 P19)</t>
        </is>
      </c>
      <c r="BM1" t="inlineStr">
        <is>
          <t>BBG01KLVTLH6 Equity (TSLL US 02/16/24 P20)</t>
        </is>
      </c>
      <c r="BQ1" t="inlineStr">
        <is>
          <t>BBG01KLVTMG5 Equity (TSLL US 02/16/24 P21)</t>
        </is>
      </c>
      <c r="BU1" t="inlineStr">
        <is>
          <t>BBG01KLVTNF4 Equity (TSLL US 02/16/24 P22)</t>
        </is>
      </c>
      <c r="BY1" t="inlineStr">
        <is>
          <t>BBG01KLVTPF9 Equity (TSLL US 02/16/24 P23)</t>
        </is>
      </c>
      <c r="CC1" t="inlineStr">
        <is>
          <t>BBG01KLVTQD9 Equity (TSLL US 02/16/24 P24)</t>
        </is>
      </c>
      <c r="CG1" t="inlineStr">
        <is>
          <t>BBG01KMY3396 Equity (TSLL US 02/16/24 P25)</t>
        </is>
      </c>
      <c r="CK1" t="inlineStr">
        <is>
          <t>BBG01JWHJPV4 Equity (TSLL US 03/15/24 P0.73)</t>
        </is>
      </c>
      <c r="CO1" t="inlineStr">
        <is>
          <t>BBG01JWHJQV2 Equity (TSLL US 03/15/24 P1.73)</t>
        </is>
      </c>
      <c r="CS1" t="inlineStr">
        <is>
          <t>BBG01JWHJRT3 Equity (TSLL US 03/15/24 P2.73)</t>
        </is>
      </c>
      <c r="CW1" t="inlineStr">
        <is>
          <t>BBG01JWHJSS2 Equity (TSLL US 03/15/24 P3.73)</t>
        </is>
      </c>
      <c r="DA1" t="inlineStr">
        <is>
          <t>BBG01HPMJYY3 Equity (TSLL US 03/15/24 P4.73)</t>
        </is>
      </c>
      <c r="DE1" t="inlineStr">
        <is>
          <t>BBG01JWHJTS0 Equity (TSLL US 03/15/24 P5.73)</t>
        </is>
      </c>
      <c r="DI1" t="inlineStr">
        <is>
          <t>BBG01JWHJVR6 Equity (TSLL US 03/15/24 P6.73)</t>
        </is>
      </c>
      <c r="DM1" t="inlineStr">
        <is>
          <t>BBG01JWHJWQ5 Equity (TSLL US 03/15/24 P7.73)</t>
        </is>
      </c>
      <c r="DQ1" t="inlineStr">
        <is>
          <t>BBG01JWHJXQ3 Equity (TSLL US 03/15/24 P8.73)</t>
        </is>
      </c>
      <c r="DU1" t="inlineStr">
        <is>
          <t>BBG01HKKQK47 Equity (TSLL US 03/15/24 P9.73)</t>
        </is>
      </c>
      <c r="DY1" t="inlineStr">
        <is>
          <t>BBG01HKKQL36 Equity (TSLL US 03/15/24 P10.73)</t>
        </is>
      </c>
      <c r="EC1" t="inlineStr">
        <is>
          <t>BBG01HKKQM34 Equity (TSLL US 03/15/24 P11.73)</t>
        </is>
      </c>
      <c r="EG1" t="inlineStr">
        <is>
          <t>BBG01HKKQN23 Equity (TSLL US 03/15/24 P12.73)</t>
        </is>
      </c>
      <c r="EK1" t="inlineStr">
        <is>
          <t>BBG01HKKQP19 Equity (TSLL US 03/15/24 P13.73)</t>
        </is>
      </c>
      <c r="EO1" t="inlineStr">
        <is>
          <t>BBG01HKKQQ08 Equity (TSLL US 03/15/24 P14.73)</t>
        </is>
      </c>
      <c r="ES1" t="inlineStr">
        <is>
          <t>BBG01HKKQR06 Equity (TSLL US 03/15/24 P15.73)</t>
        </is>
      </c>
      <c r="EW1" t="inlineStr">
        <is>
          <t>BBG01HKKQRZ8 Equity (TSLL US 03/15/24 P16.73)</t>
        </is>
      </c>
      <c r="FA1" t="inlineStr">
        <is>
          <t>BBG01HKKQSY7 Equity (TSLL US 03/15/24 P17.73)</t>
        </is>
      </c>
      <c r="FE1" t="inlineStr">
        <is>
          <t>BBG01HKKQTZ4 Equity (TSLL US 03/15/24 P18.73)</t>
        </is>
      </c>
      <c r="FI1" t="inlineStr">
        <is>
          <t>BBG01HKKQVY0 Equity (TSLL US 03/15/24 P19.73)</t>
        </is>
      </c>
      <c r="FM1" t="inlineStr">
        <is>
          <t>BBG01HKKQWX9 Equity (TSLL US 03/15/24 P20.73)</t>
        </is>
      </c>
      <c r="FQ1" t="inlineStr">
        <is>
          <t>BBG01HKKQXX7 Equity (TSLL US 03/15/24 P21.73)</t>
        </is>
      </c>
      <c r="FU1" t="inlineStr">
        <is>
          <t>BBG01HKKQYW6 Equity (TSLL US 03/15/24 P22.73)</t>
        </is>
      </c>
      <c r="FY1" t="inlineStr">
        <is>
          <t>BBG01HKKQZV4 Equity (TSLL US 03/15/24 P23.73)</t>
        </is>
      </c>
      <c r="GC1" t="inlineStr">
        <is>
          <t>BBG01HKKR0T3 Equity (TSLL US 03/15/24 P24.73)</t>
        </is>
      </c>
      <c r="GG1" t="inlineStr">
        <is>
          <t>BBG01HKKR1T1 Equity (TSLL US 03/15/24 P25.73)</t>
        </is>
      </c>
      <c r="GK1" t="inlineStr">
        <is>
          <t>BBG01HKKR2S0 Equity (TSLL US 03/15/24 P26.73)</t>
        </is>
      </c>
      <c r="GO1" t="inlineStr">
        <is>
          <t>BBG01HKKR3R9 Equity (TSLL US 03/15/24 P27.73)</t>
        </is>
      </c>
      <c r="GS1" t="inlineStr">
        <is>
          <t>BBG01HKKR4S6 Equity (TSLL US 03/15/24 P28.73)</t>
        </is>
      </c>
      <c r="GW1" t="inlineStr">
        <is>
          <t>BBG01HKKR5R4 Equity (TSLL US 03/15/24 P29.73)</t>
        </is>
      </c>
      <c r="HA1" t="inlineStr">
        <is>
          <t>BBG01HPMJZX1 Equity (TSLL US 03/15/24 P34.73)</t>
        </is>
      </c>
      <c r="HE1" t="inlineStr">
        <is>
          <t>BBG01LJSXH60 Equity (TSLL US 04/19/24 P1)</t>
        </is>
      </c>
      <c r="HI1" t="inlineStr">
        <is>
          <t>BBG01LJSXJ93 Equity (TSLL US 04/19/24 P2)</t>
        </is>
      </c>
      <c r="HM1" t="inlineStr">
        <is>
          <t>BBG01M24P0P4 Equity (TSLL US 04/19/24 P2.5)</t>
        </is>
      </c>
      <c r="HQ1" t="inlineStr">
        <is>
          <t>BBG01LJSXKF3 Equity (TSLL US 04/19/24 P3)</t>
        </is>
      </c>
      <c r="HU1" t="inlineStr">
        <is>
          <t>BBG01M24P1S9 Equity (TSLL US 04/19/24 P3.5)</t>
        </is>
      </c>
      <c r="HY1" t="inlineStr">
        <is>
          <t>BBG01LJSXLJ7 Equity (TSLL US 04/19/24 P4)</t>
        </is>
      </c>
      <c r="IC1" t="inlineStr">
        <is>
          <t>BBG01M24P2W2 Equity (TSLL US 04/19/24 P4.5)</t>
        </is>
      </c>
      <c r="IG1" t="inlineStr">
        <is>
          <t>BBG01LJSXMM1 Equity (TSLL US 04/19/24 P5)</t>
        </is>
      </c>
      <c r="IK1" t="inlineStr">
        <is>
          <t>BBG01M24P403 Equity (TSLL US 04/19/24 P5.5)</t>
        </is>
      </c>
      <c r="IO1" t="inlineStr">
        <is>
          <t>BBG01LJSXNR4 Equity (TSLL US 04/19/24 P6)</t>
        </is>
      </c>
      <c r="IS1" t="inlineStr">
        <is>
          <t>BBG01M24P537 Equity (TSLL US 04/19/24 P6.5)</t>
        </is>
      </c>
      <c r="IW1" t="inlineStr">
        <is>
          <t>BBG01LJSXPV4 Equity (TSLL US 04/19/24 P7)</t>
        </is>
      </c>
      <c r="JA1" t="inlineStr">
        <is>
          <t>BBG01M24P662 Equity (TSLL US 04/19/24 P7.5)</t>
        </is>
      </c>
      <c r="JE1" t="inlineStr">
        <is>
          <t>BBG01LJSXQY9 Equity (TSLL US 04/19/24 P8)</t>
        </is>
      </c>
      <c r="JI1" t="inlineStr">
        <is>
          <t>BBG01M24P7B4 Equity (TSLL US 04/19/24 P8.5)</t>
        </is>
      </c>
      <c r="JM1" t="inlineStr">
        <is>
          <t>BBG01LJSXS20 Equity (TSLL US 04/19/24 P9)</t>
        </is>
      </c>
      <c r="JQ1" t="inlineStr">
        <is>
          <t>BBG01M24P8F8 Equity (TSLL US 04/19/24 P9.5)</t>
        </is>
      </c>
      <c r="JU1" t="inlineStr">
        <is>
          <t>BBG01LJSXT55 Equity (TSLL US 04/19/24 P10)</t>
        </is>
      </c>
      <c r="JY1" t="inlineStr">
        <is>
          <t>BBG01M24P9J2 Equity (TSLL US 04/19/24 P10.5)</t>
        </is>
      </c>
      <c r="KC1" t="inlineStr">
        <is>
          <t>BBG01LJSXV87 Equity (TSLL US 04/19/24 P11)</t>
        </is>
      </c>
      <c r="KG1" t="inlineStr">
        <is>
          <t>BBG01M24PBN2 Equity (TSLL US 04/19/24 P11.5)</t>
        </is>
      </c>
      <c r="KK1" t="inlineStr">
        <is>
          <t>BBG01LJSXWD9 Equity (TSLL US 04/19/24 P12)</t>
        </is>
      </c>
      <c r="KO1" t="inlineStr">
        <is>
          <t>BBG01M24PCR6 Equity (TSLL US 04/19/24 P12.5)</t>
        </is>
      </c>
      <c r="KS1" t="inlineStr">
        <is>
          <t>BBG01LJSXXH3 Equity (TSLL US 04/19/24 P13)</t>
        </is>
      </c>
      <c r="KW1" t="inlineStr">
        <is>
          <t>BBG01LJSXYL6 Equity (TSLL US 04/19/24 P14)</t>
        </is>
      </c>
      <c r="LA1" t="inlineStr">
        <is>
          <t>BBG01LJSXZQ8 Equity (TSLL US 04/19/24 P15)</t>
        </is>
      </c>
      <c r="LE1" t="inlineStr">
        <is>
          <t>BBG01LJSY0T1 Equity (TSLL US 04/19/24 P16)</t>
        </is>
      </c>
      <c r="LI1" t="inlineStr">
        <is>
          <t>BBG01LJSY1X4 Equity (TSLL US 04/19/24 P17)</t>
        </is>
      </c>
      <c r="LM1" t="inlineStr">
        <is>
          <t>BBG01LJSY324 Equity (TSLL US 04/19/24 P18)</t>
        </is>
      </c>
      <c r="LQ1" t="inlineStr">
        <is>
          <t>BBG01LMSKRX8 Equity (TSLL US 04/19/24 P19)</t>
        </is>
      </c>
      <c r="LU1" t="inlineStr">
        <is>
          <t>BBG01LQKQZ76 Equity (TSLL US 04/19/24 P20)</t>
        </is>
      </c>
      <c r="LY1" t="inlineStr">
        <is>
          <t>BBG01M0F9D08 Equity (TSLL US 05/17/24 P1)</t>
        </is>
      </c>
      <c r="MC1" t="inlineStr">
        <is>
          <t>BBG01M0F9F30 Equity (TSLL US 05/17/24 P2)</t>
        </is>
      </c>
      <c r="MG1" t="inlineStr">
        <is>
          <t>BBG01M0F9G74 Equity (TSLL US 05/17/24 P3)</t>
        </is>
      </c>
      <c r="MK1" t="inlineStr">
        <is>
          <t>BBG01M0F9HB7 Equity (TSLL US 05/17/24 P4)</t>
        </is>
      </c>
      <c r="MO1" t="inlineStr">
        <is>
          <t>BBG01M0F9JG8 Equity (TSLL US 05/17/24 P5)</t>
        </is>
      </c>
      <c r="MS1" t="inlineStr">
        <is>
          <t>BBG01M0F9KK0 Equity (TSLL US 05/17/24 P6)</t>
        </is>
      </c>
      <c r="MW1" t="inlineStr">
        <is>
          <t>BBG01M0F9LN5 Equity (TSLL US 05/17/24 P7)</t>
        </is>
      </c>
      <c r="NA1" t="inlineStr">
        <is>
          <t>BBG01M0F9MS8 Equity (TSLL US 05/17/24 P8)</t>
        </is>
      </c>
      <c r="NE1" t="inlineStr">
        <is>
          <t>BBG01M0F9NW1 Equity (TSLL US 05/17/24 P9)</t>
        </is>
      </c>
      <c r="NI1" t="inlineStr">
        <is>
          <t>BBG01M0F9PZ3 Equity (TSLL US 05/17/24 P10)</t>
        </is>
      </c>
      <c r="NM1" t="inlineStr">
        <is>
          <t>BBG01M0F9R34 Equity (TSLL US 05/17/24 P11)</t>
        </is>
      </c>
      <c r="NQ1" t="inlineStr">
        <is>
          <t>BBG01M0F9S69 Equity (TSLL US 05/17/24 P12)</t>
        </is>
      </c>
      <c r="NU1" t="inlineStr">
        <is>
          <t>BBG01M0F9T94 Equity (TSLL US 05/17/24 P13)</t>
        </is>
      </c>
      <c r="NY1" t="inlineStr">
        <is>
          <t>BBG01M0F9VF2 Equity (TSLL US 05/17/24 P14)</t>
        </is>
      </c>
      <c r="OC1" t="inlineStr">
        <is>
          <t>BBG01M0F9WJ6 Equity (TSLL US 05/17/24 P15)</t>
        </is>
      </c>
      <c r="OG1" t="inlineStr">
        <is>
          <t>BBG01M0F9XM0 Equity (TSLL US 05/17/24 P16)</t>
        </is>
      </c>
      <c r="OK1" t="inlineStr">
        <is>
          <t>BBG01M0F9YR3 Equity (TSLL US 05/17/24 P17)</t>
        </is>
      </c>
      <c r="OO1" t="inlineStr">
        <is>
          <t>BBG01JWHJYP2 Equity (TSLL US 06/21/24 P0.73)</t>
        </is>
      </c>
      <c r="OS1" t="inlineStr">
        <is>
          <t>BBG01JWHJZN1 Equity (TSLL US 06/21/24 P1.73)</t>
        </is>
      </c>
      <c r="OW1" t="inlineStr">
        <is>
          <t>BBG01JWHK0N6 Equity (TSLL US 06/21/24 P2.73)</t>
        </is>
      </c>
      <c r="PA1" t="inlineStr">
        <is>
          <t>BBG01JWHK1M5 Equity (TSLL US 06/21/24 P3.73)</t>
        </is>
      </c>
      <c r="PE1" t="inlineStr">
        <is>
          <t>BBG01JVK4XS1 Equity (TSLL US 06/21/24 P4.73)</t>
        </is>
      </c>
      <c r="PI1" t="inlineStr">
        <is>
          <t>BBG01JTQP5C6 Equity (TSLL US 06/21/24 P5.73)</t>
        </is>
      </c>
      <c r="PM1" t="inlineStr">
        <is>
          <t>BBG01JTQP6D3 Equity (TSLL US 06/21/24 P6.73)</t>
        </is>
      </c>
      <c r="PQ1" t="inlineStr">
        <is>
          <t>BBG01JTQP7C2 Equity (TSLL US 06/21/24 P7.73)</t>
        </is>
      </c>
      <c r="PU1" t="inlineStr">
        <is>
          <t>BBG01JTQP8B1 Equity (TSLL US 06/21/24 P8.73)</t>
        </is>
      </c>
      <c r="PY1" t="inlineStr">
        <is>
          <t>BBG01JTQP9C8 Equity (TSLL US 06/21/24 P9.73)</t>
        </is>
      </c>
      <c r="QC1" t="inlineStr">
        <is>
          <t>BBG01JTQPBB4 Equity (TSLL US 06/21/24 P10.73)</t>
        </is>
      </c>
      <c r="QG1" t="inlineStr">
        <is>
          <t>BBG01JTQPC95 Equity (TSLL US 06/21/24 P11.73)</t>
        </is>
      </c>
      <c r="QK1" t="inlineStr">
        <is>
          <t>BBG01JTQPD93 Equity (TSLL US 06/21/24 P12.73)</t>
        </is>
      </c>
      <c r="QO1" t="inlineStr">
        <is>
          <t>BBG01JTQPF89 Equity (TSLL US 06/21/24 P13.73)</t>
        </is>
      </c>
      <c r="QS1" t="inlineStr">
        <is>
          <t>BBG01JTQPG78 Equity (TSLL US 06/21/24 P14.73)</t>
        </is>
      </c>
      <c r="QW1" t="inlineStr">
        <is>
          <t>BBG01JTQPH67 Equity (TSLL US 06/21/24 P15.73)</t>
        </is>
      </c>
      <c r="RA1" t="inlineStr">
        <is>
          <t>BBG01JTQPJ63 Equity (TSLL US 06/21/24 P16.73)</t>
        </is>
      </c>
      <c r="RE1" t="inlineStr">
        <is>
          <t>BBG01JTQPK51 Equity (TSLL US 06/21/24 P17.73)</t>
        </is>
      </c>
      <c r="RI1" t="inlineStr">
        <is>
          <t>BBG01JTQPL40 Equity (TSLL US 06/21/24 P18.73)</t>
        </is>
      </c>
      <c r="RM1" t="inlineStr">
        <is>
          <t>BBG01JTQPM48 Equity (TSLL US 06/21/24 P19.73)</t>
        </is>
      </c>
      <c r="RQ1" t="inlineStr">
        <is>
          <t>BBG01JTQPN37 Equity (TSLL US 06/21/24 P20.73)</t>
        </is>
      </c>
      <c r="RU1" t="inlineStr">
        <is>
          <t>BBG01JTQPP23 Equity (TSLL US 06/21/24 P21.73)</t>
        </is>
      </c>
      <c r="RY1" t="inlineStr">
        <is>
          <t>BBG01JTQPQ21 Equity (TSLL US 06/21/24 P22.73)</t>
        </is>
      </c>
      <c r="SC1" t="inlineStr">
        <is>
          <t>BBG01JTQPR10 Equity (TSLL US 06/21/24 P23.73)</t>
        </is>
      </c>
      <c r="SG1" t="inlineStr">
        <is>
          <t>BBG01JTQPS09 Equity (TSLL US 06/21/24 P24.73)</t>
        </is>
      </c>
      <c r="SK1" t="inlineStr">
        <is>
          <t>BBG01JTQPT07 Equity (TSLL US 06/21/24 P25.73)</t>
        </is>
      </c>
      <c r="SO1" t="inlineStr">
        <is>
          <t>BBG01KPRDV68 Equity (TSLL US 06/21/24 P30)</t>
        </is>
      </c>
      <c r="SS1" t="inlineStr">
        <is>
          <t>BBG01MXWC456 Equity (TSLL US 07/19/24 P1)</t>
        </is>
      </c>
      <c r="SW1" t="inlineStr">
        <is>
          <t>BBG01MXWC580 Equity (TSLL US 07/19/24 P2)</t>
        </is>
      </c>
      <c r="TA1" t="inlineStr">
        <is>
          <t>BBG01NGZ08S5 Equity (TSLL US 07/19/24 P2.5)</t>
        </is>
      </c>
      <c r="TE1" t="inlineStr">
        <is>
          <t>BBG01MXWC6D2 Equity (TSLL US 07/19/24 P3)</t>
        </is>
      </c>
      <c r="TI1" t="inlineStr">
        <is>
          <t>BBG01NGZ09X7 Equity (TSLL US 07/19/24 P3.5)</t>
        </is>
      </c>
      <c r="TM1" t="inlineStr">
        <is>
          <t>BBG01MXWC7H6 Equity (TSLL US 07/19/24 P4)</t>
        </is>
      </c>
      <c r="TQ1" t="inlineStr">
        <is>
          <t>BBG01NGZ0C06 Equity (TSLL US 07/19/24 P4.5)</t>
        </is>
      </c>
      <c r="TU1" t="inlineStr">
        <is>
          <t>BBG01MXWC8L9 Equity (TSLL US 07/19/24 P5)</t>
        </is>
      </c>
      <c r="TY1" t="inlineStr">
        <is>
          <t>BBG01NGZ0D31 Equity (TSLL US 07/19/24 P5.5)</t>
        </is>
      </c>
      <c r="UC1" t="inlineStr">
        <is>
          <t>BBG01MXWC9Q2 Equity (TSLL US 07/19/24 P6)</t>
        </is>
      </c>
      <c r="UG1" t="inlineStr">
        <is>
          <t>BBG01NGZ0F72 Equity (TSLL US 07/19/24 P6.5)</t>
        </is>
      </c>
      <c r="UK1" t="inlineStr">
        <is>
          <t>BBG01MXWCBT4 Equity (TSLL US 07/19/24 P7)</t>
        </is>
      </c>
      <c r="UO1" t="inlineStr">
        <is>
          <t>BBG01NGZ0GB5 Equity (TSLL US 07/19/24 P7.5)</t>
        </is>
      </c>
      <c r="US1" t="inlineStr">
        <is>
          <t>BBG01MXWCCX7 Equity (TSLL US 07/19/24 P8)</t>
        </is>
      </c>
      <c r="UW1" t="inlineStr">
        <is>
          <t>BBG01NGZ0HF9 Equity (TSLL US 07/19/24 P8.5)</t>
        </is>
      </c>
      <c r="VA1" t="inlineStr">
        <is>
          <t>BBG01MXWCF15 Equity (TSLL US 07/19/24 P9)</t>
        </is>
      </c>
      <c r="VE1" t="inlineStr">
        <is>
          <t>BBG01NGZ0JK9 Equity (TSLL US 07/19/24 P9.5)</t>
        </is>
      </c>
      <c r="VI1" t="inlineStr">
        <is>
          <t>BBG01MXWCG40 Equity (TSLL US 07/19/24 P10)</t>
        </is>
      </c>
      <c r="VM1" t="inlineStr">
        <is>
          <t>BBG01NGZ0KN3 Equity (TSLL US 07/19/24 P10.5)</t>
        </is>
      </c>
      <c r="VQ1" t="inlineStr">
        <is>
          <t>BBG01MXWCH75 Equity (TSLL US 07/19/24 P11)</t>
        </is>
      </c>
      <c r="VU1" t="inlineStr">
        <is>
          <t>BBG01NGZ0LS6 Equity (TSLL US 07/19/24 P11.5)</t>
        </is>
      </c>
      <c r="VY1" t="inlineStr">
        <is>
          <t>BBG01MXWCJC5 Equity (TSLL US 07/19/24 P12)</t>
        </is>
      </c>
      <c r="WC1" t="inlineStr">
        <is>
          <t>BBG01NGZ0MW9 Equity (TSLL US 07/19/24 P12.5)</t>
        </is>
      </c>
      <c r="WG1" t="inlineStr">
        <is>
          <t>BBG01MXWCKG8 Equity (TSLL US 07/19/24 P13)</t>
        </is>
      </c>
      <c r="WK1" t="inlineStr">
        <is>
          <t>BBG01NGZ0NZ4 Equity (TSLL US 07/19/24 P13.5)</t>
        </is>
      </c>
      <c r="WO1" t="inlineStr">
        <is>
          <t>BBG01MXWCLK1 Equity (TSLL US 07/19/24 P14)</t>
        </is>
      </c>
      <c r="WS1" t="inlineStr">
        <is>
          <t>BBG01MXWCMR2 Equity (TSLL US 07/19/24 P15)</t>
        </is>
      </c>
      <c r="WW1" t="inlineStr">
        <is>
          <t>BBG01NHWPS55 Equity (TSLL US 07/19/24 P16)</t>
        </is>
      </c>
      <c r="XA1" t="inlineStr">
        <is>
          <t>BBG01NFB9KH5 Equity (TSLL US 08/16/24 P1)</t>
        </is>
      </c>
      <c r="XE1" t="inlineStr">
        <is>
          <t>BBG01NFB9LR2 Equity (TSLL US 08/16/24 P2)</t>
        </is>
      </c>
      <c r="XI1" t="inlineStr">
        <is>
          <t>BBG01NFB9MV5 Equity (TSLL US 08/16/24 P3)</t>
        </is>
      </c>
      <c r="XM1" t="inlineStr">
        <is>
          <t>BBG01NFB9NY0 Equity (TSLL US 08/16/24 P4)</t>
        </is>
      </c>
      <c r="XQ1" t="inlineStr">
        <is>
          <t>BBG01NFB9Q37 Equity (TSLL US 08/16/24 P5)</t>
        </is>
      </c>
      <c r="XU1" t="inlineStr">
        <is>
          <t>BBG01NFB9R62 Equity (TSLL US 08/16/24 P6)</t>
        </is>
      </c>
      <c r="XY1" t="inlineStr">
        <is>
          <t>BBG01NFB9S97 Equity (TSLL US 08/16/24 P7)</t>
        </is>
      </c>
      <c r="YC1" t="inlineStr">
        <is>
          <t>BBG01NFB9TG7 Equity (TSLL US 08/16/24 P8)</t>
        </is>
      </c>
      <c r="YG1" t="inlineStr">
        <is>
          <t>BBG01NFB9VK7 Equity (TSLL US 08/16/24 P9)</t>
        </is>
      </c>
      <c r="YK1" t="inlineStr">
        <is>
          <t>BBG01NFB9WQ9 Equity (TSLL US 08/16/24 P10)</t>
        </is>
      </c>
      <c r="YO1" t="inlineStr">
        <is>
          <t>BBG01NFB9XT4 Equity (TSLL US 08/16/24 P11)</t>
        </is>
      </c>
      <c r="YS1" t="inlineStr">
        <is>
          <t>BBG01NFB9YX7 Equity (TSLL US 08/16/24 P12)</t>
        </is>
      </c>
      <c r="YW1" t="inlineStr">
        <is>
          <t>BBG01NFBB022 Equity (TSLL US 08/16/24 P13)</t>
        </is>
      </c>
      <c r="ZA1" t="inlineStr">
        <is>
          <t>BBG01NFBB157 Equity (TSLL US 08/16/24 P14)</t>
        </is>
      </c>
      <c r="ZE1" t="inlineStr">
        <is>
          <t>BBG01NFBB282 Equity (TSLL US 08/16/24 P15)</t>
        </is>
      </c>
      <c r="ZI1" t="inlineStr">
        <is>
          <t>BBG01NFBB3D4 Equity (TSLL US 08/16/24 P16)</t>
        </is>
      </c>
      <c r="ZM1" t="inlineStr">
        <is>
          <t>BBG01L4NTDZ9 Equity (TSLL US 09/20/24 P1)</t>
        </is>
      </c>
      <c r="ZQ1" t="inlineStr">
        <is>
          <t>BBG01L2X8ZD7 Equity (TSLL US 09/20/24 P2)</t>
        </is>
      </c>
      <c r="ZU1" t="inlineStr">
        <is>
          <t>BBG01L2X90J7 Equity (TSLL US 09/20/24 P3)</t>
        </is>
      </c>
      <c r="ZY1" t="inlineStr">
        <is>
          <t>BBG01L2X91M1 Equity (TSLL US 09/20/24 P4)</t>
        </is>
      </c>
      <c r="AAC1" t="inlineStr">
        <is>
          <t>BBG01L2X92Q5 Equity (TSLL US 09/20/24 P5)</t>
        </is>
      </c>
      <c r="AAG1" t="inlineStr">
        <is>
          <t>BBG01L2X93V7 Equity (TSLL US 09/20/24 P6)</t>
        </is>
      </c>
      <c r="AAK1" t="inlineStr">
        <is>
          <t>BBG01L2X94Y2 Equity (TSLL US 09/20/24 P7)</t>
        </is>
      </c>
      <c r="AAO1" t="inlineStr">
        <is>
          <t>BBG01L2X9613 Equity (TSLL US 09/20/24 P8)</t>
        </is>
      </c>
      <c r="AAS1" t="inlineStr">
        <is>
          <t>BBG01L2X9757 Equity (TSLL US 09/20/24 P9)</t>
        </is>
      </c>
      <c r="AAW1" t="inlineStr">
        <is>
          <t>BBG01L2X9882 Equity (TSLL US 09/20/24 P10)</t>
        </is>
      </c>
      <c r="ABA1" t="inlineStr">
        <is>
          <t>BBG01L2X99C5 Equity (TSLL US 09/20/24 P11)</t>
        </is>
      </c>
      <c r="ABE1" t="inlineStr">
        <is>
          <t>BBG01L2X9BH5 Equity (TSLL US 09/20/24 P12)</t>
        </is>
      </c>
      <c r="ABI1" t="inlineStr">
        <is>
          <t>BBG01L2X9CL8 Equity (TSLL US 09/20/24 P13)</t>
        </is>
      </c>
      <c r="ABM1" t="inlineStr">
        <is>
          <t>BBG01L2X9DP2 Equity (TSLL US 09/20/24 P14)</t>
        </is>
      </c>
      <c r="ABQ1" t="inlineStr">
        <is>
          <t>BBG01L2X9FT3 Equity (TSLL US 09/20/24 P15)</t>
        </is>
      </c>
      <c r="ABU1" t="inlineStr">
        <is>
          <t>BBG01L2X9GX6 Equity (TSLL US 09/20/24 P16)</t>
        </is>
      </c>
      <c r="ABY1" t="inlineStr">
        <is>
          <t>BBG01L2X9J06 Equity (TSLL US 09/20/24 P17)</t>
        </is>
      </c>
      <c r="ACC1" t="inlineStr">
        <is>
          <t>BBG01L2X9K49 Equity (TSLL US 09/20/24 P18)</t>
        </is>
      </c>
      <c r="ACG1" t="inlineStr">
        <is>
          <t>BBG01L2X9L74 Equity (TSLL US 09/20/24 P19)</t>
        </is>
      </c>
      <c r="ACK1" t="inlineStr">
        <is>
          <t>BBG01L2X9MB7 Equity (TSLL US 09/20/24 P20)</t>
        </is>
      </c>
      <c r="ACO1" t="inlineStr">
        <is>
          <t>BBG01L2X9NG0 Equity (TSLL US 09/20/24 P21)</t>
        </is>
      </c>
      <c r="ACS1" t="inlineStr">
        <is>
          <t>BBG01L2X9PK0 Equity (TSLL US 09/20/24 P22)</t>
        </is>
      </c>
      <c r="ACW1" t="inlineStr">
        <is>
          <t>BBG01PB1M316 Equity (TSLL US 10/18/24 P1)</t>
        </is>
      </c>
      <c r="ADA1" t="inlineStr">
        <is>
          <t>BBG01PB1LLY1 Equity (TSLL US 10/18/24 P2)</t>
        </is>
      </c>
      <c r="ADE1" t="inlineStr">
        <is>
          <t>BBG01PB1LKV6 Equity (TSLL US 10/18/24 P3)</t>
        </is>
      </c>
      <c r="ADI1" t="inlineStr">
        <is>
          <t>BBG01PB1KS31 Equity (TSLL US 10/18/24 P4)</t>
        </is>
      </c>
      <c r="ADM1" t="inlineStr">
        <is>
          <t>BBG01PB1MNL0 Equity (TSLL US 10/18/24 P5)</t>
        </is>
      </c>
      <c r="ADQ1" t="inlineStr">
        <is>
          <t>BBG01PB1M986 Equity (TSLL US 10/18/24 P6)</t>
        </is>
      </c>
    </row>
    <row r="2">
      <c r="A2" t="inlineStr">
        <is>
          <t>Date</t>
        </is>
      </c>
      <c r="B2" t="inlineStr">
        <is>
          <t>PX_LAST</t>
        </is>
      </c>
      <c r="C2" t="inlineStr">
        <is>
          <t>PX_VOLUME</t>
        </is>
      </c>
      <c r="E2" t="inlineStr">
        <is>
          <t>Date</t>
        </is>
      </c>
      <c r="F2" t="inlineStr">
        <is>
          <t>PX_LAST</t>
        </is>
      </c>
      <c r="G2" t="inlineStr">
        <is>
          <t>PX_VOLUME</t>
        </is>
      </c>
      <c r="I2" t="inlineStr">
        <is>
          <t>Date</t>
        </is>
      </c>
      <c r="J2" t="inlineStr">
        <is>
          <t>PX_LAST</t>
        </is>
      </c>
      <c r="K2" t="inlineStr">
        <is>
          <t>PX_VOLUME</t>
        </is>
      </c>
      <c r="M2" t="inlineStr">
        <is>
          <t>Date</t>
        </is>
      </c>
      <c r="N2" t="inlineStr">
        <is>
          <t>PX_LAST</t>
        </is>
      </c>
      <c r="O2" t="inlineStr">
        <is>
          <t>PX_VOLUME</t>
        </is>
      </c>
      <c r="Q2" t="inlineStr">
        <is>
          <t>Date</t>
        </is>
      </c>
      <c r="R2" t="inlineStr">
        <is>
          <t>PX_LAST</t>
        </is>
      </c>
      <c r="S2" t="inlineStr">
        <is>
          <t>PX_VOLUME</t>
        </is>
      </c>
      <c r="U2" t="inlineStr">
        <is>
          <t>Date</t>
        </is>
      </c>
      <c r="V2" t="inlineStr">
        <is>
          <t>PX_LAST</t>
        </is>
      </c>
      <c r="W2" t="inlineStr">
        <is>
          <t>PX_VOLUME</t>
        </is>
      </c>
      <c r="Y2" t="inlineStr">
        <is>
          <t>Date</t>
        </is>
      </c>
      <c r="Z2" t="inlineStr">
        <is>
          <t>PX_LAST</t>
        </is>
      </c>
      <c r="AA2" t="inlineStr">
        <is>
          <t>PX_VOLUME</t>
        </is>
      </c>
      <c r="AC2" t="inlineStr">
        <is>
          <t>Date</t>
        </is>
      </c>
      <c r="AD2" t="inlineStr">
        <is>
          <t>PX_LAST</t>
        </is>
      </c>
      <c r="AE2" t="inlineStr">
        <is>
          <t>PX_VOLUME</t>
        </is>
      </c>
      <c r="AG2" t="inlineStr">
        <is>
          <t>Date</t>
        </is>
      </c>
      <c r="AH2" t="inlineStr">
        <is>
          <t>PX_LAST</t>
        </is>
      </c>
      <c r="AI2" t="inlineStr">
        <is>
          <t>PX_VOLUME</t>
        </is>
      </c>
      <c r="AK2" t="inlineStr">
        <is>
          <t>Date</t>
        </is>
      </c>
      <c r="AL2" t="inlineStr">
        <is>
          <t>PX_LAST</t>
        </is>
      </c>
      <c r="AM2" t="inlineStr">
        <is>
          <t>PX_VOLUME</t>
        </is>
      </c>
      <c r="AO2" t="inlineStr">
        <is>
          <t>Date</t>
        </is>
      </c>
      <c r="AP2" t="inlineStr">
        <is>
          <t>PX_LAST</t>
        </is>
      </c>
      <c r="AQ2" t="inlineStr">
        <is>
          <t>PX_VOLUME</t>
        </is>
      </c>
      <c r="AS2" t="inlineStr">
        <is>
          <t>Date</t>
        </is>
      </c>
      <c r="AT2" t="inlineStr">
        <is>
          <t>PX_LAST</t>
        </is>
      </c>
      <c r="AU2" t="inlineStr">
        <is>
          <t>PX_VOLUME</t>
        </is>
      </c>
      <c r="AW2" t="inlineStr">
        <is>
          <t>Date</t>
        </is>
      </c>
      <c r="AX2" t="inlineStr">
        <is>
          <t>PX_LAST</t>
        </is>
      </c>
      <c r="AY2" t="inlineStr">
        <is>
          <t>PX_VOLUME</t>
        </is>
      </c>
      <c r="BA2" t="inlineStr">
        <is>
          <t>Date</t>
        </is>
      </c>
      <c r="BB2" t="inlineStr">
        <is>
          <t>PX_LAST</t>
        </is>
      </c>
      <c r="BC2" t="inlineStr">
        <is>
          <t>PX_VOLUME</t>
        </is>
      </c>
      <c r="BE2" t="inlineStr">
        <is>
          <t>Date</t>
        </is>
      </c>
      <c r="BF2" t="inlineStr">
        <is>
          <t>PX_LAST</t>
        </is>
      </c>
      <c r="BG2" t="inlineStr">
        <is>
          <t>PX_VOLUME</t>
        </is>
      </c>
      <c r="BI2" t="inlineStr">
        <is>
          <t>Date</t>
        </is>
      </c>
      <c r="BJ2" t="inlineStr">
        <is>
          <t>PX_LAST</t>
        </is>
      </c>
      <c r="BK2" t="inlineStr">
        <is>
          <t>PX_VOLUME</t>
        </is>
      </c>
      <c r="BM2" t="inlineStr">
        <is>
          <t>Date</t>
        </is>
      </c>
      <c r="BN2" t="inlineStr">
        <is>
          <t>PX_LAST</t>
        </is>
      </c>
      <c r="BO2" t="inlineStr">
        <is>
          <t>PX_VOLUME</t>
        </is>
      </c>
      <c r="BQ2" t="inlineStr">
        <is>
          <t>Date</t>
        </is>
      </c>
      <c r="BR2" t="inlineStr">
        <is>
          <t>PX_LAST</t>
        </is>
      </c>
      <c r="BS2" t="inlineStr">
        <is>
          <t>PX_VOLUME</t>
        </is>
      </c>
      <c r="BU2" t="inlineStr">
        <is>
          <t>Date</t>
        </is>
      </c>
      <c r="BV2" t="inlineStr">
        <is>
          <t>PX_LAST</t>
        </is>
      </c>
      <c r="BW2" t="inlineStr">
        <is>
          <t>PX_VOLUME</t>
        </is>
      </c>
      <c r="BY2" t="inlineStr">
        <is>
          <t>Date</t>
        </is>
      </c>
      <c r="BZ2" t="inlineStr">
        <is>
          <t>PX_LAST</t>
        </is>
      </c>
      <c r="CA2" t="inlineStr">
        <is>
          <t>PX_VOLUME</t>
        </is>
      </c>
      <c r="CC2" t="inlineStr">
        <is>
          <t>Date</t>
        </is>
      </c>
      <c r="CD2" t="inlineStr">
        <is>
          <t>PX_LAST</t>
        </is>
      </c>
      <c r="CE2" t="inlineStr">
        <is>
          <t>PX_VOLUME</t>
        </is>
      </c>
      <c r="CG2" t="inlineStr">
        <is>
          <t>Date</t>
        </is>
      </c>
      <c r="CH2" t="inlineStr">
        <is>
          <t>PX_LAST</t>
        </is>
      </c>
      <c r="CI2" t="inlineStr">
        <is>
          <t>PX_VOLUME</t>
        </is>
      </c>
      <c r="CK2" t="inlineStr">
        <is>
          <t>Date</t>
        </is>
      </c>
      <c r="CL2" t="inlineStr">
        <is>
          <t>PX_LAST</t>
        </is>
      </c>
      <c r="CM2" t="inlineStr">
        <is>
          <t>PX_VOLUME</t>
        </is>
      </c>
      <c r="CO2" t="inlineStr">
        <is>
          <t>Date</t>
        </is>
      </c>
      <c r="CP2" t="inlineStr">
        <is>
          <t>PX_LAST</t>
        </is>
      </c>
      <c r="CQ2" t="inlineStr">
        <is>
          <t>PX_VOLUME</t>
        </is>
      </c>
      <c r="CS2" t="inlineStr">
        <is>
          <t>Date</t>
        </is>
      </c>
      <c r="CT2" t="inlineStr">
        <is>
          <t>PX_LAST</t>
        </is>
      </c>
      <c r="CU2" t="inlineStr">
        <is>
          <t>PX_VOLUME</t>
        </is>
      </c>
      <c r="CW2" t="inlineStr">
        <is>
          <t>Date</t>
        </is>
      </c>
      <c r="CX2" t="inlineStr">
        <is>
          <t>PX_LAST</t>
        </is>
      </c>
      <c r="CY2" t="inlineStr">
        <is>
          <t>PX_VOLUME</t>
        </is>
      </c>
      <c r="DA2" t="inlineStr">
        <is>
          <t>Date</t>
        </is>
      </c>
      <c r="DB2" t="inlineStr">
        <is>
          <t>PX_LAST</t>
        </is>
      </c>
      <c r="DC2" t="inlineStr">
        <is>
          <t>PX_VOLUME</t>
        </is>
      </c>
      <c r="DE2" t="inlineStr">
        <is>
          <t>Date</t>
        </is>
      </c>
      <c r="DF2" t="inlineStr">
        <is>
          <t>PX_LAST</t>
        </is>
      </c>
      <c r="DG2" t="inlineStr">
        <is>
          <t>PX_VOLUME</t>
        </is>
      </c>
      <c r="DI2" t="inlineStr">
        <is>
          <t>Date</t>
        </is>
      </c>
      <c r="DJ2" t="inlineStr">
        <is>
          <t>PX_LAST</t>
        </is>
      </c>
      <c r="DK2" t="inlineStr">
        <is>
          <t>PX_VOLUME</t>
        </is>
      </c>
      <c r="DM2" t="inlineStr">
        <is>
          <t>Date</t>
        </is>
      </c>
      <c r="DN2" t="inlineStr">
        <is>
          <t>PX_LAST</t>
        </is>
      </c>
      <c r="DO2" t="inlineStr">
        <is>
          <t>PX_VOLUME</t>
        </is>
      </c>
      <c r="DQ2" t="inlineStr">
        <is>
          <t>Date</t>
        </is>
      </c>
      <c r="DR2" t="inlineStr">
        <is>
          <t>PX_LAST</t>
        </is>
      </c>
      <c r="DS2" t="inlineStr">
        <is>
          <t>PX_VOLUME</t>
        </is>
      </c>
      <c r="DU2" t="inlineStr">
        <is>
          <t>Date</t>
        </is>
      </c>
      <c r="DV2" t="inlineStr">
        <is>
          <t>PX_LAST</t>
        </is>
      </c>
      <c r="DW2" t="inlineStr">
        <is>
          <t>PX_VOLUME</t>
        </is>
      </c>
      <c r="DY2" t="inlineStr">
        <is>
          <t>Date</t>
        </is>
      </c>
      <c r="DZ2" t="inlineStr">
        <is>
          <t>PX_LAST</t>
        </is>
      </c>
      <c r="EA2" t="inlineStr">
        <is>
          <t>PX_VOLUME</t>
        </is>
      </c>
      <c r="EC2" t="inlineStr">
        <is>
          <t>Date</t>
        </is>
      </c>
      <c r="ED2" t="inlineStr">
        <is>
          <t>PX_LAST</t>
        </is>
      </c>
      <c r="EE2" t="inlineStr">
        <is>
          <t>PX_VOLUME</t>
        </is>
      </c>
      <c r="EG2" t="inlineStr">
        <is>
          <t>Date</t>
        </is>
      </c>
      <c r="EH2" t="inlineStr">
        <is>
          <t>PX_LAST</t>
        </is>
      </c>
      <c r="EI2" t="inlineStr">
        <is>
          <t>PX_VOLUME</t>
        </is>
      </c>
      <c r="EK2" t="inlineStr">
        <is>
          <t>Date</t>
        </is>
      </c>
      <c r="EL2" t="inlineStr">
        <is>
          <t>PX_LAST</t>
        </is>
      </c>
      <c r="EM2" t="inlineStr">
        <is>
          <t>PX_VOLUME</t>
        </is>
      </c>
      <c r="EO2" t="inlineStr">
        <is>
          <t>Date</t>
        </is>
      </c>
      <c r="EP2" t="inlineStr">
        <is>
          <t>PX_LAST</t>
        </is>
      </c>
      <c r="EQ2" t="inlineStr">
        <is>
          <t>PX_VOLUME</t>
        </is>
      </c>
      <c r="ES2" t="inlineStr">
        <is>
          <t>Date</t>
        </is>
      </c>
      <c r="ET2" t="inlineStr">
        <is>
          <t>PX_LAST</t>
        </is>
      </c>
      <c r="EU2" t="inlineStr">
        <is>
          <t>PX_VOLUME</t>
        </is>
      </c>
      <c r="EW2" t="inlineStr">
        <is>
          <t>Date</t>
        </is>
      </c>
      <c r="EX2" t="inlineStr">
        <is>
          <t>PX_LAST</t>
        </is>
      </c>
      <c r="EY2" t="inlineStr">
        <is>
          <t>PX_VOLUME</t>
        </is>
      </c>
      <c r="FA2" t="inlineStr">
        <is>
          <t>Date</t>
        </is>
      </c>
      <c r="FB2" t="inlineStr">
        <is>
          <t>PX_LAST</t>
        </is>
      </c>
      <c r="FC2" t="inlineStr">
        <is>
          <t>PX_VOLUME</t>
        </is>
      </c>
      <c r="FE2" t="inlineStr">
        <is>
          <t>Date</t>
        </is>
      </c>
      <c r="FF2" t="inlineStr">
        <is>
          <t>PX_LAST</t>
        </is>
      </c>
      <c r="FG2" t="inlineStr">
        <is>
          <t>PX_VOLUME</t>
        </is>
      </c>
      <c r="FI2" t="inlineStr">
        <is>
          <t>Date</t>
        </is>
      </c>
      <c r="FJ2" t="inlineStr">
        <is>
          <t>PX_LAST</t>
        </is>
      </c>
      <c r="FK2" t="inlineStr">
        <is>
          <t>PX_VOLUME</t>
        </is>
      </c>
      <c r="FM2" t="inlineStr">
        <is>
          <t>Date</t>
        </is>
      </c>
      <c r="FN2" t="inlineStr">
        <is>
          <t>PX_LAST</t>
        </is>
      </c>
      <c r="FO2" t="inlineStr">
        <is>
          <t>PX_VOLUME</t>
        </is>
      </c>
      <c r="FQ2" t="inlineStr">
        <is>
          <t>Date</t>
        </is>
      </c>
      <c r="FR2" t="inlineStr">
        <is>
          <t>PX_LAST</t>
        </is>
      </c>
      <c r="FS2" t="inlineStr">
        <is>
          <t>PX_VOLUME</t>
        </is>
      </c>
      <c r="FU2" t="inlineStr">
        <is>
          <t>Date</t>
        </is>
      </c>
      <c r="FV2" t="inlineStr">
        <is>
          <t>PX_LAST</t>
        </is>
      </c>
      <c r="FW2" t="inlineStr">
        <is>
          <t>PX_VOLUME</t>
        </is>
      </c>
      <c r="FY2" t="inlineStr">
        <is>
          <t>Date</t>
        </is>
      </c>
      <c r="FZ2" t="inlineStr">
        <is>
          <t>PX_LAST</t>
        </is>
      </c>
      <c r="GA2" t="inlineStr">
        <is>
          <t>PX_VOLUME</t>
        </is>
      </c>
      <c r="GC2" t="inlineStr">
        <is>
          <t>Date</t>
        </is>
      </c>
      <c r="GD2" t="inlineStr">
        <is>
          <t>PX_LAST</t>
        </is>
      </c>
      <c r="GE2" t="inlineStr">
        <is>
          <t>PX_VOLUME</t>
        </is>
      </c>
      <c r="GG2" t="inlineStr">
        <is>
          <t>Date</t>
        </is>
      </c>
      <c r="GH2" t="inlineStr">
        <is>
          <t>PX_LAST</t>
        </is>
      </c>
      <c r="GI2" t="inlineStr">
        <is>
          <t>PX_VOLUME</t>
        </is>
      </c>
      <c r="GK2" t="inlineStr">
        <is>
          <t>Date</t>
        </is>
      </c>
      <c r="GL2" t="inlineStr">
        <is>
          <t>PX_LAST</t>
        </is>
      </c>
      <c r="GM2" t="inlineStr">
        <is>
          <t>PX_VOLUME</t>
        </is>
      </c>
      <c r="GO2" t="inlineStr">
        <is>
          <t>Date</t>
        </is>
      </c>
      <c r="GP2" t="inlineStr">
        <is>
          <t>PX_LAST</t>
        </is>
      </c>
      <c r="GQ2" t="inlineStr">
        <is>
          <t>PX_VOLUME</t>
        </is>
      </c>
      <c r="GS2" t="inlineStr">
        <is>
          <t>Date</t>
        </is>
      </c>
      <c r="GT2" t="inlineStr">
        <is>
          <t>PX_LAST</t>
        </is>
      </c>
      <c r="GU2" t="inlineStr">
        <is>
          <t>PX_VOLUME</t>
        </is>
      </c>
      <c r="GW2" t="inlineStr">
        <is>
          <t>Date</t>
        </is>
      </c>
      <c r="GX2" t="inlineStr">
        <is>
          <t>PX_LAST</t>
        </is>
      </c>
      <c r="GY2" t="inlineStr">
        <is>
          <t>PX_VOLUME</t>
        </is>
      </c>
      <c r="HA2" t="inlineStr">
        <is>
          <t>Date</t>
        </is>
      </c>
      <c r="HB2" t="inlineStr">
        <is>
          <t>PX_LAST</t>
        </is>
      </c>
      <c r="HC2" t="inlineStr">
        <is>
          <t>PX_VOLUME</t>
        </is>
      </c>
      <c r="HE2" t="inlineStr">
        <is>
          <t>Date</t>
        </is>
      </c>
      <c r="HF2" t="inlineStr">
        <is>
          <t>PX_LAST</t>
        </is>
      </c>
      <c r="HG2" t="inlineStr">
        <is>
          <t>PX_VOLUME</t>
        </is>
      </c>
      <c r="HI2" t="inlineStr">
        <is>
          <t>Date</t>
        </is>
      </c>
      <c r="HJ2" t="inlineStr">
        <is>
          <t>PX_LAST</t>
        </is>
      </c>
      <c r="HK2" t="inlineStr">
        <is>
          <t>PX_VOLUME</t>
        </is>
      </c>
      <c r="HM2" t="inlineStr">
        <is>
          <t>Date</t>
        </is>
      </c>
      <c r="HN2" t="inlineStr">
        <is>
          <t>PX_LAST</t>
        </is>
      </c>
      <c r="HO2" t="inlineStr">
        <is>
          <t>PX_VOLUME</t>
        </is>
      </c>
      <c r="HQ2" t="inlineStr">
        <is>
          <t>Date</t>
        </is>
      </c>
      <c r="HR2" t="inlineStr">
        <is>
          <t>PX_LAST</t>
        </is>
      </c>
      <c r="HS2" t="inlineStr">
        <is>
          <t>PX_VOLUME</t>
        </is>
      </c>
      <c r="HU2" t="inlineStr">
        <is>
          <t>Date</t>
        </is>
      </c>
      <c r="HV2" t="inlineStr">
        <is>
          <t>PX_LAST</t>
        </is>
      </c>
      <c r="HW2" t="inlineStr">
        <is>
          <t>PX_VOLUME</t>
        </is>
      </c>
      <c r="HY2" t="inlineStr">
        <is>
          <t>Date</t>
        </is>
      </c>
      <c r="HZ2" t="inlineStr">
        <is>
          <t>PX_LAST</t>
        </is>
      </c>
      <c r="IA2" t="inlineStr">
        <is>
          <t>PX_VOLUME</t>
        </is>
      </c>
      <c r="IC2" t="inlineStr">
        <is>
          <t>Date</t>
        </is>
      </c>
      <c r="ID2" t="inlineStr">
        <is>
          <t>PX_LAST</t>
        </is>
      </c>
      <c r="IE2" t="inlineStr">
        <is>
          <t>PX_VOLUME</t>
        </is>
      </c>
      <c r="IG2" t="inlineStr">
        <is>
          <t>Date</t>
        </is>
      </c>
      <c r="IH2" t="inlineStr">
        <is>
          <t>PX_LAST</t>
        </is>
      </c>
      <c r="II2" t="inlineStr">
        <is>
          <t>PX_VOLUME</t>
        </is>
      </c>
      <c r="IK2" t="inlineStr">
        <is>
          <t>Date</t>
        </is>
      </c>
      <c r="IL2" t="inlineStr">
        <is>
          <t>PX_LAST</t>
        </is>
      </c>
      <c r="IM2" t="inlineStr">
        <is>
          <t>PX_VOLUME</t>
        </is>
      </c>
      <c r="IO2" t="inlineStr">
        <is>
          <t>Date</t>
        </is>
      </c>
      <c r="IP2" t="inlineStr">
        <is>
          <t>PX_LAST</t>
        </is>
      </c>
      <c r="IQ2" t="inlineStr">
        <is>
          <t>PX_VOLUME</t>
        </is>
      </c>
      <c r="IS2" t="inlineStr">
        <is>
          <t>Date</t>
        </is>
      </c>
      <c r="IT2" t="inlineStr">
        <is>
          <t>PX_LAST</t>
        </is>
      </c>
      <c r="IU2" t="inlineStr">
        <is>
          <t>PX_VOLUME</t>
        </is>
      </c>
      <c r="IW2" t="inlineStr">
        <is>
          <t>Date</t>
        </is>
      </c>
      <c r="IX2" t="inlineStr">
        <is>
          <t>PX_LAST</t>
        </is>
      </c>
      <c r="IY2" t="inlineStr">
        <is>
          <t>PX_VOLUME</t>
        </is>
      </c>
      <c r="JA2" t="inlineStr">
        <is>
          <t>Date</t>
        </is>
      </c>
      <c r="JB2" t="inlineStr">
        <is>
          <t>PX_LAST</t>
        </is>
      </c>
      <c r="JC2" t="inlineStr">
        <is>
          <t>PX_VOLUME</t>
        </is>
      </c>
      <c r="JE2" t="inlineStr">
        <is>
          <t>Date</t>
        </is>
      </c>
      <c r="JF2" t="inlineStr">
        <is>
          <t>PX_LAST</t>
        </is>
      </c>
      <c r="JG2" t="inlineStr">
        <is>
          <t>PX_VOLUME</t>
        </is>
      </c>
      <c r="JI2" t="inlineStr">
        <is>
          <t>Date</t>
        </is>
      </c>
      <c r="JJ2" t="inlineStr">
        <is>
          <t>PX_LAST</t>
        </is>
      </c>
      <c r="JK2" t="inlineStr">
        <is>
          <t>PX_VOLUME</t>
        </is>
      </c>
      <c r="JM2" t="inlineStr">
        <is>
          <t>Date</t>
        </is>
      </c>
      <c r="JN2" t="inlineStr">
        <is>
          <t>PX_LAST</t>
        </is>
      </c>
      <c r="JO2" t="inlineStr">
        <is>
          <t>PX_VOLUME</t>
        </is>
      </c>
      <c r="JQ2" t="inlineStr">
        <is>
          <t>Date</t>
        </is>
      </c>
      <c r="JR2" t="inlineStr">
        <is>
          <t>PX_LAST</t>
        </is>
      </c>
      <c r="JS2" t="inlineStr">
        <is>
          <t>PX_VOLUME</t>
        </is>
      </c>
      <c r="JU2" t="inlineStr">
        <is>
          <t>Date</t>
        </is>
      </c>
      <c r="JV2" t="inlineStr">
        <is>
          <t>PX_LAST</t>
        </is>
      </c>
      <c r="JW2" t="inlineStr">
        <is>
          <t>PX_VOLUME</t>
        </is>
      </c>
      <c r="JY2" t="inlineStr">
        <is>
          <t>Date</t>
        </is>
      </c>
      <c r="JZ2" t="inlineStr">
        <is>
          <t>PX_LAST</t>
        </is>
      </c>
      <c r="KA2" t="inlineStr">
        <is>
          <t>PX_VOLUME</t>
        </is>
      </c>
      <c r="KC2" t="inlineStr">
        <is>
          <t>Date</t>
        </is>
      </c>
      <c r="KD2" t="inlineStr">
        <is>
          <t>PX_LAST</t>
        </is>
      </c>
      <c r="KE2" t="inlineStr">
        <is>
          <t>PX_VOLUME</t>
        </is>
      </c>
      <c r="KG2" t="inlineStr">
        <is>
          <t>Date</t>
        </is>
      </c>
      <c r="KH2" t="inlineStr">
        <is>
          <t>PX_LAST</t>
        </is>
      </c>
      <c r="KI2" t="inlineStr">
        <is>
          <t>PX_VOLUME</t>
        </is>
      </c>
      <c r="KK2" t="inlineStr">
        <is>
          <t>Date</t>
        </is>
      </c>
      <c r="KL2" t="inlineStr">
        <is>
          <t>PX_LAST</t>
        </is>
      </c>
      <c r="KM2" t="inlineStr">
        <is>
          <t>PX_VOLUME</t>
        </is>
      </c>
      <c r="KO2" t="inlineStr">
        <is>
          <t>Date</t>
        </is>
      </c>
      <c r="KP2" t="inlineStr">
        <is>
          <t>PX_LAST</t>
        </is>
      </c>
      <c r="KQ2" t="inlineStr">
        <is>
          <t>PX_VOLUME</t>
        </is>
      </c>
      <c r="KS2" t="inlineStr">
        <is>
          <t>Date</t>
        </is>
      </c>
      <c r="KT2" t="inlineStr">
        <is>
          <t>PX_LAST</t>
        </is>
      </c>
      <c r="KU2" t="inlineStr">
        <is>
          <t>PX_VOLUME</t>
        </is>
      </c>
      <c r="KW2" t="inlineStr">
        <is>
          <t>Date</t>
        </is>
      </c>
      <c r="KX2" t="inlineStr">
        <is>
          <t>PX_LAST</t>
        </is>
      </c>
      <c r="KY2" t="inlineStr">
        <is>
          <t>PX_VOLUME</t>
        </is>
      </c>
      <c r="LA2" t="inlineStr">
        <is>
          <t>Date</t>
        </is>
      </c>
      <c r="LB2" t="inlineStr">
        <is>
          <t>PX_LAST</t>
        </is>
      </c>
      <c r="LC2" t="inlineStr">
        <is>
          <t>PX_VOLUME</t>
        </is>
      </c>
      <c r="LE2" t="inlineStr">
        <is>
          <t>Date</t>
        </is>
      </c>
      <c r="LF2" t="inlineStr">
        <is>
          <t>PX_LAST</t>
        </is>
      </c>
      <c r="LG2" t="inlineStr">
        <is>
          <t>PX_VOLUME</t>
        </is>
      </c>
      <c r="LI2" t="inlineStr">
        <is>
          <t>Date</t>
        </is>
      </c>
      <c r="LJ2" t="inlineStr">
        <is>
          <t>PX_LAST</t>
        </is>
      </c>
      <c r="LK2" t="inlineStr">
        <is>
          <t>PX_VOLUME</t>
        </is>
      </c>
      <c r="LM2" t="inlineStr">
        <is>
          <t>Date</t>
        </is>
      </c>
      <c r="LN2" t="inlineStr">
        <is>
          <t>PX_LAST</t>
        </is>
      </c>
      <c r="LO2" t="inlineStr">
        <is>
          <t>PX_VOLUME</t>
        </is>
      </c>
      <c r="LQ2" t="inlineStr">
        <is>
          <t>Date</t>
        </is>
      </c>
      <c r="LR2" t="inlineStr">
        <is>
          <t>PX_LAST</t>
        </is>
      </c>
      <c r="LS2" t="inlineStr">
        <is>
          <t>PX_VOLUME</t>
        </is>
      </c>
      <c r="LU2" t="inlineStr">
        <is>
          <t>Date</t>
        </is>
      </c>
      <c r="LV2" t="inlineStr">
        <is>
          <t>PX_LAST</t>
        </is>
      </c>
      <c r="LW2" t="inlineStr">
        <is>
          <t>PX_VOLUME</t>
        </is>
      </c>
      <c r="LY2" t="inlineStr">
        <is>
          <t>Date</t>
        </is>
      </c>
      <c r="LZ2" t="inlineStr">
        <is>
          <t>PX_LAST</t>
        </is>
      </c>
      <c r="MA2" t="inlineStr">
        <is>
          <t>PX_VOLUME</t>
        </is>
      </c>
      <c r="MC2" t="inlineStr">
        <is>
          <t>Date</t>
        </is>
      </c>
      <c r="MD2" t="inlineStr">
        <is>
          <t>PX_LAST</t>
        </is>
      </c>
      <c r="ME2" t="inlineStr">
        <is>
          <t>PX_VOLUME</t>
        </is>
      </c>
      <c r="MG2" t="inlineStr">
        <is>
          <t>Date</t>
        </is>
      </c>
      <c r="MH2" t="inlineStr">
        <is>
          <t>PX_LAST</t>
        </is>
      </c>
      <c r="MI2" t="inlineStr">
        <is>
          <t>PX_VOLUME</t>
        </is>
      </c>
      <c r="MK2" t="inlineStr">
        <is>
          <t>Date</t>
        </is>
      </c>
      <c r="ML2" t="inlineStr">
        <is>
          <t>PX_LAST</t>
        </is>
      </c>
      <c r="MM2" t="inlineStr">
        <is>
          <t>PX_VOLUME</t>
        </is>
      </c>
      <c r="MO2" t="inlineStr">
        <is>
          <t>Date</t>
        </is>
      </c>
      <c r="MP2" t="inlineStr">
        <is>
          <t>PX_LAST</t>
        </is>
      </c>
      <c r="MQ2" t="inlineStr">
        <is>
          <t>PX_VOLUME</t>
        </is>
      </c>
      <c r="MS2" t="inlineStr">
        <is>
          <t>Date</t>
        </is>
      </c>
      <c r="MT2" t="inlineStr">
        <is>
          <t>PX_LAST</t>
        </is>
      </c>
      <c r="MU2" t="inlineStr">
        <is>
          <t>PX_VOLUME</t>
        </is>
      </c>
      <c r="MW2" t="inlineStr">
        <is>
          <t>Date</t>
        </is>
      </c>
      <c r="MX2" t="inlineStr">
        <is>
          <t>PX_LAST</t>
        </is>
      </c>
      <c r="MY2" t="inlineStr">
        <is>
          <t>PX_VOLUME</t>
        </is>
      </c>
      <c r="NA2" t="inlineStr">
        <is>
          <t>Date</t>
        </is>
      </c>
      <c r="NB2" t="inlineStr">
        <is>
          <t>PX_LAST</t>
        </is>
      </c>
      <c r="NC2" t="inlineStr">
        <is>
          <t>PX_VOLUME</t>
        </is>
      </c>
      <c r="NE2" t="inlineStr">
        <is>
          <t>Date</t>
        </is>
      </c>
      <c r="NF2" t="inlineStr">
        <is>
          <t>PX_LAST</t>
        </is>
      </c>
      <c r="NG2" t="inlineStr">
        <is>
          <t>PX_VOLUME</t>
        </is>
      </c>
      <c r="NI2" t="inlineStr">
        <is>
          <t>Date</t>
        </is>
      </c>
      <c r="NJ2" t="inlineStr">
        <is>
          <t>PX_LAST</t>
        </is>
      </c>
      <c r="NK2" t="inlineStr">
        <is>
          <t>PX_VOLUME</t>
        </is>
      </c>
      <c r="NM2" t="inlineStr">
        <is>
          <t>Date</t>
        </is>
      </c>
      <c r="NN2" t="inlineStr">
        <is>
          <t>PX_LAST</t>
        </is>
      </c>
      <c r="NO2" t="inlineStr">
        <is>
          <t>PX_VOLUME</t>
        </is>
      </c>
      <c r="NQ2" t="inlineStr">
        <is>
          <t>Date</t>
        </is>
      </c>
      <c r="NR2" t="inlineStr">
        <is>
          <t>PX_LAST</t>
        </is>
      </c>
      <c r="NS2" t="inlineStr">
        <is>
          <t>PX_VOLUME</t>
        </is>
      </c>
      <c r="NU2" t="inlineStr">
        <is>
          <t>Date</t>
        </is>
      </c>
      <c r="NV2" t="inlineStr">
        <is>
          <t>PX_LAST</t>
        </is>
      </c>
      <c r="NW2" t="inlineStr">
        <is>
          <t>PX_VOLUME</t>
        </is>
      </c>
      <c r="NY2" t="inlineStr">
        <is>
          <t>Date</t>
        </is>
      </c>
      <c r="NZ2" t="inlineStr">
        <is>
          <t>PX_LAST</t>
        </is>
      </c>
      <c r="OA2" t="inlineStr">
        <is>
          <t>PX_VOLUME</t>
        </is>
      </c>
      <c r="OC2" t="inlineStr">
        <is>
          <t>Date</t>
        </is>
      </c>
      <c r="OD2" t="inlineStr">
        <is>
          <t>PX_LAST</t>
        </is>
      </c>
      <c r="OE2" t="inlineStr">
        <is>
          <t>PX_VOLUME</t>
        </is>
      </c>
      <c r="OG2" t="inlineStr">
        <is>
          <t>Date</t>
        </is>
      </c>
      <c r="OH2" t="inlineStr">
        <is>
          <t>PX_LAST</t>
        </is>
      </c>
      <c r="OI2" t="inlineStr">
        <is>
          <t>PX_VOLUME</t>
        </is>
      </c>
      <c r="OK2" t="inlineStr">
        <is>
          <t>Date</t>
        </is>
      </c>
      <c r="OL2" t="inlineStr">
        <is>
          <t>PX_LAST</t>
        </is>
      </c>
      <c r="OM2" t="inlineStr">
        <is>
          <t>PX_VOLUME</t>
        </is>
      </c>
      <c r="OO2" t="inlineStr">
        <is>
          <t>Date</t>
        </is>
      </c>
      <c r="OP2" t="inlineStr">
        <is>
          <t>PX_LAST</t>
        </is>
      </c>
      <c r="OQ2" t="inlineStr">
        <is>
          <t>PX_VOLUME</t>
        </is>
      </c>
      <c r="OS2" t="inlineStr">
        <is>
          <t>Date</t>
        </is>
      </c>
      <c r="OT2" t="inlineStr">
        <is>
          <t>PX_LAST</t>
        </is>
      </c>
      <c r="OU2" t="inlineStr">
        <is>
          <t>PX_VOLUME</t>
        </is>
      </c>
      <c r="OW2" t="inlineStr">
        <is>
          <t>Date</t>
        </is>
      </c>
      <c r="OX2" t="inlineStr">
        <is>
          <t>PX_LAST</t>
        </is>
      </c>
      <c r="OY2" t="inlineStr">
        <is>
          <t>PX_VOLUME</t>
        </is>
      </c>
      <c r="PA2" t="inlineStr">
        <is>
          <t>Date</t>
        </is>
      </c>
      <c r="PB2" t="inlineStr">
        <is>
          <t>PX_LAST</t>
        </is>
      </c>
      <c r="PC2" t="inlineStr">
        <is>
          <t>PX_VOLUME</t>
        </is>
      </c>
      <c r="PE2" t="inlineStr">
        <is>
          <t>Date</t>
        </is>
      </c>
      <c r="PF2" t="inlineStr">
        <is>
          <t>PX_LAST</t>
        </is>
      </c>
      <c r="PG2" t="inlineStr">
        <is>
          <t>PX_VOLUME</t>
        </is>
      </c>
      <c r="PI2" t="inlineStr">
        <is>
          <t>Date</t>
        </is>
      </c>
      <c r="PJ2" t="inlineStr">
        <is>
          <t>PX_LAST</t>
        </is>
      </c>
      <c r="PK2" t="inlineStr">
        <is>
          <t>PX_VOLUME</t>
        </is>
      </c>
      <c r="PM2" t="inlineStr">
        <is>
          <t>Date</t>
        </is>
      </c>
      <c r="PN2" t="inlineStr">
        <is>
          <t>PX_LAST</t>
        </is>
      </c>
      <c r="PO2" t="inlineStr">
        <is>
          <t>PX_VOLUME</t>
        </is>
      </c>
      <c r="PQ2" t="inlineStr">
        <is>
          <t>Date</t>
        </is>
      </c>
      <c r="PR2" t="inlineStr">
        <is>
          <t>PX_LAST</t>
        </is>
      </c>
      <c r="PS2" t="inlineStr">
        <is>
          <t>PX_VOLUME</t>
        </is>
      </c>
      <c r="PU2" t="inlineStr">
        <is>
          <t>Date</t>
        </is>
      </c>
      <c r="PV2" t="inlineStr">
        <is>
          <t>PX_LAST</t>
        </is>
      </c>
      <c r="PW2" t="inlineStr">
        <is>
          <t>PX_VOLUME</t>
        </is>
      </c>
      <c r="PY2" t="inlineStr">
        <is>
          <t>Date</t>
        </is>
      </c>
      <c r="PZ2" t="inlineStr">
        <is>
          <t>PX_LAST</t>
        </is>
      </c>
      <c r="QA2" t="inlineStr">
        <is>
          <t>PX_VOLUME</t>
        </is>
      </c>
      <c r="QC2" t="inlineStr">
        <is>
          <t>Date</t>
        </is>
      </c>
      <c r="QD2" t="inlineStr">
        <is>
          <t>PX_LAST</t>
        </is>
      </c>
      <c r="QE2" t="inlineStr">
        <is>
          <t>PX_VOLUME</t>
        </is>
      </c>
      <c r="QG2" t="inlineStr">
        <is>
          <t>Date</t>
        </is>
      </c>
      <c r="QH2" t="inlineStr">
        <is>
          <t>PX_LAST</t>
        </is>
      </c>
      <c r="QI2" t="inlineStr">
        <is>
          <t>PX_VOLUME</t>
        </is>
      </c>
      <c r="QK2" t="inlineStr">
        <is>
          <t>Date</t>
        </is>
      </c>
      <c r="QL2" t="inlineStr">
        <is>
          <t>PX_LAST</t>
        </is>
      </c>
      <c r="QM2" t="inlineStr">
        <is>
          <t>PX_VOLUME</t>
        </is>
      </c>
      <c r="QO2" t="inlineStr">
        <is>
          <t>Date</t>
        </is>
      </c>
      <c r="QP2" t="inlineStr">
        <is>
          <t>PX_LAST</t>
        </is>
      </c>
      <c r="QQ2" t="inlineStr">
        <is>
          <t>PX_VOLUME</t>
        </is>
      </c>
      <c r="QS2" t="inlineStr">
        <is>
          <t>Date</t>
        </is>
      </c>
      <c r="QT2" t="inlineStr">
        <is>
          <t>PX_LAST</t>
        </is>
      </c>
      <c r="QU2" t="inlineStr">
        <is>
          <t>PX_VOLUME</t>
        </is>
      </c>
      <c r="QW2" t="inlineStr">
        <is>
          <t>Date</t>
        </is>
      </c>
      <c r="QX2" t="inlineStr">
        <is>
          <t>PX_LAST</t>
        </is>
      </c>
      <c r="QY2" t="inlineStr">
        <is>
          <t>PX_VOLUME</t>
        </is>
      </c>
      <c r="RA2" t="inlineStr">
        <is>
          <t>Date</t>
        </is>
      </c>
      <c r="RB2" t="inlineStr">
        <is>
          <t>PX_LAST</t>
        </is>
      </c>
      <c r="RC2" t="inlineStr">
        <is>
          <t>PX_VOLUME</t>
        </is>
      </c>
      <c r="RE2" t="inlineStr">
        <is>
          <t>Date</t>
        </is>
      </c>
      <c r="RF2" t="inlineStr">
        <is>
          <t>PX_LAST</t>
        </is>
      </c>
      <c r="RG2" t="inlineStr">
        <is>
          <t>PX_VOLUME</t>
        </is>
      </c>
      <c r="RI2" t="inlineStr">
        <is>
          <t>Date</t>
        </is>
      </c>
      <c r="RJ2" t="inlineStr">
        <is>
          <t>PX_LAST</t>
        </is>
      </c>
      <c r="RK2" t="inlineStr">
        <is>
          <t>PX_VOLUME</t>
        </is>
      </c>
      <c r="RM2" t="inlineStr">
        <is>
          <t>Date</t>
        </is>
      </c>
      <c r="RN2" t="inlineStr">
        <is>
          <t>PX_LAST</t>
        </is>
      </c>
      <c r="RO2" t="inlineStr">
        <is>
          <t>PX_VOLUME</t>
        </is>
      </c>
      <c r="RQ2" t="inlineStr">
        <is>
          <t>Date</t>
        </is>
      </c>
      <c r="RR2" t="inlineStr">
        <is>
          <t>PX_LAST</t>
        </is>
      </c>
      <c r="RS2" t="inlineStr">
        <is>
          <t>PX_VOLUME</t>
        </is>
      </c>
      <c r="RU2" t="inlineStr">
        <is>
          <t>Date</t>
        </is>
      </c>
      <c r="RV2" t="inlineStr">
        <is>
          <t>PX_LAST</t>
        </is>
      </c>
      <c r="RW2" t="inlineStr">
        <is>
          <t>PX_VOLUME</t>
        </is>
      </c>
      <c r="RY2" t="inlineStr">
        <is>
          <t>Date</t>
        </is>
      </c>
      <c r="RZ2" t="inlineStr">
        <is>
          <t>PX_LAST</t>
        </is>
      </c>
      <c r="SA2" t="inlineStr">
        <is>
          <t>PX_VOLUME</t>
        </is>
      </c>
      <c r="SC2" t="inlineStr">
        <is>
          <t>Date</t>
        </is>
      </c>
      <c r="SD2" t="inlineStr">
        <is>
          <t>PX_LAST</t>
        </is>
      </c>
      <c r="SE2" t="inlineStr">
        <is>
          <t>PX_VOLUME</t>
        </is>
      </c>
      <c r="SG2" t="inlineStr">
        <is>
          <t>Date</t>
        </is>
      </c>
      <c r="SH2" t="inlineStr">
        <is>
          <t>PX_LAST</t>
        </is>
      </c>
      <c r="SI2" t="inlineStr">
        <is>
          <t>PX_VOLUME</t>
        </is>
      </c>
      <c r="SK2" t="inlineStr">
        <is>
          <t>Date</t>
        </is>
      </c>
      <c r="SL2" t="inlineStr">
        <is>
          <t>PX_LAST</t>
        </is>
      </c>
      <c r="SM2" t="inlineStr">
        <is>
          <t>PX_VOLUME</t>
        </is>
      </c>
      <c r="SO2" t="inlineStr">
        <is>
          <t>Date</t>
        </is>
      </c>
      <c r="SP2" t="inlineStr">
        <is>
          <t>PX_LAST</t>
        </is>
      </c>
      <c r="SQ2" t="inlineStr">
        <is>
          <t>PX_VOLUME</t>
        </is>
      </c>
      <c r="SS2" t="inlineStr">
        <is>
          <t>Date</t>
        </is>
      </c>
      <c r="ST2" t="inlineStr">
        <is>
          <t>PX_LAST</t>
        </is>
      </c>
      <c r="SU2" t="inlineStr">
        <is>
          <t>PX_VOLUME</t>
        </is>
      </c>
      <c r="SW2" t="inlineStr">
        <is>
          <t>Date</t>
        </is>
      </c>
      <c r="SX2" t="inlineStr">
        <is>
          <t>PX_LAST</t>
        </is>
      </c>
      <c r="SY2" t="inlineStr">
        <is>
          <t>PX_VOLUME</t>
        </is>
      </c>
      <c r="TA2" t="inlineStr">
        <is>
          <t>Date</t>
        </is>
      </c>
      <c r="TB2" t="inlineStr">
        <is>
          <t>PX_LAST</t>
        </is>
      </c>
      <c r="TC2" t="inlineStr">
        <is>
          <t>PX_VOLUME</t>
        </is>
      </c>
      <c r="TE2" t="inlineStr">
        <is>
          <t>Date</t>
        </is>
      </c>
      <c r="TF2" t="inlineStr">
        <is>
          <t>PX_LAST</t>
        </is>
      </c>
      <c r="TG2" t="inlineStr">
        <is>
          <t>PX_VOLUME</t>
        </is>
      </c>
      <c r="TI2" t="inlineStr">
        <is>
          <t>Date</t>
        </is>
      </c>
      <c r="TJ2" t="inlineStr">
        <is>
          <t>PX_LAST</t>
        </is>
      </c>
      <c r="TK2" t="inlineStr">
        <is>
          <t>PX_VOLUME</t>
        </is>
      </c>
      <c r="TM2" t="inlineStr">
        <is>
          <t>Date</t>
        </is>
      </c>
      <c r="TN2" t="inlineStr">
        <is>
          <t>PX_LAST</t>
        </is>
      </c>
      <c r="TO2" t="inlineStr">
        <is>
          <t>PX_VOLUME</t>
        </is>
      </c>
      <c r="TQ2" t="inlineStr">
        <is>
          <t>Date</t>
        </is>
      </c>
      <c r="TR2" t="inlineStr">
        <is>
          <t>PX_LAST</t>
        </is>
      </c>
      <c r="TS2" t="inlineStr">
        <is>
          <t>PX_VOLUME</t>
        </is>
      </c>
      <c r="TU2" t="inlineStr">
        <is>
          <t>Date</t>
        </is>
      </c>
      <c r="TV2" t="inlineStr">
        <is>
          <t>PX_LAST</t>
        </is>
      </c>
      <c r="TW2" t="inlineStr">
        <is>
          <t>PX_VOLUME</t>
        </is>
      </c>
      <c r="TY2" t="inlineStr">
        <is>
          <t>Date</t>
        </is>
      </c>
      <c r="TZ2" t="inlineStr">
        <is>
          <t>PX_LAST</t>
        </is>
      </c>
      <c r="UA2" t="inlineStr">
        <is>
          <t>PX_VOLUME</t>
        </is>
      </c>
      <c r="UC2" t="inlineStr">
        <is>
          <t>Date</t>
        </is>
      </c>
      <c r="UD2" t="inlineStr">
        <is>
          <t>PX_LAST</t>
        </is>
      </c>
      <c r="UE2" t="inlineStr">
        <is>
          <t>PX_VOLUME</t>
        </is>
      </c>
      <c r="UG2" t="inlineStr">
        <is>
          <t>Date</t>
        </is>
      </c>
      <c r="UH2" t="inlineStr">
        <is>
          <t>PX_LAST</t>
        </is>
      </c>
      <c r="UI2" t="inlineStr">
        <is>
          <t>PX_VOLUME</t>
        </is>
      </c>
      <c r="UK2" t="inlineStr">
        <is>
          <t>Date</t>
        </is>
      </c>
      <c r="UL2" t="inlineStr">
        <is>
          <t>PX_LAST</t>
        </is>
      </c>
      <c r="UM2" t="inlineStr">
        <is>
          <t>PX_VOLUME</t>
        </is>
      </c>
      <c r="UO2" t="inlineStr">
        <is>
          <t>Date</t>
        </is>
      </c>
      <c r="UP2" t="inlineStr">
        <is>
          <t>PX_LAST</t>
        </is>
      </c>
      <c r="UQ2" t="inlineStr">
        <is>
          <t>PX_VOLUME</t>
        </is>
      </c>
      <c r="US2" t="inlineStr">
        <is>
          <t>Date</t>
        </is>
      </c>
      <c r="UT2" t="inlineStr">
        <is>
          <t>PX_LAST</t>
        </is>
      </c>
      <c r="UU2" t="inlineStr">
        <is>
          <t>PX_VOLUME</t>
        </is>
      </c>
      <c r="UW2" t="inlineStr">
        <is>
          <t>Date</t>
        </is>
      </c>
      <c r="UX2" t="inlineStr">
        <is>
          <t>PX_LAST</t>
        </is>
      </c>
      <c r="UY2" t="inlineStr">
        <is>
          <t>PX_VOLUME</t>
        </is>
      </c>
      <c r="VA2" t="inlineStr">
        <is>
          <t>Date</t>
        </is>
      </c>
      <c r="VB2" t="inlineStr">
        <is>
          <t>PX_LAST</t>
        </is>
      </c>
      <c r="VC2" t="inlineStr">
        <is>
          <t>PX_VOLUME</t>
        </is>
      </c>
      <c r="VE2" t="inlineStr">
        <is>
          <t>Date</t>
        </is>
      </c>
      <c r="VF2" t="inlineStr">
        <is>
          <t>PX_LAST</t>
        </is>
      </c>
      <c r="VG2" t="inlineStr">
        <is>
          <t>PX_VOLUME</t>
        </is>
      </c>
      <c r="VI2" t="inlineStr">
        <is>
          <t>Date</t>
        </is>
      </c>
      <c r="VJ2" t="inlineStr">
        <is>
          <t>PX_LAST</t>
        </is>
      </c>
      <c r="VK2" t="inlineStr">
        <is>
          <t>PX_VOLUME</t>
        </is>
      </c>
      <c r="VM2" t="inlineStr">
        <is>
          <t>Date</t>
        </is>
      </c>
      <c r="VN2" t="inlineStr">
        <is>
          <t>PX_LAST</t>
        </is>
      </c>
      <c r="VO2" t="inlineStr">
        <is>
          <t>PX_VOLUME</t>
        </is>
      </c>
      <c r="VQ2" t="inlineStr">
        <is>
          <t>Date</t>
        </is>
      </c>
      <c r="VR2" t="inlineStr">
        <is>
          <t>PX_LAST</t>
        </is>
      </c>
      <c r="VS2" t="inlineStr">
        <is>
          <t>PX_VOLUME</t>
        </is>
      </c>
      <c r="VU2" t="inlineStr">
        <is>
          <t>Date</t>
        </is>
      </c>
      <c r="VV2" t="inlineStr">
        <is>
          <t>PX_LAST</t>
        </is>
      </c>
      <c r="VW2" t="inlineStr">
        <is>
          <t>PX_VOLUME</t>
        </is>
      </c>
      <c r="VY2" t="inlineStr">
        <is>
          <t>Date</t>
        </is>
      </c>
      <c r="VZ2" t="inlineStr">
        <is>
          <t>PX_LAST</t>
        </is>
      </c>
      <c r="WA2" t="inlineStr">
        <is>
          <t>PX_VOLUME</t>
        </is>
      </c>
      <c r="WC2" t="inlineStr">
        <is>
          <t>Date</t>
        </is>
      </c>
      <c r="WD2" t="inlineStr">
        <is>
          <t>PX_LAST</t>
        </is>
      </c>
      <c r="WE2" t="inlineStr">
        <is>
          <t>PX_VOLUME</t>
        </is>
      </c>
      <c r="WG2" t="inlineStr">
        <is>
          <t>Date</t>
        </is>
      </c>
      <c r="WH2" t="inlineStr">
        <is>
          <t>PX_LAST</t>
        </is>
      </c>
      <c r="WI2" t="inlineStr">
        <is>
          <t>PX_VOLUME</t>
        </is>
      </c>
      <c r="WK2" t="inlineStr">
        <is>
          <t>Date</t>
        </is>
      </c>
      <c r="WL2" t="inlineStr">
        <is>
          <t>PX_LAST</t>
        </is>
      </c>
      <c r="WM2" t="inlineStr">
        <is>
          <t>PX_VOLUME</t>
        </is>
      </c>
      <c r="WO2" t="inlineStr">
        <is>
          <t>Date</t>
        </is>
      </c>
      <c r="WP2" t="inlineStr">
        <is>
          <t>PX_LAST</t>
        </is>
      </c>
      <c r="WQ2" t="inlineStr">
        <is>
          <t>PX_VOLUME</t>
        </is>
      </c>
      <c r="WS2" t="inlineStr">
        <is>
          <t>Date</t>
        </is>
      </c>
      <c r="WT2" t="inlineStr">
        <is>
          <t>PX_LAST</t>
        </is>
      </c>
      <c r="WU2" t="inlineStr">
        <is>
          <t>PX_VOLUME</t>
        </is>
      </c>
      <c r="WW2" t="inlineStr">
        <is>
          <t>Date</t>
        </is>
      </c>
      <c r="WX2" t="inlineStr">
        <is>
          <t>PX_LAST</t>
        </is>
      </c>
      <c r="WY2" t="inlineStr">
        <is>
          <t>PX_VOLUME</t>
        </is>
      </c>
      <c r="XA2" t="inlineStr">
        <is>
          <t>Date</t>
        </is>
      </c>
      <c r="XB2" t="inlineStr">
        <is>
          <t>PX_LAST</t>
        </is>
      </c>
      <c r="XC2" t="inlineStr">
        <is>
          <t>PX_VOLUME</t>
        </is>
      </c>
      <c r="XE2" t="inlineStr">
        <is>
          <t>Date</t>
        </is>
      </c>
      <c r="XF2" t="inlineStr">
        <is>
          <t>PX_LAST</t>
        </is>
      </c>
      <c r="XG2" t="inlineStr">
        <is>
          <t>PX_VOLUME</t>
        </is>
      </c>
      <c r="XI2" t="inlineStr">
        <is>
          <t>Date</t>
        </is>
      </c>
      <c r="XJ2" t="inlineStr">
        <is>
          <t>PX_LAST</t>
        </is>
      </c>
      <c r="XK2" t="inlineStr">
        <is>
          <t>PX_VOLUME</t>
        </is>
      </c>
      <c r="XM2" t="inlineStr">
        <is>
          <t>Date</t>
        </is>
      </c>
      <c r="XN2" t="inlineStr">
        <is>
          <t>PX_LAST</t>
        </is>
      </c>
      <c r="XO2" t="inlineStr">
        <is>
          <t>PX_VOLUME</t>
        </is>
      </c>
      <c r="XQ2" t="inlineStr">
        <is>
          <t>Date</t>
        </is>
      </c>
      <c r="XR2" t="inlineStr">
        <is>
          <t>PX_LAST</t>
        </is>
      </c>
      <c r="XS2" t="inlineStr">
        <is>
          <t>PX_VOLUME</t>
        </is>
      </c>
      <c r="XU2" t="inlineStr">
        <is>
          <t>Date</t>
        </is>
      </c>
      <c r="XV2" t="inlineStr">
        <is>
          <t>PX_LAST</t>
        </is>
      </c>
      <c r="XW2" t="inlineStr">
        <is>
          <t>PX_VOLUME</t>
        </is>
      </c>
      <c r="XY2" t="inlineStr">
        <is>
          <t>Date</t>
        </is>
      </c>
      <c r="XZ2" t="inlineStr">
        <is>
          <t>PX_LAST</t>
        </is>
      </c>
      <c r="YA2" t="inlineStr">
        <is>
          <t>PX_VOLUME</t>
        </is>
      </c>
      <c r="YC2" t="inlineStr">
        <is>
          <t>Date</t>
        </is>
      </c>
      <c r="YD2" t="inlineStr">
        <is>
          <t>PX_LAST</t>
        </is>
      </c>
      <c r="YE2" t="inlineStr">
        <is>
          <t>PX_VOLUME</t>
        </is>
      </c>
      <c r="YG2" t="inlineStr">
        <is>
          <t>Date</t>
        </is>
      </c>
      <c r="YH2" t="inlineStr">
        <is>
          <t>PX_LAST</t>
        </is>
      </c>
      <c r="YI2" t="inlineStr">
        <is>
          <t>PX_VOLUME</t>
        </is>
      </c>
      <c r="YK2" t="inlineStr">
        <is>
          <t>Date</t>
        </is>
      </c>
      <c r="YL2" t="inlineStr">
        <is>
          <t>PX_LAST</t>
        </is>
      </c>
      <c r="YM2" t="inlineStr">
        <is>
          <t>PX_VOLUME</t>
        </is>
      </c>
      <c r="YO2" t="inlineStr">
        <is>
          <t>Date</t>
        </is>
      </c>
      <c r="YP2" t="inlineStr">
        <is>
          <t>PX_LAST</t>
        </is>
      </c>
      <c r="YQ2" t="inlineStr">
        <is>
          <t>PX_VOLUME</t>
        </is>
      </c>
      <c r="YS2" t="inlineStr">
        <is>
          <t>Date</t>
        </is>
      </c>
      <c r="YT2" t="inlineStr">
        <is>
          <t>PX_LAST</t>
        </is>
      </c>
      <c r="YU2" t="inlineStr">
        <is>
          <t>PX_VOLUME</t>
        </is>
      </c>
      <c r="YW2" t="inlineStr">
        <is>
          <t>Date</t>
        </is>
      </c>
      <c r="YX2" t="inlineStr">
        <is>
          <t>PX_LAST</t>
        </is>
      </c>
      <c r="YY2" t="inlineStr">
        <is>
          <t>PX_VOLUME</t>
        </is>
      </c>
      <c r="ZA2" t="inlineStr">
        <is>
          <t>Date</t>
        </is>
      </c>
      <c r="ZB2" t="inlineStr">
        <is>
          <t>PX_LAST</t>
        </is>
      </c>
      <c r="ZC2" t="inlineStr">
        <is>
          <t>PX_VOLUME</t>
        </is>
      </c>
      <c r="ZE2" t="inlineStr">
        <is>
          <t>Date</t>
        </is>
      </c>
      <c r="ZF2" t="inlineStr">
        <is>
          <t>PX_LAST</t>
        </is>
      </c>
      <c r="ZG2" t="inlineStr">
        <is>
          <t>PX_VOLUME</t>
        </is>
      </c>
      <c r="ZI2" t="inlineStr">
        <is>
          <t>Date</t>
        </is>
      </c>
      <c r="ZJ2" t="inlineStr">
        <is>
          <t>PX_LAST</t>
        </is>
      </c>
      <c r="ZK2" t="inlineStr">
        <is>
          <t>PX_VOLUME</t>
        </is>
      </c>
      <c r="ZM2" t="inlineStr">
        <is>
          <t>Date</t>
        </is>
      </c>
      <c r="ZN2" t="inlineStr">
        <is>
          <t>PX_LAST</t>
        </is>
      </c>
      <c r="ZO2" t="inlineStr">
        <is>
          <t>PX_VOLUME</t>
        </is>
      </c>
      <c r="ZQ2" t="inlineStr">
        <is>
          <t>Date</t>
        </is>
      </c>
      <c r="ZR2" t="inlineStr">
        <is>
          <t>PX_LAST</t>
        </is>
      </c>
      <c r="ZS2" t="inlineStr">
        <is>
          <t>PX_VOLUME</t>
        </is>
      </c>
      <c r="ZU2" t="inlineStr">
        <is>
          <t>Date</t>
        </is>
      </c>
      <c r="ZV2" t="inlineStr">
        <is>
          <t>PX_LAST</t>
        </is>
      </c>
      <c r="ZW2" t="inlineStr">
        <is>
          <t>PX_VOLUME</t>
        </is>
      </c>
      <c r="ZY2" t="inlineStr">
        <is>
          <t>Date</t>
        </is>
      </c>
      <c r="ZZ2" t="inlineStr">
        <is>
          <t>PX_LAST</t>
        </is>
      </c>
      <c r="AAA2" t="inlineStr">
        <is>
          <t>PX_VOLUME</t>
        </is>
      </c>
      <c r="AAC2" t="inlineStr">
        <is>
          <t>Date</t>
        </is>
      </c>
      <c r="AAD2" t="inlineStr">
        <is>
          <t>PX_LAST</t>
        </is>
      </c>
      <c r="AAE2" t="inlineStr">
        <is>
          <t>PX_VOLUME</t>
        </is>
      </c>
      <c r="AAG2" t="inlineStr">
        <is>
          <t>Date</t>
        </is>
      </c>
      <c r="AAH2" t="inlineStr">
        <is>
          <t>PX_LAST</t>
        </is>
      </c>
      <c r="AAI2" t="inlineStr">
        <is>
          <t>PX_VOLUME</t>
        </is>
      </c>
      <c r="AAK2" t="inlineStr">
        <is>
          <t>Date</t>
        </is>
      </c>
      <c r="AAL2" t="inlineStr">
        <is>
          <t>PX_LAST</t>
        </is>
      </c>
      <c r="AAM2" t="inlineStr">
        <is>
          <t>PX_VOLUME</t>
        </is>
      </c>
      <c r="AAO2" t="inlineStr">
        <is>
          <t>Date</t>
        </is>
      </c>
      <c r="AAP2" t="inlineStr">
        <is>
          <t>PX_LAST</t>
        </is>
      </c>
      <c r="AAQ2" t="inlineStr">
        <is>
          <t>PX_VOLUME</t>
        </is>
      </c>
      <c r="AAS2" t="inlineStr">
        <is>
          <t>Date</t>
        </is>
      </c>
      <c r="AAT2" t="inlineStr">
        <is>
          <t>PX_LAST</t>
        </is>
      </c>
      <c r="AAU2" t="inlineStr">
        <is>
          <t>PX_VOLUME</t>
        </is>
      </c>
      <c r="AAW2" t="inlineStr">
        <is>
          <t>Date</t>
        </is>
      </c>
      <c r="AAX2" t="inlineStr">
        <is>
          <t>PX_LAST</t>
        </is>
      </c>
      <c r="AAY2" t="inlineStr">
        <is>
          <t>PX_VOLUME</t>
        </is>
      </c>
      <c r="ABA2" t="inlineStr">
        <is>
          <t>Date</t>
        </is>
      </c>
      <c r="ABB2" t="inlineStr">
        <is>
          <t>PX_LAST</t>
        </is>
      </c>
      <c r="ABC2" t="inlineStr">
        <is>
          <t>PX_VOLUME</t>
        </is>
      </c>
      <c r="ABE2" t="inlineStr">
        <is>
          <t>Date</t>
        </is>
      </c>
      <c r="ABF2" t="inlineStr">
        <is>
          <t>PX_LAST</t>
        </is>
      </c>
      <c r="ABG2" t="inlineStr">
        <is>
          <t>PX_VOLUME</t>
        </is>
      </c>
      <c r="ABI2" t="inlineStr">
        <is>
          <t>Date</t>
        </is>
      </c>
      <c r="ABJ2" t="inlineStr">
        <is>
          <t>PX_LAST</t>
        </is>
      </c>
      <c r="ABK2" t="inlineStr">
        <is>
          <t>PX_VOLUME</t>
        </is>
      </c>
      <c r="ABM2" t="inlineStr">
        <is>
          <t>Date</t>
        </is>
      </c>
      <c r="ABN2" t="inlineStr">
        <is>
          <t>PX_LAST</t>
        </is>
      </c>
      <c r="ABO2" t="inlineStr">
        <is>
          <t>PX_VOLUME</t>
        </is>
      </c>
      <c r="ABQ2" t="inlineStr">
        <is>
          <t>Date</t>
        </is>
      </c>
      <c r="ABR2" t="inlineStr">
        <is>
          <t>PX_LAST</t>
        </is>
      </c>
      <c r="ABS2" t="inlineStr">
        <is>
          <t>PX_VOLUME</t>
        </is>
      </c>
      <c r="ABU2" t="inlineStr">
        <is>
          <t>Date</t>
        </is>
      </c>
      <c r="ABV2" t="inlineStr">
        <is>
          <t>PX_LAST</t>
        </is>
      </c>
      <c r="ABW2" t="inlineStr">
        <is>
          <t>PX_VOLUME</t>
        </is>
      </c>
      <c r="ABY2" t="inlineStr">
        <is>
          <t>Date</t>
        </is>
      </c>
      <c r="ABZ2" t="inlineStr">
        <is>
          <t>PX_LAST</t>
        </is>
      </c>
      <c r="ACA2" t="inlineStr">
        <is>
          <t>PX_VOLUME</t>
        </is>
      </c>
      <c r="ACC2" t="inlineStr">
        <is>
          <t>Date</t>
        </is>
      </c>
      <c r="ACD2" t="inlineStr">
        <is>
          <t>PX_LAST</t>
        </is>
      </c>
      <c r="ACE2" t="inlineStr">
        <is>
          <t>PX_VOLUME</t>
        </is>
      </c>
      <c r="ACG2" t="inlineStr">
        <is>
          <t>Date</t>
        </is>
      </c>
      <c r="ACH2" t="inlineStr">
        <is>
          <t>PX_LAST</t>
        </is>
      </c>
      <c r="ACI2" t="inlineStr">
        <is>
          <t>PX_VOLUME</t>
        </is>
      </c>
      <c r="ACK2" t="inlineStr">
        <is>
          <t>Date</t>
        </is>
      </c>
      <c r="ACL2" t="inlineStr">
        <is>
          <t>PX_LAST</t>
        </is>
      </c>
      <c r="ACM2" t="inlineStr">
        <is>
          <t>PX_VOLUME</t>
        </is>
      </c>
      <c r="ACO2" t="inlineStr">
        <is>
          <t>Date</t>
        </is>
      </c>
      <c r="ACP2" t="inlineStr">
        <is>
          <t>PX_LAST</t>
        </is>
      </c>
      <c r="ACQ2" t="inlineStr">
        <is>
          <t>PX_VOLUME</t>
        </is>
      </c>
      <c r="ACS2" t="inlineStr">
        <is>
          <t>Date</t>
        </is>
      </c>
      <c r="ACT2" t="inlineStr">
        <is>
          <t>PX_LAST</t>
        </is>
      </c>
      <c r="ACU2" t="inlineStr">
        <is>
          <t>PX_VOLUME</t>
        </is>
      </c>
      <c r="ACW2" t="inlineStr">
        <is>
          <t>Date</t>
        </is>
      </c>
      <c r="ACX2" t="inlineStr">
        <is>
          <t>PX_LAST</t>
        </is>
      </c>
      <c r="ACY2" t="inlineStr">
        <is>
          <t>PX_VOLUME</t>
        </is>
      </c>
      <c r="ADA2" t="inlineStr">
        <is>
          <t>Date</t>
        </is>
      </c>
      <c r="ADB2" t="inlineStr">
        <is>
          <t>PX_LAST</t>
        </is>
      </c>
      <c r="ADC2" t="inlineStr">
        <is>
          <t>PX_VOLUME</t>
        </is>
      </c>
      <c r="ADE2" t="inlineStr">
        <is>
          <t>Date</t>
        </is>
      </c>
      <c r="ADF2" t="inlineStr">
        <is>
          <t>PX_LAST</t>
        </is>
      </c>
      <c r="ADG2" t="inlineStr">
        <is>
          <t>PX_VOLUME</t>
        </is>
      </c>
      <c r="ADI2" t="inlineStr">
        <is>
          <t>Date</t>
        </is>
      </c>
      <c r="ADJ2" t="inlineStr">
        <is>
          <t>PX_LAST</t>
        </is>
      </c>
      <c r="ADK2" t="inlineStr">
        <is>
          <t>PX_VOLUME</t>
        </is>
      </c>
      <c r="ADM2" t="inlineStr">
        <is>
          <t>Date</t>
        </is>
      </c>
      <c r="ADN2" t="inlineStr">
        <is>
          <t>PX_LAST</t>
        </is>
      </c>
      <c r="ADO2" t="inlineStr">
        <is>
          <t>PX_VOLUME</t>
        </is>
      </c>
      <c r="ADQ2" t="inlineStr">
        <is>
          <t>Date</t>
        </is>
      </c>
      <c r="ADR2" t="inlineStr">
        <is>
          <t>PX_LAST</t>
        </is>
      </c>
      <c r="ADS2" t="inlineStr">
        <is>
          <t>PX_VOLUME</t>
        </is>
      </c>
    </row>
    <row r="3">
      <c r="A3">
        <f>BDH("BBG01KLVT2N1 Equity","PX_LAST,PX_VOLUME","1/1/2020","6/10/2026")</f>
        <v/>
      </c>
      <c r="E3">
        <f>BDH("BBG01KLVT3M0 Equity","PX_LAST,PX_VOLUME","1/1/2020","6/10/2026")</f>
        <v/>
      </c>
      <c r="I3">
        <f>BDH("BBG01KLVT4L9 Equity","PX_LAST,PX_VOLUME","1/1/2020","6/10/2026")</f>
        <v/>
      </c>
      <c r="M3">
        <f>BDH("BBG01KLVT5P2 Equity","PX_LAST,PX_VOLUME","1/1/2020","6/10/2026")</f>
        <v/>
      </c>
      <c r="Q3">
        <f>BDH("BBG01KLVT6N2 Equity","PX_LAST,PX_VOLUME","1/1/2020","6/10/2026")</f>
        <v/>
      </c>
      <c r="U3">
        <f>BDH("BBG01KLVT7M1 Equity","PX_LAST,PX_VOLUME","1/1/2020","6/10/2026")</f>
        <v/>
      </c>
      <c r="Y3">
        <f>BDH("BBG01KLVT8P6 Equity","PX_LAST,PX_VOLUME","1/1/2020","6/10/2026")</f>
        <v/>
      </c>
      <c r="AC3">
        <f>BDH("BBG01KLVT9N6 Equity","PX_LAST,PX_VOLUME","1/1/2020","6/10/2026")</f>
        <v/>
      </c>
      <c r="AG3">
        <f>BDH("BBG01KLVTBM2 Equity","PX_LAST,PX_VOLUME","1/1/2020","6/10/2026")</f>
        <v/>
      </c>
      <c r="AK3">
        <f>BDH("BBG01KLVTCM0 Equity","PX_LAST,PX_VOLUME","1/1/2020","6/10/2026")</f>
        <v/>
      </c>
      <c r="AO3">
        <f>BDH("BBG01KLVTDL9 Equity","PX_LAST,PX_VOLUME","1/1/2020","6/10/2026")</f>
        <v/>
      </c>
      <c r="AS3">
        <f>BDH("BBG01KLVTFK5 Equity","PX_LAST,PX_VOLUME","1/1/2020","6/10/2026")</f>
        <v/>
      </c>
      <c r="AW3">
        <f>BDH("BBG01KLVTGK3 Equity","PX_LAST,PX_VOLUME","1/1/2020","6/10/2026")</f>
        <v/>
      </c>
      <c r="BA3">
        <f>BDH("BBG01KLVTHJ3 Equity","PX_LAST,PX_VOLUME","1/1/2020","6/10/2026")</f>
        <v/>
      </c>
      <c r="BE3">
        <f>BDH("BBG01KLVTJH1 Equity","PX_LAST,PX_VOLUME","1/1/2020","6/10/2026")</f>
        <v/>
      </c>
      <c r="BI3">
        <f>BDH("BBG01KLVTKG9 Equity","PX_LAST,PX_VOLUME","1/1/2020","6/10/2026")</f>
        <v/>
      </c>
      <c r="BM3">
        <f>BDH("BBG01KLVTLH6 Equity","PX_LAST,PX_VOLUME","1/1/2020","6/10/2026")</f>
        <v/>
      </c>
      <c r="BQ3">
        <f>BDH("BBG01KLVTMG5 Equity","PX_LAST,PX_VOLUME","1/1/2020","6/10/2026")</f>
        <v/>
      </c>
      <c r="BU3">
        <f>BDH("BBG01KLVTNF4 Equity","PX_LAST,PX_VOLUME","1/1/2020","6/10/2026")</f>
        <v/>
      </c>
      <c r="BY3">
        <f>BDH("BBG01KLVTPF9 Equity","PX_LAST,PX_VOLUME","1/1/2020","6/10/2026")</f>
        <v/>
      </c>
      <c r="CC3">
        <f>BDH("BBG01KLVTQD9 Equity","PX_LAST,PX_VOLUME","1/1/2020","6/10/2026")</f>
        <v/>
      </c>
      <c r="CG3">
        <f>BDH("BBG01KMY3396 Equity","PX_LAST,PX_VOLUME","1/1/2020","6/10/2026")</f>
        <v/>
      </c>
      <c r="CK3">
        <f>BDH("BBG01JWHJPV4 Equity","PX_LAST,PX_VOLUME","1/1/2020","6/10/2026")</f>
        <v/>
      </c>
      <c r="CO3">
        <f>BDH("BBG01JWHJQV2 Equity","PX_LAST,PX_VOLUME","1/1/2020","6/10/2026")</f>
        <v/>
      </c>
      <c r="CS3">
        <f>BDH("BBG01JWHJRT3 Equity","PX_LAST,PX_VOLUME","1/1/2020","6/10/2026")</f>
        <v/>
      </c>
      <c r="CW3">
        <f>BDH("BBG01JWHJSS2 Equity","PX_LAST,PX_VOLUME","1/1/2020","6/10/2026")</f>
        <v/>
      </c>
      <c r="DA3">
        <f>BDH("BBG01HPMJYY3 Equity","PX_LAST,PX_VOLUME","1/1/2020","6/10/2026")</f>
        <v/>
      </c>
      <c r="DE3">
        <f>BDH("BBG01JWHJTS0 Equity","PX_LAST,PX_VOLUME","1/1/2020","6/10/2026")</f>
        <v/>
      </c>
      <c r="DI3">
        <f>BDH("BBG01JWHJVR6 Equity","PX_LAST,PX_VOLUME","1/1/2020","6/10/2026")</f>
        <v/>
      </c>
      <c r="DM3">
        <f>BDH("BBG01JWHJWQ5 Equity","PX_LAST,PX_VOLUME","1/1/2020","6/10/2026")</f>
        <v/>
      </c>
      <c r="DQ3">
        <f>BDH("BBG01JWHJXQ3 Equity","PX_LAST,PX_VOLUME","1/1/2020","6/10/2026")</f>
        <v/>
      </c>
      <c r="DU3">
        <f>BDH("BBG01HKKQK47 Equity","PX_LAST,PX_VOLUME","1/1/2020","6/10/2026")</f>
        <v/>
      </c>
      <c r="DY3">
        <f>BDH("BBG01HKKQL36 Equity","PX_LAST,PX_VOLUME","1/1/2020","6/10/2026")</f>
        <v/>
      </c>
      <c r="EC3">
        <f>BDH("BBG01HKKQM34 Equity","PX_LAST,PX_VOLUME","1/1/2020","6/10/2026")</f>
        <v/>
      </c>
      <c r="EG3">
        <f>BDH("BBG01HKKQN23 Equity","PX_LAST,PX_VOLUME","1/1/2020","6/10/2026")</f>
        <v/>
      </c>
      <c r="EK3">
        <f>BDH("BBG01HKKQP19 Equity","PX_LAST,PX_VOLUME","1/1/2020","6/10/2026")</f>
        <v/>
      </c>
      <c r="EO3">
        <f>BDH("BBG01HKKQQ08 Equity","PX_LAST,PX_VOLUME","1/1/2020","6/10/2026")</f>
        <v/>
      </c>
      <c r="ES3">
        <f>BDH("BBG01HKKQR06 Equity","PX_LAST,PX_VOLUME","1/1/2020","6/10/2026")</f>
        <v/>
      </c>
      <c r="EW3">
        <f>BDH("BBG01HKKQRZ8 Equity","PX_LAST,PX_VOLUME","1/1/2020","6/10/2026")</f>
        <v/>
      </c>
      <c r="FA3">
        <f>BDH("BBG01HKKQSY7 Equity","PX_LAST,PX_VOLUME","1/1/2020","6/10/2026")</f>
        <v/>
      </c>
      <c r="FE3">
        <f>BDH("BBG01HKKQTZ4 Equity","PX_LAST,PX_VOLUME","1/1/2020","6/10/2026")</f>
        <v/>
      </c>
      <c r="FI3">
        <f>BDH("BBG01HKKQVY0 Equity","PX_LAST,PX_VOLUME","1/1/2020","6/10/2026")</f>
        <v/>
      </c>
      <c r="FM3">
        <f>BDH("BBG01HKKQWX9 Equity","PX_LAST,PX_VOLUME","1/1/2020","6/10/2026")</f>
        <v/>
      </c>
      <c r="FQ3">
        <f>BDH("BBG01HKKQXX7 Equity","PX_LAST,PX_VOLUME","1/1/2020","6/10/2026")</f>
        <v/>
      </c>
      <c r="FU3">
        <f>BDH("BBG01HKKQYW6 Equity","PX_LAST,PX_VOLUME","1/1/2020","6/10/2026")</f>
        <v/>
      </c>
      <c r="FY3">
        <f>BDH("BBG01HKKQZV4 Equity","PX_LAST,PX_VOLUME","1/1/2020","6/10/2026")</f>
        <v/>
      </c>
      <c r="GC3">
        <f>BDH("BBG01HKKR0T3 Equity","PX_LAST,PX_VOLUME","1/1/2020","6/10/2026")</f>
        <v/>
      </c>
      <c r="GG3">
        <f>BDH("BBG01HKKR1T1 Equity","PX_LAST,PX_VOLUME","1/1/2020","6/10/2026")</f>
        <v/>
      </c>
      <c r="GK3">
        <f>BDH("BBG01HKKR2S0 Equity","PX_LAST,PX_VOLUME","1/1/2020","6/10/2026")</f>
        <v/>
      </c>
      <c r="GO3">
        <f>BDH("BBG01HKKR3R9 Equity","PX_LAST,PX_VOLUME","1/1/2020","6/10/2026")</f>
        <v/>
      </c>
      <c r="GS3">
        <f>BDH("BBG01HKKR4S6 Equity","PX_LAST,PX_VOLUME","1/1/2020","6/10/2026")</f>
        <v/>
      </c>
      <c r="GW3">
        <f>BDH("BBG01HKKR5R4 Equity","PX_LAST,PX_VOLUME","1/1/2020","6/10/2026")</f>
        <v/>
      </c>
      <c r="HA3">
        <f>BDH("BBG01HPMJZX1 Equity","PX_LAST,PX_VOLUME","1/1/2020","6/10/2026")</f>
        <v/>
      </c>
      <c r="HE3">
        <f>BDH("BBG01LJSXH60 Equity","PX_LAST,PX_VOLUME","1/1/2020","6/10/2026")</f>
        <v/>
      </c>
      <c r="HI3">
        <f>BDH("BBG01LJSXJ93 Equity","PX_LAST,PX_VOLUME","1/1/2020","6/10/2026")</f>
        <v/>
      </c>
      <c r="HM3">
        <f>BDH("BBG01M24P0P4 Equity","PX_LAST,PX_VOLUME","1/1/2020","6/10/2026")</f>
        <v/>
      </c>
      <c r="HQ3">
        <f>BDH("BBG01LJSXKF3 Equity","PX_LAST,PX_VOLUME","1/1/2020","6/10/2026")</f>
        <v/>
      </c>
      <c r="HU3">
        <f>BDH("BBG01M24P1S9 Equity","PX_LAST,PX_VOLUME","1/1/2020","6/10/2026")</f>
        <v/>
      </c>
      <c r="HY3">
        <f>BDH("BBG01LJSXLJ7 Equity","PX_LAST,PX_VOLUME","1/1/2020","6/10/2026")</f>
        <v/>
      </c>
      <c r="IC3">
        <f>BDH("BBG01M24P2W2 Equity","PX_LAST,PX_VOLUME","1/1/2020","6/10/2026")</f>
        <v/>
      </c>
      <c r="IG3">
        <f>BDH("BBG01LJSXMM1 Equity","PX_LAST,PX_VOLUME","1/1/2020","6/10/2026")</f>
        <v/>
      </c>
      <c r="IK3">
        <f>BDH("BBG01M24P403 Equity","PX_LAST,PX_VOLUME","1/1/2020","6/10/2026")</f>
        <v/>
      </c>
      <c r="IO3">
        <f>BDH("BBG01LJSXNR4 Equity","PX_LAST,PX_VOLUME","1/1/2020","6/10/2026")</f>
        <v/>
      </c>
      <c r="IS3">
        <f>BDH("BBG01M24P537 Equity","PX_LAST,PX_VOLUME","1/1/2020","6/10/2026")</f>
        <v/>
      </c>
      <c r="IW3">
        <f>BDH("BBG01LJSXPV4 Equity","PX_LAST,PX_VOLUME","1/1/2020","6/10/2026")</f>
        <v/>
      </c>
      <c r="JA3">
        <f>BDH("BBG01M24P662 Equity","PX_LAST,PX_VOLUME","1/1/2020","6/10/2026")</f>
        <v/>
      </c>
      <c r="JE3">
        <f>BDH("BBG01LJSXQY9 Equity","PX_LAST,PX_VOLUME","1/1/2020","6/10/2026")</f>
        <v/>
      </c>
      <c r="JI3">
        <f>BDH("BBG01M24P7B4 Equity","PX_LAST,PX_VOLUME","1/1/2020","6/10/2026")</f>
        <v/>
      </c>
      <c r="JM3">
        <f>BDH("BBG01LJSXS20 Equity","PX_LAST,PX_VOLUME","1/1/2020","6/10/2026")</f>
        <v/>
      </c>
      <c r="JQ3">
        <f>BDH("BBG01M24P8F8 Equity","PX_LAST,PX_VOLUME","1/1/2020","6/10/2026")</f>
        <v/>
      </c>
      <c r="JU3">
        <f>BDH("BBG01LJSXT55 Equity","PX_LAST,PX_VOLUME","1/1/2020","6/10/2026")</f>
        <v/>
      </c>
      <c r="JY3">
        <f>BDH("BBG01M24P9J2 Equity","PX_LAST,PX_VOLUME","1/1/2020","6/10/2026")</f>
        <v/>
      </c>
      <c r="KC3">
        <f>BDH("BBG01LJSXV87 Equity","PX_LAST,PX_VOLUME","1/1/2020","6/10/2026")</f>
        <v/>
      </c>
      <c r="KG3">
        <f>BDH("BBG01M24PBN2 Equity","PX_LAST,PX_VOLUME","1/1/2020","6/10/2026")</f>
        <v/>
      </c>
      <c r="KK3">
        <f>BDH("BBG01LJSXWD9 Equity","PX_LAST,PX_VOLUME","1/1/2020","6/10/2026")</f>
        <v/>
      </c>
      <c r="KO3">
        <f>BDH("BBG01M24PCR6 Equity","PX_LAST,PX_VOLUME","1/1/2020","6/10/2026")</f>
        <v/>
      </c>
      <c r="KS3">
        <f>BDH("BBG01LJSXXH3 Equity","PX_LAST,PX_VOLUME","1/1/2020","6/10/2026")</f>
        <v/>
      </c>
      <c r="KW3">
        <f>BDH("BBG01LJSXYL6 Equity","PX_LAST,PX_VOLUME","1/1/2020","6/10/2026")</f>
        <v/>
      </c>
      <c r="LA3">
        <f>BDH("BBG01LJSXZQ8 Equity","PX_LAST,PX_VOLUME","1/1/2020","6/10/2026")</f>
        <v/>
      </c>
      <c r="LE3">
        <f>BDH("BBG01LJSY0T1 Equity","PX_LAST,PX_VOLUME","1/1/2020","6/10/2026")</f>
        <v/>
      </c>
      <c r="LI3">
        <f>BDH("BBG01LJSY1X4 Equity","PX_LAST,PX_VOLUME","1/1/2020","6/10/2026")</f>
        <v/>
      </c>
      <c r="LM3">
        <f>BDH("BBG01LJSY324 Equity","PX_LAST,PX_VOLUME","1/1/2020","6/10/2026")</f>
        <v/>
      </c>
      <c r="LQ3">
        <f>BDH("BBG01LMSKRX8 Equity","PX_LAST,PX_VOLUME","1/1/2020","6/10/2026")</f>
        <v/>
      </c>
      <c r="LU3">
        <f>BDH("BBG01LQKQZ76 Equity","PX_LAST,PX_VOLUME","1/1/2020","6/10/2026")</f>
        <v/>
      </c>
      <c r="LY3">
        <f>BDH("BBG01M0F9D08 Equity","PX_LAST,PX_VOLUME","1/1/2020","6/10/2026")</f>
        <v/>
      </c>
      <c r="MC3">
        <f>BDH("BBG01M0F9F30 Equity","PX_LAST,PX_VOLUME","1/1/2020","6/10/2026")</f>
        <v/>
      </c>
      <c r="MG3">
        <f>BDH("BBG01M0F9G74 Equity","PX_LAST,PX_VOLUME","1/1/2020","6/10/2026")</f>
        <v/>
      </c>
      <c r="MK3">
        <f>BDH("BBG01M0F9HB7 Equity","PX_LAST,PX_VOLUME","1/1/2020","6/10/2026")</f>
        <v/>
      </c>
      <c r="MO3">
        <f>BDH("BBG01M0F9JG8 Equity","PX_LAST,PX_VOLUME","1/1/2020","6/10/2026")</f>
        <v/>
      </c>
      <c r="MS3">
        <f>BDH("BBG01M0F9KK0 Equity","PX_LAST,PX_VOLUME","1/1/2020","6/10/2026")</f>
        <v/>
      </c>
      <c r="MW3">
        <f>BDH("BBG01M0F9LN5 Equity","PX_LAST,PX_VOLUME","1/1/2020","6/10/2026")</f>
        <v/>
      </c>
      <c r="NA3">
        <f>BDH("BBG01M0F9MS8 Equity","PX_LAST,PX_VOLUME","1/1/2020","6/10/2026")</f>
        <v/>
      </c>
      <c r="NE3">
        <f>BDH("BBG01M0F9NW1 Equity","PX_LAST,PX_VOLUME","1/1/2020","6/10/2026")</f>
        <v/>
      </c>
      <c r="NI3">
        <f>BDH("BBG01M0F9PZ3 Equity","PX_LAST,PX_VOLUME","1/1/2020","6/10/2026")</f>
        <v/>
      </c>
      <c r="NM3">
        <f>BDH("BBG01M0F9R34 Equity","PX_LAST,PX_VOLUME","1/1/2020","6/10/2026")</f>
        <v/>
      </c>
      <c r="NQ3">
        <f>BDH("BBG01M0F9S69 Equity","PX_LAST,PX_VOLUME","1/1/2020","6/10/2026")</f>
        <v/>
      </c>
      <c r="NU3">
        <f>BDH("BBG01M0F9T94 Equity","PX_LAST,PX_VOLUME","1/1/2020","6/10/2026")</f>
        <v/>
      </c>
      <c r="NY3">
        <f>BDH("BBG01M0F9VF2 Equity","PX_LAST,PX_VOLUME","1/1/2020","6/10/2026")</f>
        <v/>
      </c>
      <c r="OC3">
        <f>BDH("BBG01M0F9WJ6 Equity","PX_LAST,PX_VOLUME","1/1/2020","6/10/2026")</f>
        <v/>
      </c>
      <c r="OG3">
        <f>BDH("BBG01M0F9XM0 Equity","PX_LAST,PX_VOLUME","1/1/2020","6/10/2026")</f>
        <v/>
      </c>
      <c r="OK3">
        <f>BDH("BBG01M0F9YR3 Equity","PX_LAST,PX_VOLUME","1/1/2020","6/10/2026")</f>
        <v/>
      </c>
      <c r="OO3">
        <f>BDH("BBG01JWHJYP2 Equity","PX_LAST,PX_VOLUME","1/1/2020","6/10/2026")</f>
        <v/>
      </c>
      <c r="OS3">
        <f>BDH("BBG01JWHJZN1 Equity","PX_LAST,PX_VOLUME","1/1/2020","6/10/2026")</f>
        <v/>
      </c>
      <c r="OW3">
        <f>BDH("BBG01JWHK0N6 Equity","PX_LAST,PX_VOLUME","1/1/2020","6/10/2026")</f>
        <v/>
      </c>
      <c r="PA3">
        <f>BDH("BBG01JWHK1M5 Equity","PX_LAST,PX_VOLUME","1/1/2020","6/10/2026")</f>
        <v/>
      </c>
      <c r="PE3">
        <f>BDH("BBG01JVK4XS1 Equity","PX_LAST,PX_VOLUME","1/1/2020","6/10/2026")</f>
        <v/>
      </c>
      <c r="PI3">
        <f>BDH("BBG01JTQP5C6 Equity","PX_LAST,PX_VOLUME","1/1/2020","6/10/2026")</f>
        <v/>
      </c>
      <c r="PM3">
        <f>BDH("BBG01JTQP6D3 Equity","PX_LAST,PX_VOLUME","1/1/2020","6/10/2026")</f>
        <v/>
      </c>
      <c r="PQ3">
        <f>BDH("BBG01JTQP7C2 Equity","PX_LAST,PX_VOLUME","1/1/2020","6/10/2026")</f>
        <v/>
      </c>
      <c r="PU3">
        <f>BDH("BBG01JTQP8B1 Equity","PX_LAST,PX_VOLUME","1/1/2020","6/10/2026")</f>
        <v/>
      </c>
      <c r="PY3">
        <f>BDH("BBG01JTQP9C8 Equity","PX_LAST,PX_VOLUME","1/1/2020","6/10/2026")</f>
        <v/>
      </c>
      <c r="QC3">
        <f>BDH("BBG01JTQPBB4 Equity","PX_LAST,PX_VOLUME","1/1/2020","6/10/2026")</f>
        <v/>
      </c>
      <c r="QG3">
        <f>BDH("BBG01JTQPC95 Equity","PX_LAST,PX_VOLUME","1/1/2020","6/10/2026")</f>
        <v/>
      </c>
      <c r="QK3">
        <f>BDH("BBG01JTQPD93 Equity","PX_LAST,PX_VOLUME","1/1/2020","6/10/2026")</f>
        <v/>
      </c>
      <c r="QO3">
        <f>BDH("BBG01JTQPF89 Equity","PX_LAST,PX_VOLUME","1/1/2020","6/10/2026")</f>
        <v/>
      </c>
      <c r="QS3">
        <f>BDH("BBG01JTQPG78 Equity","PX_LAST,PX_VOLUME","1/1/2020","6/10/2026")</f>
        <v/>
      </c>
      <c r="QW3">
        <f>BDH("BBG01JTQPH67 Equity","PX_LAST,PX_VOLUME","1/1/2020","6/10/2026")</f>
        <v/>
      </c>
      <c r="RA3">
        <f>BDH("BBG01JTQPJ63 Equity","PX_LAST,PX_VOLUME","1/1/2020","6/10/2026")</f>
        <v/>
      </c>
      <c r="RE3">
        <f>BDH("BBG01JTQPK51 Equity","PX_LAST,PX_VOLUME","1/1/2020","6/10/2026")</f>
        <v/>
      </c>
      <c r="RI3">
        <f>BDH("BBG01JTQPL40 Equity","PX_LAST,PX_VOLUME","1/1/2020","6/10/2026")</f>
        <v/>
      </c>
      <c r="RM3">
        <f>BDH("BBG01JTQPM48 Equity","PX_LAST,PX_VOLUME","1/1/2020","6/10/2026")</f>
        <v/>
      </c>
      <c r="RQ3">
        <f>BDH("BBG01JTQPN37 Equity","PX_LAST,PX_VOLUME","1/1/2020","6/10/2026")</f>
        <v/>
      </c>
      <c r="RU3">
        <f>BDH("BBG01JTQPP23 Equity","PX_LAST,PX_VOLUME","1/1/2020","6/10/2026")</f>
        <v/>
      </c>
      <c r="RY3">
        <f>BDH("BBG01JTQPQ21 Equity","PX_LAST,PX_VOLUME","1/1/2020","6/10/2026")</f>
        <v/>
      </c>
      <c r="SC3">
        <f>BDH("BBG01JTQPR10 Equity","PX_LAST,PX_VOLUME","1/1/2020","6/10/2026")</f>
        <v/>
      </c>
      <c r="SG3">
        <f>BDH("BBG01JTQPS09 Equity","PX_LAST,PX_VOLUME","1/1/2020","6/10/2026")</f>
        <v/>
      </c>
      <c r="SK3">
        <f>BDH("BBG01JTQPT07 Equity","PX_LAST,PX_VOLUME","1/1/2020","6/10/2026")</f>
        <v/>
      </c>
      <c r="SO3">
        <f>BDH("BBG01KPRDV68 Equity","PX_LAST,PX_VOLUME","1/1/2020","6/10/2026")</f>
        <v/>
      </c>
      <c r="SS3">
        <f>BDH("BBG01MXWC456 Equity","PX_LAST,PX_VOLUME","1/1/2020","6/10/2026")</f>
        <v/>
      </c>
      <c r="SW3">
        <f>BDH("BBG01MXWC580 Equity","PX_LAST,PX_VOLUME","1/1/2020","6/10/2026")</f>
        <v/>
      </c>
      <c r="TA3">
        <f>BDH("BBG01NGZ08S5 Equity","PX_LAST,PX_VOLUME","1/1/2020","6/10/2026")</f>
        <v/>
      </c>
      <c r="TE3">
        <f>BDH("BBG01MXWC6D2 Equity","PX_LAST,PX_VOLUME","1/1/2020","6/10/2026")</f>
        <v/>
      </c>
      <c r="TI3">
        <f>BDH("BBG01NGZ09X7 Equity","PX_LAST,PX_VOLUME","1/1/2020","6/10/2026")</f>
        <v/>
      </c>
      <c r="TM3">
        <f>BDH("BBG01MXWC7H6 Equity","PX_LAST,PX_VOLUME","1/1/2020","6/10/2026")</f>
        <v/>
      </c>
      <c r="TQ3">
        <f>BDH("BBG01NGZ0C06 Equity","PX_LAST,PX_VOLUME","1/1/2020","6/10/2026")</f>
        <v/>
      </c>
      <c r="TU3">
        <f>BDH("BBG01MXWC8L9 Equity","PX_LAST,PX_VOLUME","1/1/2020","6/10/2026")</f>
        <v/>
      </c>
      <c r="TY3">
        <f>BDH("BBG01NGZ0D31 Equity","PX_LAST,PX_VOLUME","1/1/2020","6/10/2026")</f>
        <v/>
      </c>
      <c r="UC3">
        <f>BDH("BBG01MXWC9Q2 Equity","PX_LAST,PX_VOLUME","1/1/2020","6/10/2026")</f>
        <v/>
      </c>
      <c r="UG3">
        <f>BDH("BBG01NGZ0F72 Equity","PX_LAST,PX_VOLUME","1/1/2020","6/10/2026")</f>
        <v/>
      </c>
      <c r="UK3">
        <f>BDH("BBG01MXWCBT4 Equity","PX_LAST,PX_VOLUME","1/1/2020","6/10/2026")</f>
        <v/>
      </c>
      <c r="UO3">
        <f>BDH("BBG01NGZ0GB5 Equity","PX_LAST,PX_VOLUME","1/1/2020","6/10/2026")</f>
        <v/>
      </c>
      <c r="US3">
        <f>BDH("BBG01MXWCCX7 Equity","PX_LAST,PX_VOLUME","1/1/2020","6/10/2026")</f>
        <v/>
      </c>
      <c r="UW3">
        <f>BDH("BBG01NGZ0HF9 Equity","PX_LAST,PX_VOLUME","1/1/2020","6/10/2026")</f>
        <v/>
      </c>
      <c r="VA3">
        <f>BDH("BBG01MXWCF15 Equity","PX_LAST,PX_VOLUME","1/1/2020","6/10/2026")</f>
        <v/>
      </c>
      <c r="VE3">
        <f>BDH("BBG01NGZ0JK9 Equity","PX_LAST,PX_VOLUME","1/1/2020","6/10/2026")</f>
        <v/>
      </c>
      <c r="VI3">
        <f>BDH("BBG01MXWCG40 Equity","PX_LAST,PX_VOLUME","1/1/2020","6/10/2026")</f>
        <v/>
      </c>
      <c r="VM3">
        <f>BDH("BBG01NGZ0KN3 Equity","PX_LAST,PX_VOLUME","1/1/2020","6/10/2026")</f>
        <v/>
      </c>
      <c r="VQ3">
        <f>BDH("BBG01MXWCH75 Equity","PX_LAST,PX_VOLUME","1/1/2020","6/10/2026")</f>
        <v/>
      </c>
      <c r="VU3">
        <f>BDH("BBG01NGZ0LS6 Equity","PX_LAST,PX_VOLUME","1/1/2020","6/10/2026")</f>
        <v/>
      </c>
      <c r="VY3">
        <f>BDH("BBG01MXWCJC5 Equity","PX_LAST,PX_VOLUME","1/1/2020","6/10/2026")</f>
        <v/>
      </c>
      <c r="WC3">
        <f>BDH("BBG01NGZ0MW9 Equity","PX_LAST,PX_VOLUME","1/1/2020","6/10/2026")</f>
        <v/>
      </c>
      <c r="WG3">
        <f>BDH("BBG01MXWCKG8 Equity","PX_LAST,PX_VOLUME","1/1/2020","6/10/2026")</f>
        <v/>
      </c>
      <c r="WK3">
        <f>BDH("BBG01NGZ0NZ4 Equity","PX_LAST,PX_VOLUME","1/1/2020","6/10/2026")</f>
        <v/>
      </c>
      <c r="WO3">
        <f>BDH("BBG01MXWCLK1 Equity","PX_LAST,PX_VOLUME","1/1/2020","6/10/2026")</f>
        <v/>
      </c>
      <c r="WS3">
        <f>BDH("BBG01MXWCMR2 Equity","PX_LAST,PX_VOLUME","1/1/2020","6/10/2026")</f>
        <v/>
      </c>
      <c r="WW3">
        <f>BDH("BBG01NHWPS55 Equity","PX_LAST,PX_VOLUME","1/1/2020","6/10/2026")</f>
        <v/>
      </c>
      <c r="XA3">
        <f>BDH("BBG01NFB9KH5 Equity","PX_LAST,PX_VOLUME","1/1/2020","6/10/2026")</f>
        <v/>
      </c>
      <c r="XE3">
        <f>BDH("BBG01NFB9LR2 Equity","PX_LAST,PX_VOLUME","1/1/2020","6/10/2026")</f>
        <v/>
      </c>
      <c r="XI3">
        <f>BDH("BBG01NFB9MV5 Equity","PX_LAST,PX_VOLUME","1/1/2020","6/10/2026")</f>
        <v/>
      </c>
      <c r="XM3">
        <f>BDH("BBG01NFB9NY0 Equity","PX_LAST,PX_VOLUME","1/1/2020","6/10/2026")</f>
        <v/>
      </c>
      <c r="XQ3">
        <f>BDH("BBG01NFB9Q37 Equity","PX_LAST,PX_VOLUME","1/1/2020","6/10/2026")</f>
        <v/>
      </c>
      <c r="XU3">
        <f>BDH("BBG01NFB9R62 Equity","PX_LAST,PX_VOLUME","1/1/2020","6/10/2026")</f>
        <v/>
      </c>
      <c r="XY3">
        <f>BDH("BBG01NFB9S97 Equity","PX_LAST,PX_VOLUME","1/1/2020","6/10/2026")</f>
        <v/>
      </c>
      <c r="YC3">
        <f>BDH("BBG01NFB9TG7 Equity","PX_LAST,PX_VOLUME","1/1/2020","6/10/2026")</f>
        <v/>
      </c>
      <c r="YG3">
        <f>BDH("BBG01NFB9VK7 Equity","PX_LAST,PX_VOLUME","1/1/2020","6/10/2026")</f>
        <v/>
      </c>
      <c r="YK3">
        <f>BDH("BBG01NFB9WQ9 Equity","PX_LAST,PX_VOLUME","1/1/2020","6/10/2026")</f>
        <v/>
      </c>
      <c r="YO3">
        <f>BDH("BBG01NFB9XT4 Equity","PX_LAST,PX_VOLUME","1/1/2020","6/10/2026")</f>
        <v/>
      </c>
      <c r="YS3">
        <f>BDH("BBG01NFB9YX7 Equity","PX_LAST,PX_VOLUME","1/1/2020","6/10/2026")</f>
        <v/>
      </c>
      <c r="YW3">
        <f>BDH("BBG01NFBB022 Equity","PX_LAST,PX_VOLUME","1/1/2020","6/10/2026")</f>
        <v/>
      </c>
      <c r="ZA3">
        <f>BDH("BBG01NFBB157 Equity","PX_LAST,PX_VOLUME","1/1/2020","6/10/2026")</f>
        <v/>
      </c>
      <c r="ZE3">
        <f>BDH("BBG01NFBB282 Equity","PX_LAST,PX_VOLUME","1/1/2020","6/10/2026")</f>
        <v/>
      </c>
      <c r="ZI3">
        <f>BDH("BBG01NFBB3D4 Equity","PX_LAST,PX_VOLUME","1/1/2020","6/10/2026")</f>
        <v/>
      </c>
      <c r="ZM3">
        <f>BDH("BBG01L4NTDZ9 Equity","PX_LAST,PX_VOLUME","1/1/2020","6/10/2026")</f>
        <v/>
      </c>
      <c r="ZQ3">
        <f>BDH("BBG01L2X8ZD7 Equity","PX_LAST,PX_VOLUME","1/1/2020","6/10/2026")</f>
        <v/>
      </c>
      <c r="ZU3">
        <f>BDH("BBG01L2X90J7 Equity","PX_LAST,PX_VOLUME","1/1/2020","6/10/2026")</f>
        <v/>
      </c>
      <c r="ZY3">
        <f>BDH("BBG01L2X91M1 Equity","PX_LAST,PX_VOLUME","1/1/2020","6/10/2026")</f>
        <v/>
      </c>
      <c r="AAC3">
        <f>BDH("BBG01L2X92Q5 Equity","PX_LAST,PX_VOLUME","1/1/2020","6/10/2026")</f>
        <v/>
      </c>
      <c r="AAG3">
        <f>BDH("BBG01L2X93V7 Equity","PX_LAST,PX_VOLUME","1/1/2020","6/10/2026")</f>
        <v/>
      </c>
      <c r="AAK3">
        <f>BDH("BBG01L2X94Y2 Equity","PX_LAST,PX_VOLUME","1/1/2020","6/10/2026")</f>
        <v/>
      </c>
      <c r="AAO3">
        <f>BDH("BBG01L2X9613 Equity","PX_LAST,PX_VOLUME","1/1/2020","6/10/2026")</f>
        <v/>
      </c>
      <c r="AAS3">
        <f>BDH("BBG01L2X9757 Equity","PX_LAST,PX_VOLUME","1/1/2020","6/10/2026")</f>
        <v/>
      </c>
      <c r="AAW3">
        <f>BDH("BBG01L2X9882 Equity","PX_LAST,PX_VOLUME","1/1/2020","6/10/2026")</f>
        <v/>
      </c>
      <c r="ABA3">
        <f>BDH("BBG01L2X99C5 Equity","PX_LAST,PX_VOLUME","1/1/2020","6/10/2026")</f>
        <v/>
      </c>
      <c r="ABE3">
        <f>BDH("BBG01L2X9BH5 Equity","PX_LAST,PX_VOLUME","1/1/2020","6/10/2026")</f>
        <v/>
      </c>
      <c r="ABI3">
        <f>BDH("BBG01L2X9CL8 Equity","PX_LAST,PX_VOLUME","1/1/2020","6/10/2026")</f>
        <v/>
      </c>
      <c r="ABM3">
        <f>BDH("BBG01L2X9DP2 Equity","PX_LAST,PX_VOLUME","1/1/2020","6/10/2026")</f>
        <v/>
      </c>
      <c r="ABQ3">
        <f>BDH("BBG01L2X9FT3 Equity","PX_LAST,PX_VOLUME","1/1/2020","6/10/2026")</f>
        <v/>
      </c>
      <c r="ABU3">
        <f>BDH("BBG01L2X9GX6 Equity","PX_LAST,PX_VOLUME","1/1/2020","6/10/2026")</f>
        <v/>
      </c>
      <c r="ABY3">
        <f>BDH("BBG01L2X9J06 Equity","PX_LAST,PX_VOLUME","1/1/2020","6/10/2026")</f>
        <v/>
      </c>
      <c r="ACC3">
        <f>BDH("BBG01L2X9K49 Equity","PX_LAST,PX_VOLUME","1/1/2020","6/10/2026")</f>
        <v/>
      </c>
      <c r="ACG3">
        <f>BDH("BBG01L2X9L74 Equity","PX_LAST,PX_VOLUME","1/1/2020","6/10/2026")</f>
        <v/>
      </c>
      <c r="ACK3">
        <f>BDH("BBG01L2X9MB7 Equity","PX_LAST,PX_VOLUME","1/1/2020","6/10/2026")</f>
        <v/>
      </c>
      <c r="ACO3">
        <f>BDH("BBG01L2X9NG0 Equity","PX_LAST,PX_VOLUME","1/1/2020","6/10/2026")</f>
        <v/>
      </c>
      <c r="ACS3">
        <f>BDH("BBG01L2X9PK0 Equity","PX_LAST,PX_VOLUME","1/1/2020","6/10/2026")</f>
        <v/>
      </c>
      <c r="ACW3">
        <f>BDH("BBG01PB1M316 Equity","PX_LAST,PX_VOLUME","1/1/2020","6/10/2026")</f>
        <v/>
      </c>
      <c r="ADA3">
        <f>BDH("BBG01PB1LLY1 Equity","PX_LAST,PX_VOLUME","1/1/2020","6/10/2026")</f>
        <v/>
      </c>
      <c r="ADE3">
        <f>BDH("BBG01PB1LKV6 Equity","PX_LAST,PX_VOLUME","1/1/2020","6/10/2026")</f>
        <v/>
      </c>
      <c r="ADI3">
        <f>BDH("BBG01PB1KS31 Equity","PX_LAST,PX_VOLUME","1/1/2020","6/10/2026")</f>
        <v/>
      </c>
      <c r="ADM3">
        <f>BDH("BBG01PB1MNL0 Equity","PX_LAST,PX_VOLUME","1/1/2020","6/10/2026")</f>
        <v/>
      </c>
      <c r="ADQ3">
        <f>BDH("BBG01PB1M986 Equity","PX_LAST,PX_VOLUME","1/1/2020","6/10/2026")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S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BBG01PZFD5G8 Equity (TSLL US 10/18/24 P6.5)</t>
        </is>
      </c>
      <c r="E1" t="inlineStr">
        <is>
          <t>BBG01PB1MLY0 Equity (TSLL US 10/18/24 P7)</t>
        </is>
      </c>
      <c r="I1" t="inlineStr">
        <is>
          <t>BBG01PZFFT01 Equity (TSLL US 10/18/24 P7.5)</t>
        </is>
      </c>
      <c r="M1" t="inlineStr">
        <is>
          <t>BBG01PB1M8Q8 Equity (TSLL US 10/18/24 P8)</t>
        </is>
      </c>
      <c r="Q1" t="inlineStr">
        <is>
          <t>BBG01PZFFV79 Equity (TSLL US 10/18/24 P8.5)</t>
        </is>
      </c>
      <c r="U1" t="inlineStr">
        <is>
          <t>BBG01PB1LZ07 Equity (TSLL US 10/18/24 P9)</t>
        </is>
      </c>
      <c r="Y1" t="inlineStr">
        <is>
          <t>BBG01PZFGH24 Equity (TSLL US 10/18/24 P9.5)</t>
        </is>
      </c>
      <c r="AC1" t="inlineStr">
        <is>
          <t>BBG01PB1MMH7 Equity (TSLL US 10/18/24 P10)</t>
        </is>
      </c>
      <c r="AG1" t="inlineStr">
        <is>
          <t>BBG01PZFFTM7 Equity (TSLL US 10/18/24 P10.5)</t>
        </is>
      </c>
      <c r="AK1" t="inlineStr">
        <is>
          <t>BBG01PB1MN12 Equity (TSLL US 10/18/24 P11)</t>
        </is>
      </c>
      <c r="AO1" t="inlineStr">
        <is>
          <t>BBG01PZFGJX6 Equity (TSLL US 10/18/24 P11.5)</t>
        </is>
      </c>
      <c r="AS1" t="inlineStr">
        <is>
          <t>BBG01PB1LYG3 Equity (TSLL US 10/18/24 P12)</t>
        </is>
      </c>
      <c r="AW1" t="inlineStr">
        <is>
          <t>BBG01PZFGLG0 Equity (TSLL US 10/18/24 P12.5)</t>
        </is>
      </c>
      <c r="BA1" t="inlineStr">
        <is>
          <t>BBG01PB1LLD4 Equity (TSLL US 10/18/24 P13)</t>
        </is>
      </c>
      <c r="BE1" t="inlineStr">
        <is>
          <t>BBG01PZFGHP9 Equity (TSLL US 10/18/24 P13.5)</t>
        </is>
      </c>
      <c r="BI1" t="inlineStr">
        <is>
          <t>BBG01PB1KRK4 Equity (TSLL US 10/18/24 P14)</t>
        </is>
      </c>
      <c r="BM1" t="inlineStr">
        <is>
          <t>BBG01PZFGM23 Equity (TSLL US 10/18/24 P14.5)</t>
        </is>
      </c>
      <c r="BQ1" t="inlineStr">
        <is>
          <t>BBG01PB1MLD3 Equity (TSLL US 10/18/24 P15)</t>
        </is>
      </c>
      <c r="BU1" t="inlineStr">
        <is>
          <t>BBG01PZFGJ93 Equity (TSLL US 10/18/24 P15.5)</t>
        </is>
      </c>
      <c r="BY1" t="inlineStr">
        <is>
          <t>BBG01PB1M7V4 Equity (TSLL US 10/18/24 P16)</t>
        </is>
      </c>
      <c r="CC1" t="inlineStr">
        <is>
          <t>BBG01PB1KR06 Equity (TSLL US 10/18/24 P17)</t>
        </is>
      </c>
      <c r="CG1" t="inlineStr">
        <is>
          <t>BBG01PB1M851 Equity (TSLL US 10/18/24 P18)</t>
        </is>
      </c>
      <c r="CK1" t="inlineStr">
        <is>
          <t>BBG01PCSZHD8 Equity (TSLL US 10/18/24 P19)</t>
        </is>
      </c>
      <c r="CO1" t="inlineStr">
        <is>
          <t>BBG01PCSZHY5 Equity (TSLL US 10/18/24 P20)</t>
        </is>
      </c>
      <c r="CS1" t="inlineStr">
        <is>
          <t>BBG01PMGGMS7 Equity (TSLL US 10/18/24 P21)</t>
        </is>
      </c>
      <c r="CW1" t="inlineStr">
        <is>
          <t>BBG01PMGGM61 Equity (TSLL US 10/18/24 P22)</t>
        </is>
      </c>
      <c r="DA1" t="inlineStr">
        <is>
          <t>BBG01PYDT9F0 Equity (TSLL US 10/18/24 P23)</t>
        </is>
      </c>
      <c r="DE1" t="inlineStr">
        <is>
          <t>BBG01Q0LG4P1 Equity (TSLL US 10/18/24 P25)</t>
        </is>
      </c>
      <c r="DI1" t="inlineStr">
        <is>
          <t>BBG01PX6LZH4 Equity (TSLL US 11/15/24 P1)</t>
        </is>
      </c>
      <c r="DM1" t="inlineStr">
        <is>
          <t>BBG01PX6M5L4 Equity (TSLL US 11/15/24 P2)</t>
        </is>
      </c>
      <c r="DQ1" t="inlineStr">
        <is>
          <t>BBG01PX6MKR5 Equity (TSLL US 11/15/24 P3)</t>
        </is>
      </c>
      <c r="DU1" t="inlineStr">
        <is>
          <t>BBG01PX6M9B7 Equity (TSLL US 11/15/24 P4)</t>
        </is>
      </c>
      <c r="DY1" t="inlineStr">
        <is>
          <t>BBG01PX6LCW8 Equity (TSLL US 11/15/24 P5)</t>
        </is>
      </c>
      <c r="EC1" t="inlineStr">
        <is>
          <t>BBG01PX6LKP8 Equity (TSLL US 11/15/24 P6)</t>
        </is>
      </c>
      <c r="EG1" t="inlineStr">
        <is>
          <t>BBG01PX6LK23 Equity (TSLL US 11/15/24 P7)</t>
        </is>
      </c>
      <c r="EK1" t="inlineStr">
        <is>
          <t>BBG01PX6M6T4 Equity (TSLL US 11/15/24 P8)</t>
        </is>
      </c>
      <c r="EO1" t="inlineStr">
        <is>
          <t>BBG01PX6KNY3 Equity (TSLL US 11/15/24 P9)</t>
        </is>
      </c>
      <c r="ES1" t="inlineStr">
        <is>
          <t>BBG01PX6KK15 Equity (TSLL US 11/15/24 P10)</t>
        </is>
      </c>
      <c r="EW1" t="inlineStr">
        <is>
          <t>BBG01PX6LY87 Equity (TSLL US 11/15/24 P11)</t>
        </is>
      </c>
      <c r="FA1" t="inlineStr">
        <is>
          <t>BBG01PX6M8Q3 Equity (TSLL US 11/15/24 P12)</t>
        </is>
      </c>
      <c r="FE1" t="inlineStr">
        <is>
          <t>BBG01PX6MLC9 Equity (TSLL US 11/15/24 P13)</t>
        </is>
      </c>
      <c r="FI1" t="inlineStr">
        <is>
          <t>BBG01PX6M838 Equity (TSLL US 11/15/24 P14)</t>
        </is>
      </c>
      <c r="FM1" t="inlineStr">
        <is>
          <t>BBG01PX6LYW0 Equity (TSLL US 11/15/24 P15)</t>
        </is>
      </c>
      <c r="FQ1" t="inlineStr">
        <is>
          <t>BBG01PX6KKN1 Equity (TSLL US 11/15/24 P16)</t>
        </is>
      </c>
      <c r="FU1" t="inlineStr">
        <is>
          <t>BBG01PX6M7F7 Equity (TSLL US 11/15/24 P17)</t>
        </is>
      </c>
      <c r="FY1" t="inlineStr">
        <is>
          <t>BBG01PX6M669 Equity (TSLL US 11/15/24 P18)</t>
        </is>
      </c>
      <c r="GC1" t="inlineStr">
        <is>
          <t>BBG01PX6KNB8 Equity (TSLL US 11/15/24 P19)</t>
        </is>
      </c>
      <c r="GG1" t="inlineStr">
        <is>
          <t>BBG01PX6LJG1 Equity (TSLL US 11/15/24 P20)</t>
        </is>
      </c>
      <c r="GK1" t="inlineStr">
        <is>
          <t>BBG01PX6LDH3 Equity (TSLL US 11/15/24 P21)</t>
        </is>
      </c>
      <c r="GO1" t="inlineStr">
        <is>
          <t>BBG01PYDSSM1 Equity (TSLL US 11/15/24 P22)</t>
        </is>
      </c>
      <c r="GS1" t="inlineStr">
        <is>
          <t>BBG01PYDST76 Equity (TSLL US 11/15/24 P23)</t>
        </is>
      </c>
      <c r="GW1" t="inlineStr">
        <is>
          <t>BBG01Q04R4P7 Equity (TSLL US 11/15/24 P25)</t>
        </is>
      </c>
      <c r="HA1" t="inlineStr">
        <is>
          <t>BBG01MJ2XWD4 Equity (TSLL US 12/20/24 P0.7)</t>
        </is>
      </c>
      <c r="HE1" t="inlineStr">
        <is>
          <t>BBG01MJ2XXH8 Equity (TSLL US 12/20/24 P1.7)</t>
        </is>
      </c>
      <c r="HI1" t="inlineStr">
        <is>
          <t>BBG01MJ2XYM0 Equity (TSLL US 12/20/24 P2.7)</t>
        </is>
      </c>
      <c r="HM1" t="inlineStr">
        <is>
          <t>BBG01MJ2XZQ3 Equity (TSLL US 12/20/24 P3.7)</t>
        </is>
      </c>
      <c r="HQ1" t="inlineStr">
        <is>
          <t>BBG01MJ2Y0T6 Equity (TSLL US 12/20/24 P4.7)</t>
        </is>
      </c>
      <c r="HU1" t="inlineStr">
        <is>
          <t>BBG01MJ2Y1Z7 Equity (TSLL US 12/20/24 P5.7)</t>
        </is>
      </c>
      <c r="HY1" t="inlineStr">
        <is>
          <t>BBG01MJ2Y329 Equity (TSLL US 12/20/24 P6.7)</t>
        </is>
      </c>
      <c r="IC1" t="inlineStr">
        <is>
          <t>BBG01MJ2Y454 Equity (TSLL US 12/20/24 P7.7)</t>
        </is>
      </c>
      <c r="IG1" t="inlineStr">
        <is>
          <t>BBG01MJ2Y597 Equity (TSLL US 12/20/24 P8.7)</t>
        </is>
      </c>
      <c r="IK1" t="inlineStr">
        <is>
          <t>BBG01MJ2Y6D0 Equity (TSLL US 12/20/24 P9.7)</t>
        </is>
      </c>
      <c r="IO1" t="inlineStr">
        <is>
          <t>BBG01MJ2Y7H4 Equity (TSLL US 12/20/24 P10.7)</t>
        </is>
      </c>
      <c r="IS1" t="inlineStr">
        <is>
          <t>BBG01MJ2Y8M6 Equity (TSLL US 12/20/24 P11.7)</t>
        </is>
      </c>
      <c r="IW1" t="inlineStr">
        <is>
          <t>BBG01MP8ZK48 Equity (TSLL US 12/20/24 P12.7)</t>
        </is>
      </c>
      <c r="JA1" t="inlineStr">
        <is>
          <t>BBG01MP8ZL73 Equity (TSLL US 12/20/24 P13.7)</t>
        </is>
      </c>
      <c r="JE1" t="inlineStr">
        <is>
          <t>BBG01MP8ZMB6 Equity (TSLL US 12/20/24 P14.7)</t>
        </is>
      </c>
      <c r="JI1" t="inlineStr">
        <is>
          <t>BBG01MP8ZNG9 Equity (TSLL US 12/20/24 P15.7)</t>
        </is>
      </c>
      <c r="JM1" t="inlineStr">
        <is>
          <t>BBG01MP8ZPK9 Equity (TSLL US 12/20/24 P16.7)</t>
        </is>
      </c>
      <c r="JQ1" t="inlineStr">
        <is>
          <t>BBG01NMLMGB5 Equity (TSLL US 12/20/24 P17.7)</t>
        </is>
      </c>
      <c r="JU1" t="inlineStr">
        <is>
          <t>BBG01NMLN6J8 Equity (TSLL US 12/20/24 P18.7)</t>
        </is>
      </c>
      <c r="JY1" t="inlineStr">
        <is>
          <t>BBG01NMLMFS9 Equity (TSLL US 12/20/24 P19.7)</t>
        </is>
      </c>
      <c r="KC1" t="inlineStr">
        <is>
          <t>BBG01NNBR3K0 Equity (TSLL US 12/20/24 P20.7)</t>
        </is>
      </c>
      <c r="KG1" t="inlineStr">
        <is>
          <t>BBG01NNBR437 Equity (TSLL US 12/20/24 P21.7)</t>
        </is>
      </c>
      <c r="KK1" t="inlineStr">
        <is>
          <t>BBG01NNBR302 Equity (TSLL US 12/20/24 P22.7)</t>
        </is>
      </c>
      <c r="KO1" t="inlineStr">
        <is>
          <t>BBG01NQ2C341 Equity (TSLL US 12/20/24 P24.7)</t>
        </is>
      </c>
      <c r="KS1" t="inlineStr">
        <is>
          <t>BBG01NQ2C3P8 Equity (TSLL US 12/20/24 P29.7)</t>
        </is>
      </c>
      <c r="KW1" t="inlineStr">
        <is>
          <t>BBG01JWHK2L4 Equity (TSLL US 01/17/25 P0.43)</t>
        </is>
      </c>
      <c r="LA1" t="inlineStr">
        <is>
          <t>BBG01JWHK3K3 Equity (TSLL US 01/17/25 P1.43)</t>
        </is>
      </c>
      <c r="LE1" t="inlineStr">
        <is>
          <t>BBG01JWHK4K1 Equity (TSLL US 01/17/25 P2.43)</t>
        </is>
      </c>
      <c r="LI1" t="inlineStr">
        <is>
          <t>BBG01JWHK5J0 Equity (TSLL US 01/17/25 P3.43)</t>
        </is>
      </c>
      <c r="LM1" t="inlineStr">
        <is>
          <t>BBG01J9PCTK3 Equity (TSLL US 01/17/25 P4.43)</t>
        </is>
      </c>
      <c r="LQ1" t="inlineStr">
        <is>
          <t>BBG01JWHK6H0 Equity (TSLL US 01/17/25 P5.43)</t>
        </is>
      </c>
      <c r="LU1" t="inlineStr">
        <is>
          <t>BBG01JWHK7H8 Equity (TSLL US 01/17/25 P6.43)</t>
        </is>
      </c>
      <c r="LY1" t="inlineStr">
        <is>
          <t>BBG01JWHK8G7 Equity (TSLL US 01/17/25 P7.43)</t>
        </is>
      </c>
      <c r="MC1" t="inlineStr">
        <is>
          <t>BBG01JWHK9F6 Equity (TSLL US 01/17/25 P8.43)</t>
        </is>
      </c>
      <c r="MG1" t="inlineStr">
        <is>
          <t>BBG01J9PCVJ0 Equity (TSLL US 01/17/25 P9.43)</t>
        </is>
      </c>
      <c r="MK1" t="inlineStr">
        <is>
          <t>BBG01JWHKBF1 Equity (TSLL US 01/17/25 P10.43)</t>
        </is>
      </c>
      <c r="MO1" t="inlineStr">
        <is>
          <t>BBG01JWHKCD1 Equity (TSLL US 01/17/25 P11.43)</t>
        </is>
      </c>
      <c r="MS1" t="inlineStr">
        <is>
          <t>BBG01JWHKDC0 Equity (TSLL US 01/17/25 P12.43)</t>
        </is>
      </c>
      <c r="MW1" t="inlineStr">
        <is>
          <t>BBG01J9FKWX5 Equity (TSLL US 01/17/25 P13.43)</t>
        </is>
      </c>
      <c r="NA1" t="inlineStr">
        <is>
          <t>BBG01J9FKXW4 Equity (TSLL US 01/17/25 P14.43)</t>
        </is>
      </c>
      <c r="NE1" t="inlineStr">
        <is>
          <t>BBG01J9FKYV3 Equity (TSLL US 01/17/25 P15.43)</t>
        </is>
      </c>
      <c r="NI1" t="inlineStr">
        <is>
          <t>BBG01J9FKZV0 Equity (TSLL US 01/17/25 P16.43)</t>
        </is>
      </c>
      <c r="NM1" t="inlineStr">
        <is>
          <t>BBG01J9FL0T9 Equity (TSLL US 01/17/25 P17.43)</t>
        </is>
      </c>
      <c r="NQ1" t="inlineStr">
        <is>
          <t>BBG01JWHKFB6 Equity (TSLL US 01/17/25 P18.43)</t>
        </is>
      </c>
      <c r="NU1" t="inlineStr">
        <is>
          <t>BBG01J9PCWH0 Equity (TSLL US 01/17/25 P19.43)</t>
        </is>
      </c>
      <c r="NY1" t="inlineStr">
        <is>
          <t>BBG01JWHKGB4 Equity (TSLL US 01/17/25 P20.43)</t>
        </is>
      </c>
      <c r="OC1" t="inlineStr">
        <is>
          <t>BBG01JWHKH95 Equity (TSLL US 01/17/25 P21.43)</t>
        </is>
      </c>
      <c r="OG1" t="inlineStr">
        <is>
          <t>BBG01JWHKJ82 Equity (TSLL US 01/17/25 P22.43)</t>
        </is>
      </c>
      <c r="OK1" t="inlineStr">
        <is>
          <t>BBG01JWHKK89 Equity (TSLL US 01/17/25 P23.43)</t>
        </is>
      </c>
      <c r="OO1" t="inlineStr">
        <is>
          <t>BBG01J9PCXH8 Equity (TSLL US 01/17/25 P24.43)</t>
        </is>
      </c>
      <c r="OS1" t="inlineStr">
        <is>
          <t>BBG01QVGV9B5 Equity (TSLL US 01/17/25 P25.7)</t>
        </is>
      </c>
      <c r="OW1" t="inlineStr">
        <is>
          <t>BBG01QVGV9Y0 Equity (TSLL US 01/17/25 P26.7)</t>
        </is>
      </c>
      <c r="PA1" t="inlineStr">
        <is>
          <t>BBG01QVGV8Q1 Equity (TSLL US 01/17/25 P27.7)</t>
        </is>
      </c>
      <c r="PE1" t="inlineStr">
        <is>
          <t>BBG01J9PCYG7 Equity (TSLL US 01/17/25 P29.43)</t>
        </is>
      </c>
      <c r="PI1" t="inlineStr">
        <is>
          <t>BBG01R6BM655 Equity (TSLL US 01/17/25 P30.7)</t>
        </is>
      </c>
      <c r="PM1" t="inlineStr">
        <is>
          <t>BBG01R6BM6S0 Equity (TSLL US 01/17/25 P31.7)</t>
        </is>
      </c>
      <c r="PQ1" t="inlineStr">
        <is>
          <t>BBG01R6BM806 Equity (TSLL US 01/17/25 P32.7)</t>
        </is>
      </c>
      <c r="PU1" t="inlineStr">
        <is>
          <t>BBG01R6BM7D4 Equity (TSLL US 01/17/25 P33.7)</t>
        </is>
      </c>
      <c r="PY1" t="inlineStr">
        <is>
          <t>BBG01J9PCZF5 Equity (TSLL US 01/17/25 P34.43)</t>
        </is>
      </c>
      <c r="QC1" t="inlineStr">
        <is>
          <t>BBG01R6BMJY5 Equity (TSLL US 01/17/25 P34.7)</t>
        </is>
      </c>
      <c r="QG1" t="inlineStr">
        <is>
          <t>BBG01R6BL095 Equity (TSLL US 01/17/25 P35.7)</t>
        </is>
      </c>
      <c r="QK1" t="inlineStr">
        <is>
          <t>BBG01R8RV033 Equity (TSLL US 01/17/25 P36)</t>
        </is>
      </c>
      <c r="QO1" t="inlineStr">
        <is>
          <t>BBG01R6BMJB0 Equity (TSLL US 01/17/25 P36.7)</t>
        </is>
      </c>
      <c r="QS1" t="inlineStr">
        <is>
          <t>BBG01R8RTYD1 Equity (TSLL US 01/17/25 P37)</t>
        </is>
      </c>
      <c r="QW1" t="inlineStr">
        <is>
          <t>BBG01R6BKHX2 Equity (TSLL US 01/17/25 P37.7)</t>
        </is>
      </c>
      <c r="RA1" t="inlineStr">
        <is>
          <t>BBG01R8RTTZ8 Equity (TSLL US 01/17/25 P38)</t>
        </is>
      </c>
      <c r="RE1" t="inlineStr">
        <is>
          <t>BBG01R6BL0X8 Equity (TSLL US 01/17/25 P38.7)</t>
        </is>
      </c>
      <c r="RI1" t="inlineStr">
        <is>
          <t>BBG01R8RV0L3 Equity (TSLL US 01/17/25 P39)</t>
        </is>
      </c>
      <c r="RM1" t="inlineStr">
        <is>
          <t>BBG01R6BMHQ8 Equity (TSLL US 01/17/25 P39.7)</t>
        </is>
      </c>
      <c r="RQ1" t="inlineStr">
        <is>
          <t>BBG01R8RV1M0 Equity (TSLL US 01/17/25 P40)</t>
        </is>
      </c>
      <c r="RU1" t="inlineStr">
        <is>
          <t>BBG01R8RTCY6 Equity (TSLL US 01/17/25 P41)</t>
        </is>
      </c>
      <c r="RY1" t="inlineStr">
        <is>
          <t>BBG01R8RTW63 Equity (TSLL US 01/17/25 P42)</t>
        </is>
      </c>
      <c r="SC1" t="inlineStr">
        <is>
          <t>BBG01R8RTZ02 Equity (TSLL US 01/17/25 P43)</t>
        </is>
      </c>
      <c r="SG1" t="inlineStr">
        <is>
          <t>BBG01R8RTZM8 Equity (TSLL US 01/17/25 P44)</t>
        </is>
      </c>
      <c r="SK1" t="inlineStr">
        <is>
          <t>BBG01R8RV275 Equity (TSLL US 01/17/25 P45)</t>
        </is>
      </c>
      <c r="SO1" t="inlineStr">
        <is>
          <t>BBG01R8RSKX0 Equity (TSLL US 01/17/25 P46)</t>
        </is>
      </c>
      <c r="SS1" t="inlineStr">
        <is>
          <t>BBG01R8RTDK9 Equity (TSLL US 01/17/25 P47)</t>
        </is>
      </c>
      <c r="SW1" t="inlineStr">
        <is>
          <t>BBG01R8RTVL8 Equity (TSLL US 01/17/25 P48)</t>
        </is>
      </c>
      <c r="TA1" t="inlineStr">
        <is>
          <t>BBG01R97QK38 Equity (TSLL US 01/17/25 P49)</t>
        </is>
      </c>
      <c r="TE1" t="inlineStr">
        <is>
          <t>BBG01R9PVBJ5 Equity (TSLL US 01/17/25 P50)</t>
        </is>
      </c>
      <c r="TI1" t="inlineStr">
        <is>
          <t>BBG01R9PSRB2 Equity (TSLL US 01/17/25 P51)</t>
        </is>
      </c>
      <c r="TM1" t="inlineStr">
        <is>
          <t>BBG01R9PVDC8 Equity (TSLL US 01/17/25 P52)</t>
        </is>
      </c>
      <c r="TQ1" t="inlineStr">
        <is>
          <t>BBG01R9PTRM9 Equity (TSLL US 01/17/25 P53)</t>
        </is>
      </c>
      <c r="TU1" t="inlineStr">
        <is>
          <t>BBG01R9PVCR4 Equity (TSLL US 01/17/25 P54)</t>
        </is>
      </c>
      <c r="TY1" t="inlineStr">
        <is>
          <t>BBG01R9PTS74 Equity (TSLL US 01/17/25 P55)</t>
        </is>
      </c>
      <c r="UC1" t="inlineStr">
        <is>
          <t>BBG01R9PVC49 Equity (TSLL US 01/17/25 P56)</t>
        </is>
      </c>
      <c r="UG1" t="inlineStr">
        <is>
          <t>BBG01RB3BCF5 Equity (TSLL US 01/17/25 P57)</t>
        </is>
      </c>
      <c r="UK1" t="inlineStr">
        <is>
          <t>BBG01RB3B9L5 Equity (TSLL US 01/17/25 P58)</t>
        </is>
      </c>
      <c r="UO1" t="inlineStr">
        <is>
          <t>BBG01RB3BBT2 Equity (TSLL US 01/17/25 P59)</t>
        </is>
      </c>
      <c r="US1" t="inlineStr">
        <is>
          <t>BBG01RB39K60 Equity (TSLL US 01/17/25 P60)</t>
        </is>
      </c>
      <c r="UW1" t="inlineStr">
        <is>
          <t>BBG01RB3BB67 Equity (TSLL US 01/17/25 P61)</t>
        </is>
      </c>
      <c r="VA1" t="inlineStr">
        <is>
          <t>BBG01RFSR804 Equity (TSLL US 02/21/25 P16)</t>
        </is>
      </c>
      <c r="VE1" t="inlineStr">
        <is>
          <t>BBG01RFSRV21 Equity (TSLL US 02/21/25 P17)</t>
        </is>
      </c>
      <c r="VI1" t="inlineStr">
        <is>
          <t>BBG01RFSRWX5 Equity (TSLL US 02/21/25 P18)</t>
        </is>
      </c>
      <c r="VM1" t="inlineStr">
        <is>
          <t>BBG01RFSRXJ9 Equity (TSLL US 02/21/25 P19)</t>
        </is>
      </c>
      <c r="VQ1" t="inlineStr">
        <is>
          <t>BBG01RFSR8M0 Equity (TSLL US 02/21/25 P20)</t>
        </is>
      </c>
      <c r="VU1" t="inlineStr">
        <is>
          <t>BBG01RFSS6G0 Equity (TSLL US 02/21/25 P21)</t>
        </is>
      </c>
      <c r="VY1" t="inlineStr">
        <is>
          <t>BBG01RFSS5V5 Equity (TSLL US 02/21/25 P22)</t>
        </is>
      </c>
      <c r="WC1" t="inlineStr">
        <is>
          <t>BBG01RFSRW92 Equity (TSLL US 02/21/25 P23)</t>
        </is>
      </c>
      <c r="WG1" t="inlineStr">
        <is>
          <t>BBG01RFSRYB5 Equity (TSLL US 02/21/25 P24)</t>
        </is>
      </c>
      <c r="WK1" t="inlineStr">
        <is>
          <t>BBG01RFSR7D2 Equity (TSLL US 02/21/25 P25)</t>
        </is>
      </c>
      <c r="WO1" t="inlineStr">
        <is>
          <t>BBG01RFSRXQ1 Equity (TSLL US 02/21/25 P26)</t>
        </is>
      </c>
      <c r="WS1" t="inlineStr">
        <is>
          <t>BBG01RFSRVP6 Equity (TSLL US 02/21/25 P27)</t>
        </is>
      </c>
      <c r="WW1" t="inlineStr">
        <is>
          <t>BBG01RFSS572 Equity (TSLL US 02/21/25 P28)</t>
        </is>
      </c>
      <c r="XA1" t="inlineStr">
        <is>
          <t>BBG01RDP8KF0 Equity (TSLL US 02/21/25 P29)</t>
        </is>
      </c>
      <c r="XE1" t="inlineStr">
        <is>
          <t>BBG01RDP8956 Equity (TSLL US 02/21/25 P30)</t>
        </is>
      </c>
      <c r="XI1" t="inlineStr">
        <is>
          <t>BBG01RDP9VT0 Equity (TSLL US 02/21/25 P31)</t>
        </is>
      </c>
      <c r="XM1" t="inlineStr">
        <is>
          <t>BBG01RDP8L13 Equity (TSLL US 02/21/25 P32)</t>
        </is>
      </c>
      <c r="XQ1" t="inlineStr">
        <is>
          <t>BBG01RDP9LR4 Equity (TSLL US 02/21/25 P33)</t>
        </is>
      </c>
      <c r="XU1" t="inlineStr">
        <is>
          <t>BBG01RDP87Y8 Equity (TSLL US 02/21/25 P34)</t>
        </is>
      </c>
      <c r="XY1" t="inlineStr">
        <is>
          <t>BBG01RDP87B3 Equity (TSLL US 02/21/25 P35)</t>
        </is>
      </c>
      <c r="YC1" t="inlineStr">
        <is>
          <t>BBG01RDP9TL3 Equity (TSLL US 02/21/25 P36)</t>
        </is>
      </c>
      <c r="YG1" t="inlineStr">
        <is>
          <t>BBG01RDP9L49 Equity (TSLL US 02/21/25 P37)</t>
        </is>
      </c>
      <c r="YK1" t="inlineStr">
        <is>
          <t>BBG01RDP9MC8 Equity (TSLL US 02/21/25 P38)</t>
        </is>
      </c>
      <c r="YO1" t="inlineStr">
        <is>
          <t>BBG01RDP9V65 Equity (TSLL US 02/21/25 P39)</t>
        </is>
      </c>
      <c r="YS1" t="inlineStr">
        <is>
          <t>BBG01RDP9SZ0 Equity (TSLL US 02/21/25 P40)</t>
        </is>
      </c>
      <c r="YW1" t="inlineStr">
        <is>
          <t>BBG01RDPB3J0 Equity (TSLL US 02/21/25 P41)</t>
        </is>
      </c>
      <c r="ZA1" t="inlineStr">
        <is>
          <t>BBG01RDP8LN9 Equity (TSLL US 02/21/25 P42)</t>
        </is>
      </c>
      <c r="ZE1" t="inlineStr">
        <is>
          <t>BBG01RDP89S1 Equity (TSLL US 02/21/25 P43)</t>
        </is>
      </c>
      <c r="ZI1" t="inlineStr">
        <is>
          <t>BBG01RDP88K1 Equity (TSLL US 02/21/25 P44)</t>
        </is>
      </c>
      <c r="ZM1" t="inlineStr">
        <is>
          <t>BBG01RDP9WF3 Equity (TSLL US 02/21/25 P45)</t>
        </is>
      </c>
      <c r="ZQ1" t="inlineStr">
        <is>
          <t>BBG01RDP8M84 Equity (TSLL US 02/21/25 P46)</t>
        </is>
      </c>
      <c r="ZU1" t="inlineStr">
        <is>
          <t>BBG01RDP9MZ3 Equity (TSLL US 02/21/25 P47)</t>
        </is>
      </c>
      <c r="ZY1" t="inlineStr">
        <is>
          <t>BBG01RDP9NL6 Equity (TSLL US 02/21/25 P48)</t>
        </is>
      </c>
      <c r="AAC1" t="inlineStr">
        <is>
          <t>BBG01RDPB033 Equity (TSLL US 02/21/25 P49)</t>
        </is>
      </c>
      <c r="AAG1" t="inlineStr">
        <is>
          <t>BBG01P09VZX5 Equity (TSLL US 03/21/25 P0.7)</t>
        </is>
      </c>
      <c r="AAK1" t="inlineStr">
        <is>
          <t>BBG01P09W0G0 Equity (TSLL US 03/21/25 P1.7)</t>
        </is>
      </c>
      <c r="AAO1" t="inlineStr">
        <is>
          <t>BBG01P09VZC8 Equity (TSLL US 03/21/25 P2.7)</t>
        </is>
      </c>
      <c r="AAS1" t="inlineStr">
        <is>
          <t>BBG01P09VYT3 Equity (TSLL US 03/21/25 P3.7)</t>
        </is>
      </c>
      <c r="AAW1" t="inlineStr">
        <is>
          <t>BBG01NWB9PC0 Equity (TSLL US 03/21/25 P4.7)</t>
        </is>
      </c>
      <c r="ABA1" t="inlineStr">
        <is>
          <t>BBG01NWBC2R1 Equity (TSLL US 03/21/25 P5.7)</t>
        </is>
      </c>
      <c r="ABE1" t="inlineStr">
        <is>
          <t>BBG01NWBBTM8 Equity (TSLL US 03/21/25 P6.7)</t>
        </is>
      </c>
      <c r="ABI1" t="inlineStr">
        <is>
          <t>BBG01NWB9NT7 Equity (TSLL US 03/21/25 P7.7)</t>
        </is>
      </c>
      <c r="ABM1" t="inlineStr">
        <is>
          <t>BBG01NWBC692 Equity (TSLL US 03/21/25 P8.7)</t>
        </is>
      </c>
      <c r="ABQ1" t="inlineStr">
        <is>
          <t>BBG01NWBC1N7 Equity (TSLL US 03/21/25 P9.7)</t>
        </is>
      </c>
      <c r="ABU1" t="inlineStr">
        <is>
          <t>BBG01NWB9N80 Equity (TSLL US 03/21/25 P10.7)</t>
        </is>
      </c>
      <c r="ABY1" t="inlineStr">
        <is>
          <t>BBG01NWBBPR1 Equity (TSLL US 03/21/25 P11.7)</t>
        </is>
      </c>
      <c r="ACC1" t="inlineStr">
        <is>
          <t>BBG01NWB8R91 Equity (TSLL US 03/21/25 P12.7)</t>
        </is>
      </c>
      <c r="ACG1" t="inlineStr">
        <is>
          <t>BBG01NWBBNN0 Equity (TSLL US 03/21/25 P13.7)</t>
        </is>
      </c>
      <c r="ACK1" t="inlineStr">
        <is>
          <t>BBG01NWBCJ67 Equity (TSLL US 03/21/25 P14.7)</t>
        </is>
      </c>
      <c r="ACO1" t="inlineStr">
        <is>
          <t>BBG01NWBC264 Equity (TSLL US 03/21/25 P15.7)</t>
        </is>
      </c>
      <c r="ACS1" t="inlineStr">
        <is>
          <t>BBG01NWBBSJ4 Equity (TSLL US 03/21/25 P16.7)</t>
        </is>
      </c>
      <c r="ACW1" t="inlineStr">
        <is>
          <t>BBG01NWBBP64 Equity (TSLL US 03/21/25 P17.7)</t>
        </is>
      </c>
      <c r="ADA1" t="inlineStr">
        <is>
          <t>BBG01NWBC7D5 Equity (TSLL US 03/21/25 P18.7)</t>
        </is>
      </c>
      <c r="ADE1" t="inlineStr">
        <is>
          <t>BBG01NWBC6V7 Equity (TSLL US 03/21/25 P19.7)</t>
        </is>
      </c>
      <c r="ADI1" t="inlineStr">
        <is>
          <t>BBG01NWBCHN2 Equity (TSLL US 03/21/25 P20.7)</t>
        </is>
      </c>
      <c r="ADM1" t="inlineStr">
        <is>
          <t>BBG01NWBBT20 Equity (TSLL US 03/21/25 P21.7)</t>
        </is>
      </c>
      <c r="ADQ1" t="inlineStr">
        <is>
          <t>BBG01NWBBN32 Equity (TSLL US 03/21/25 P22.7)</t>
        </is>
      </c>
    </row>
    <row r="2">
      <c r="A2" t="inlineStr">
        <is>
          <t>Date</t>
        </is>
      </c>
      <c r="B2" t="inlineStr">
        <is>
          <t>PX_LAST</t>
        </is>
      </c>
      <c r="C2" t="inlineStr">
        <is>
          <t>PX_VOLUME</t>
        </is>
      </c>
      <c r="E2" t="inlineStr">
        <is>
          <t>Date</t>
        </is>
      </c>
      <c r="F2" t="inlineStr">
        <is>
          <t>PX_LAST</t>
        </is>
      </c>
      <c r="G2" t="inlineStr">
        <is>
          <t>PX_VOLUME</t>
        </is>
      </c>
      <c r="I2" t="inlineStr">
        <is>
          <t>Date</t>
        </is>
      </c>
      <c r="J2" t="inlineStr">
        <is>
          <t>PX_LAST</t>
        </is>
      </c>
      <c r="K2" t="inlineStr">
        <is>
          <t>PX_VOLUME</t>
        </is>
      </c>
      <c r="M2" t="inlineStr">
        <is>
          <t>Date</t>
        </is>
      </c>
      <c r="N2" t="inlineStr">
        <is>
          <t>PX_LAST</t>
        </is>
      </c>
      <c r="O2" t="inlineStr">
        <is>
          <t>PX_VOLUME</t>
        </is>
      </c>
      <c r="Q2" t="inlineStr">
        <is>
          <t>Date</t>
        </is>
      </c>
      <c r="R2" t="inlineStr">
        <is>
          <t>PX_LAST</t>
        </is>
      </c>
      <c r="S2" t="inlineStr">
        <is>
          <t>PX_VOLUME</t>
        </is>
      </c>
      <c r="U2" t="inlineStr">
        <is>
          <t>Date</t>
        </is>
      </c>
      <c r="V2" t="inlineStr">
        <is>
          <t>PX_LAST</t>
        </is>
      </c>
      <c r="W2" t="inlineStr">
        <is>
          <t>PX_VOLUME</t>
        </is>
      </c>
      <c r="Y2" t="inlineStr">
        <is>
          <t>Date</t>
        </is>
      </c>
      <c r="Z2" t="inlineStr">
        <is>
          <t>PX_LAST</t>
        </is>
      </c>
      <c r="AA2" t="inlineStr">
        <is>
          <t>PX_VOLUME</t>
        </is>
      </c>
      <c r="AC2" t="inlineStr">
        <is>
          <t>Date</t>
        </is>
      </c>
      <c r="AD2" t="inlineStr">
        <is>
          <t>PX_LAST</t>
        </is>
      </c>
      <c r="AE2" t="inlineStr">
        <is>
          <t>PX_VOLUME</t>
        </is>
      </c>
      <c r="AG2" t="inlineStr">
        <is>
          <t>Date</t>
        </is>
      </c>
      <c r="AH2" t="inlineStr">
        <is>
          <t>PX_LAST</t>
        </is>
      </c>
      <c r="AI2" t="inlineStr">
        <is>
          <t>PX_VOLUME</t>
        </is>
      </c>
      <c r="AK2" t="inlineStr">
        <is>
          <t>Date</t>
        </is>
      </c>
      <c r="AL2" t="inlineStr">
        <is>
          <t>PX_LAST</t>
        </is>
      </c>
      <c r="AM2" t="inlineStr">
        <is>
          <t>PX_VOLUME</t>
        </is>
      </c>
      <c r="AO2" t="inlineStr">
        <is>
          <t>Date</t>
        </is>
      </c>
      <c r="AP2" t="inlineStr">
        <is>
          <t>PX_LAST</t>
        </is>
      </c>
      <c r="AQ2" t="inlineStr">
        <is>
          <t>PX_VOLUME</t>
        </is>
      </c>
      <c r="AS2" t="inlineStr">
        <is>
          <t>Date</t>
        </is>
      </c>
      <c r="AT2" t="inlineStr">
        <is>
          <t>PX_LAST</t>
        </is>
      </c>
      <c r="AU2" t="inlineStr">
        <is>
          <t>PX_VOLUME</t>
        </is>
      </c>
      <c r="AW2" t="inlineStr">
        <is>
          <t>Date</t>
        </is>
      </c>
      <c r="AX2" t="inlineStr">
        <is>
          <t>PX_LAST</t>
        </is>
      </c>
      <c r="AY2" t="inlineStr">
        <is>
          <t>PX_VOLUME</t>
        </is>
      </c>
      <c r="BA2" t="inlineStr">
        <is>
          <t>Date</t>
        </is>
      </c>
      <c r="BB2" t="inlineStr">
        <is>
          <t>PX_LAST</t>
        </is>
      </c>
      <c r="BC2" t="inlineStr">
        <is>
          <t>PX_VOLUME</t>
        </is>
      </c>
      <c r="BE2" t="inlineStr">
        <is>
          <t>Date</t>
        </is>
      </c>
      <c r="BF2" t="inlineStr">
        <is>
          <t>PX_LAST</t>
        </is>
      </c>
      <c r="BG2" t="inlineStr">
        <is>
          <t>PX_VOLUME</t>
        </is>
      </c>
      <c r="BI2" t="inlineStr">
        <is>
          <t>Date</t>
        </is>
      </c>
      <c r="BJ2" t="inlineStr">
        <is>
          <t>PX_LAST</t>
        </is>
      </c>
      <c r="BK2" t="inlineStr">
        <is>
          <t>PX_VOLUME</t>
        </is>
      </c>
      <c r="BM2" t="inlineStr">
        <is>
          <t>Date</t>
        </is>
      </c>
      <c r="BN2" t="inlineStr">
        <is>
          <t>PX_LAST</t>
        </is>
      </c>
      <c r="BO2" t="inlineStr">
        <is>
          <t>PX_VOLUME</t>
        </is>
      </c>
      <c r="BQ2" t="inlineStr">
        <is>
          <t>Date</t>
        </is>
      </c>
      <c r="BR2" t="inlineStr">
        <is>
          <t>PX_LAST</t>
        </is>
      </c>
      <c r="BS2" t="inlineStr">
        <is>
          <t>PX_VOLUME</t>
        </is>
      </c>
      <c r="BU2" t="inlineStr">
        <is>
          <t>Date</t>
        </is>
      </c>
      <c r="BV2" t="inlineStr">
        <is>
          <t>PX_LAST</t>
        </is>
      </c>
      <c r="BW2" t="inlineStr">
        <is>
          <t>PX_VOLUME</t>
        </is>
      </c>
      <c r="BY2" t="inlineStr">
        <is>
          <t>Date</t>
        </is>
      </c>
      <c r="BZ2" t="inlineStr">
        <is>
          <t>PX_LAST</t>
        </is>
      </c>
      <c r="CA2" t="inlineStr">
        <is>
          <t>PX_VOLUME</t>
        </is>
      </c>
      <c r="CC2" t="inlineStr">
        <is>
          <t>Date</t>
        </is>
      </c>
      <c r="CD2" t="inlineStr">
        <is>
          <t>PX_LAST</t>
        </is>
      </c>
      <c r="CE2" t="inlineStr">
        <is>
          <t>PX_VOLUME</t>
        </is>
      </c>
      <c r="CG2" t="inlineStr">
        <is>
          <t>Date</t>
        </is>
      </c>
      <c r="CH2" t="inlineStr">
        <is>
          <t>PX_LAST</t>
        </is>
      </c>
      <c r="CI2" t="inlineStr">
        <is>
          <t>PX_VOLUME</t>
        </is>
      </c>
      <c r="CK2" t="inlineStr">
        <is>
          <t>Date</t>
        </is>
      </c>
      <c r="CL2" t="inlineStr">
        <is>
          <t>PX_LAST</t>
        </is>
      </c>
      <c r="CM2" t="inlineStr">
        <is>
          <t>PX_VOLUME</t>
        </is>
      </c>
      <c r="CO2" t="inlineStr">
        <is>
          <t>Date</t>
        </is>
      </c>
      <c r="CP2" t="inlineStr">
        <is>
          <t>PX_LAST</t>
        </is>
      </c>
      <c r="CQ2" t="inlineStr">
        <is>
          <t>PX_VOLUME</t>
        </is>
      </c>
      <c r="CS2" t="inlineStr">
        <is>
          <t>Date</t>
        </is>
      </c>
      <c r="CT2" t="inlineStr">
        <is>
          <t>PX_LAST</t>
        </is>
      </c>
      <c r="CU2" t="inlineStr">
        <is>
          <t>PX_VOLUME</t>
        </is>
      </c>
      <c r="CW2" t="inlineStr">
        <is>
          <t>Date</t>
        </is>
      </c>
      <c r="CX2" t="inlineStr">
        <is>
          <t>PX_LAST</t>
        </is>
      </c>
      <c r="CY2" t="inlineStr">
        <is>
          <t>PX_VOLUME</t>
        </is>
      </c>
      <c r="DA2" t="inlineStr">
        <is>
          <t>Date</t>
        </is>
      </c>
      <c r="DB2" t="inlineStr">
        <is>
          <t>PX_LAST</t>
        </is>
      </c>
      <c r="DC2" t="inlineStr">
        <is>
          <t>PX_VOLUME</t>
        </is>
      </c>
      <c r="DE2" t="inlineStr">
        <is>
          <t>Date</t>
        </is>
      </c>
      <c r="DF2" t="inlineStr">
        <is>
          <t>PX_LAST</t>
        </is>
      </c>
      <c r="DG2" t="inlineStr">
        <is>
          <t>PX_VOLUME</t>
        </is>
      </c>
      <c r="DI2" t="inlineStr">
        <is>
          <t>Date</t>
        </is>
      </c>
      <c r="DJ2" t="inlineStr">
        <is>
          <t>PX_LAST</t>
        </is>
      </c>
      <c r="DK2" t="inlineStr">
        <is>
          <t>PX_VOLUME</t>
        </is>
      </c>
      <c r="DM2" t="inlineStr">
        <is>
          <t>Date</t>
        </is>
      </c>
      <c r="DN2" t="inlineStr">
        <is>
          <t>PX_LAST</t>
        </is>
      </c>
      <c r="DO2" t="inlineStr">
        <is>
          <t>PX_VOLUME</t>
        </is>
      </c>
      <c r="DQ2" t="inlineStr">
        <is>
          <t>Date</t>
        </is>
      </c>
      <c r="DR2" t="inlineStr">
        <is>
          <t>PX_LAST</t>
        </is>
      </c>
      <c r="DS2" t="inlineStr">
        <is>
          <t>PX_VOLUME</t>
        </is>
      </c>
      <c r="DU2" t="inlineStr">
        <is>
          <t>Date</t>
        </is>
      </c>
      <c r="DV2" t="inlineStr">
        <is>
          <t>PX_LAST</t>
        </is>
      </c>
      <c r="DW2" t="inlineStr">
        <is>
          <t>PX_VOLUME</t>
        </is>
      </c>
      <c r="DY2" t="inlineStr">
        <is>
          <t>Date</t>
        </is>
      </c>
      <c r="DZ2" t="inlineStr">
        <is>
          <t>PX_LAST</t>
        </is>
      </c>
      <c r="EA2" t="inlineStr">
        <is>
          <t>PX_VOLUME</t>
        </is>
      </c>
      <c r="EC2" t="inlineStr">
        <is>
          <t>Date</t>
        </is>
      </c>
      <c r="ED2" t="inlineStr">
        <is>
          <t>PX_LAST</t>
        </is>
      </c>
      <c r="EE2" t="inlineStr">
        <is>
          <t>PX_VOLUME</t>
        </is>
      </c>
      <c r="EG2" t="inlineStr">
        <is>
          <t>Date</t>
        </is>
      </c>
      <c r="EH2" t="inlineStr">
        <is>
          <t>PX_LAST</t>
        </is>
      </c>
      <c r="EI2" t="inlineStr">
        <is>
          <t>PX_VOLUME</t>
        </is>
      </c>
      <c r="EK2" t="inlineStr">
        <is>
          <t>Date</t>
        </is>
      </c>
      <c r="EL2" t="inlineStr">
        <is>
          <t>PX_LAST</t>
        </is>
      </c>
      <c r="EM2" t="inlineStr">
        <is>
          <t>PX_VOLUME</t>
        </is>
      </c>
      <c r="EO2" t="inlineStr">
        <is>
          <t>Date</t>
        </is>
      </c>
      <c r="EP2" t="inlineStr">
        <is>
          <t>PX_LAST</t>
        </is>
      </c>
      <c r="EQ2" t="inlineStr">
        <is>
          <t>PX_VOLUME</t>
        </is>
      </c>
      <c r="ES2" t="inlineStr">
        <is>
          <t>Date</t>
        </is>
      </c>
      <c r="ET2" t="inlineStr">
        <is>
          <t>PX_LAST</t>
        </is>
      </c>
      <c r="EU2" t="inlineStr">
        <is>
          <t>PX_VOLUME</t>
        </is>
      </c>
      <c r="EW2" t="inlineStr">
        <is>
          <t>Date</t>
        </is>
      </c>
      <c r="EX2" t="inlineStr">
        <is>
          <t>PX_LAST</t>
        </is>
      </c>
      <c r="EY2" t="inlineStr">
        <is>
          <t>PX_VOLUME</t>
        </is>
      </c>
      <c r="FA2" t="inlineStr">
        <is>
          <t>Date</t>
        </is>
      </c>
      <c r="FB2" t="inlineStr">
        <is>
          <t>PX_LAST</t>
        </is>
      </c>
      <c r="FC2" t="inlineStr">
        <is>
          <t>PX_VOLUME</t>
        </is>
      </c>
      <c r="FE2" t="inlineStr">
        <is>
          <t>Date</t>
        </is>
      </c>
      <c r="FF2" t="inlineStr">
        <is>
          <t>PX_LAST</t>
        </is>
      </c>
      <c r="FG2" t="inlineStr">
        <is>
          <t>PX_VOLUME</t>
        </is>
      </c>
      <c r="FI2" t="inlineStr">
        <is>
          <t>Date</t>
        </is>
      </c>
      <c r="FJ2" t="inlineStr">
        <is>
          <t>PX_LAST</t>
        </is>
      </c>
      <c r="FK2" t="inlineStr">
        <is>
          <t>PX_VOLUME</t>
        </is>
      </c>
      <c r="FM2" t="inlineStr">
        <is>
          <t>Date</t>
        </is>
      </c>
      <c r="FN2" t="inlineStr">
        <is>
          <t>PX_LAST</t>
        </is>
      </c>
      <c r="FO2" t="inlineStr">
        <is>
          <t>PX_VOLUME</t>
        </is>
      </c>
      <c r="FQ2" t="inlineStr">
        <is>
          <t>Date</t>
        </is>
      </c>
      <c r="FR2" t="inlineStr">
        <is>
          <t>PX_LAST</t>
        </is>
      </c>
      <c r="FS2" t="inlineStr">
        <is>
          <t>PX_VOLUME</t>
        </is>
      </c>
      <c r="FU2" t="inlineStr">
        <is>
          <t>Date</t>
        </is>
      </c>
      <c r="FV2" t="inlineStr">
        <is>
          <t>PX_LAST</t>
        </is>
      </c>
      <c r="FW2" t="inlineStr">
        <is>
          <t>PX_VOLUME</t>
        </is>
      </c>
      <c r="FY2" t="inlineStr">
        <is>
          <t>Date</t>
        </is>
      </c>
      <c r="FZ2" t="inlineStr">
        <is>
          <t>PX_LAST</t>
        </is>
      </c>
      <c r="GA2" t="inlineStr">
        <is>
          <t>PX_VOLUME</t>
        </is>
      </c>
      <c r="GC2" t="inlineStr">
        <is>
          <t>Date</t>
        </is>
      </c>
      <c r="GD2" t="inlineStr">
        <is>
          <t>PX_LAST</t>
        </is>
      </c>
      <c r="GE2" t="inlineStr">
        <is>
          <t>PX_VOLUME</t>
        </is>
      </c>
      <c r="GG2" t="inlineStr">
        <is>
          <t>Date</t>
        </is>
      </c>
      <c r="GH2" t="inlineStr">
        <is>
          <t>PX_LAST</t>
        </is>
      </c>
      <c r="GI2" t="inlineStr">
        <is>
          <t>PX_VOLUME</t>
        </is>
      </c>
      <c r="GK2" t="inlineStr">
        <is>
          <t>Date</t>
        </is>
      </c>
      <c r="GL2" t="inlineStr">
        <is>
          <t>PX_LAST</t>
        </is>
      </c>
      <c r="GM2" t="inlineStr">
        <is>
          <t>PX_VOLUME</t>
        </is>
      </c>
      <c r="GO2" t="inlineStr">
        <is>
          <t>Date</t>
        </is>
      </c>
      <c r="GP2" t="inlineStr">
        <is>
          <t>PX_LAST</t>
        </is>
      </c>
      <c r="GQ2" t="inlineStr">
        <is>
          <t>PX_VOLUME</t>
        </is>
      </c>
      <c r="GS2" t="inlineStr">
        <is>
          <t>Date</t>
        </is>
      </c>
      <c r="GT2" t="inlineStr">
        <is>
          <t>PX_LAST</t>
        </is>
      </c>
      <c r="GU2" t="inlineStr">
        <is>
          <t>PX_VOLUME</t>
        </is>
      </c>
      <c r="GW2" t="inlineStr">
        <is>
          <t>Date</t>
        </is>
      </c>
      <c r="GX2" t="inlineStr">
        <is>
          <t>PX_LAST</t>
        </is>
      </c>
      <c r="GY2" t="inlineStr">
        <is>
          <t>PX_VOLUME</t>
        </is>
      </c>
      <c r="HA2" t="inlineStr">
        <is>
          <t>Date</t>
        </is>
      </c>
      <c r="HB2" t="inlineStr">
        <is>
          <t>PX_LAST</t>
        </is>
      </c>
      <c r="HC2" t="inlineStr">
        <is>
          <t>PX_VOLUME</t>
        </is>
      </c>
      <c r="HE2" t="inlineStr">
        <is>
          <t>Date</t>
        </is>
      </c>
      <c r="HF2" t="inlineStr">
        <is>
          <t>PX_LAST</t>
        </is>
      </c>
      <c r="HG2" t="inlineStr">
        <is>
          <t>PX_VOLUME</t>
        </is>
      </c>
      <c r="HI2" t="inlineStr">
        <is>
          <t>Date</t>
        </is>
      </c>
      <c r="HJ2" t="inlineStr">
        <is>
          <t>PX_LAST</t>
        </is>
      </c>
      <c r="HK2" t="inlineStr">
        <is>
          <t>PX_VOLUME</t>
        </is>
      </c>
      <c r="HM2" t="inlineStr">
        <is>
          <t>Date</t>
        </is>
      </c>
      <c r="HN2" t="inlineStr">
        <is>
          <t>PX_LAST</t>
        </is>
      </c>
      <c r="HO2" t="inlineStr">
        <is>
          <t>PX_VOLUME</t>
        </is>
      </c>
      <c r="HQ2" t="inlineStr">
        <is>
          <t>Date</t>
        </is>
      </c>
      <c r="HR2" t="inlineStr">
        <is>
          <t>PX_LAST</t>
        </is>
      </c>
      <c r="HS2" t="inlineStr">
        <is>
          <t>PX_VOLUME</t>
        </is>
      </c>
      <c r="HU2" t="inlineStr">
        <is>
          <t>Date</t>
        </is>
      </c>
      <c r="HV2" t="inlineStr">
        <is>
          <t>PX_LAST</t>
        </is>
      </c>
      <c r="HW2" t="inlineStr">
        <is>
          <t>PX_VOLUME</t>
        </is>
      </c>
      <c r="HY2" t="inlineStr">
        <is>
          <t>Date</t>
        </is>
      </c>
      <c r="HZ2" t="inlineStr">
        <is>
          <t>PX_LAST</t>
        </is>
      </c>
      <c r="IA2" t="inlineStr">
        <is>
          <t>PX_VOLUME</t>
        </is>
      </c>
      <c r="IC2" t="inlineStr">
        <is>
          <t>Date</t>
        </is>
      </c>
      <c r="ID2" t="inlineStr">
        <is>
          <t>PX_LAST</t>
        </is>
      </c>
      <c r="IE2" t="inlineStr">
        <is>
          <t>PX_VOLUME</t>
        </is>
      </c>
      <c r="IG2" t="inlineStr">
        <is>
          <t>Date</t>
        </is>
      </c>
      <c r="IH2" t="inlineStr">
        <is>
          <t>PX_LAST</t>
        </is>
      </c>
      <c r="II2" t="inlineStr">
        <is>
          <t>PX_VOLUME</t>
        </is>
      </c>
      <c r="IK2" t="inlineStr">
        <is>
          <t>Date</t>
        </is>
      </c>
      <c r="IL2" t="inlineStr">
        <is>
          <t>PX_LAST</t>
        </is>
      </c>
      <c r="IM2" t="inlineStr">
        <is>
          <t>PX_VOLUME</t>
        </is>
      </c>
      <c r="IO2" t="inlineStr">
        <is>
          <t>Date</t>
        </is>
      </c>
      <c r="IP2" t="inlineStr">
        <is>
          <t>PX_LAST</t>
        </is>
      </c>
      <c r="IQ2" t="inlineStr">
        <is>
          <t>PX_VOLUME</t>
        </is>
      </c>
      <c r="IS2" t="inlineStr">
        <is>
          <t>Date</t>
        </is>
      </c>
      <c r="IT2" t="inlineStr">
        <is>
          <t>PX_LAST</t>
        </is>
      </c>
      <c r="IU2" t="inlineStr">
        <is>
          <t>PX_VOLUME</t>
        </is>
      </c>
      <c r="IW2" t="inlineStr">
        <is>
          <t>Date</t>
        </is>
      </c>
      <c r="IX2" t="inlineStr">
        <is>
          <t>PX_LAST</t>
        </is>
      </c>
      <c r="IY2" t="inlineStr">
        <is>
          <t>PX_VOLUME</t>
        </is>
      </c>
      <c r="JA2" t="inlineStr">
        <is>
          <t>Date</t>
        </is>
      </c>
      <c r="JB2" t="inlineStr">
        <is>
          <t>PX_LAST</t>
        </is>
      </c>
      <c r="JC2" t="inlineStr">
        <is>
          <t>PX_VOLUME</t>
        </is>
      </c>
      <c r="JE2" t="inlineStr">
        <is>
          <t>Date</t>
        </is>
      </c>
      <c r="JF2" t="inlineStr">
        <is>
          <t>PX_LAST</t>
        </is>
      </c>
      <c r="JG2" t="inlineStr">
        <is>
          <t>PX_VOLUME</t>
        </is>
      </c>
      <c r="JI2" t="inlineStr">
        <is>
          <t>Date</t>
        </is>
      </c>
      <c r="JJ2" t="inlineStr">
        <is>
          <t>PX_LAST</t>
        </is>
      </c>
      <c r="JK2" t="inlineStr">
        <is>
          <t>PX_VOLUME</t>
        </is>
      </c>
      <c r="JM2" t="inlineStr">
        <is>
          <t>Date</t>
        </is>
      </c>
      <c r="JN2" t="inlineStr">
        <is>
          <t>PX_LAST</t>
        </is>
      </c>
      <c r="JO2" t="inlineStr">
        <is>
          <t>PX_VOLUME</t>
        </is>
      </c>
      <c r="JQ2" t="inlineStr">
        <is>
          <t>Date</t>
        </is>
      </c>
      <c r="JR2" t="inlineStr">
        <is>
          <t>PX_LAST</t>
        </is>
      </c>
      <c r="JS2" t="inlineStr">
        <is>
          <t>PX_VOLUME</t>
        </is>
      </c>
      <c r="JU2" t="inlineStr">
        <is>
          <t>Date</t>
        </is>
      </c>
      <c r="JV2" t="inlineStr">
        <is>
          <t>PX_LAST</t>
        </is>
      </c>
      <c r="JW2" t="inlineStr">
        <is>
          <t>PX_VOLUME</t>
        </is>
      </c>
      <c r="JY2" t="inlineStr">
        <is>
          <t>Date</t>
        </is>
      </c>
      <c r="JZ2" t="inlineStr">
        <is>
          <t>PX_LAST</t>
        </is>
      </c>
      <c r="KA2" t="inlineStr">
        <is>
          <t>PX_VOLUME</t>
        </is>
      </c>
      <c r="KC2" t="inlineStr">
        <is>
          <t>Date</t>
        </is>
      </c>
      <c r="KD2" t="inlineStr">
        <is>
          <t>PX_LAST</t>
        </is>
      </c>
      <c r="KE2" t="inlineStr">
        <is>
          <t>PX_VOLUME</t>
        </is>
      </c>
      <c r="KG2" t="inlineStr">
        <is>
          <t>Date</t>
        </is>
      </c>
      <c r="KH2" t="inlineStr">
        <is>
          <t>PX_LAST</t>
        </is>
      </c>
      <c r="KI2" t="inlineStr">
        <is>
          <t>PX_VOLUME</t>
        </is>
      </c>
      <c r="KK2" t="inlineStr">
        <is>
          <t>Date</t>
        </is>
      </c>
      <c r="KL2" t="inlineStr">
        <is>
          <t>PX_LAST</t>
        </is>
      </c>
      <c r="KM2" t="inlineStr">
        <is>
          <t>PX_VOLUME</t>
        </is>
      </c>
      <c r="KO2" t="inlineStr">
        <is>
          <t>Date</t>
        </is>
      </c>
      <c r="KP2" t="inlineStr">
        <is>
          <t>PX_LAST</t>
        </is>
      </c>
      <c r="KQ2" t="inlineStr">
        <is>
          <t>PX_VOLUME</t>
        </is>
      </c>
      <c r="KS2" t="inlineStr">
        <is>
          <t>Date</t>
        </is>
      </c>
      <c r="KT2" t="inlineStr">
        <is>
          <t>PX_LAST</t>
        </is>
      </c>
      <c r="KU2" t="inlineStr">
        <is>
          <t>PX_VOLUME</t>
        </is>
      </c>
      <c r="KW2" t="inlineStr">
        <is>
          <t>Date</t>
        </is>
      </c>
      <c r="KX2" t="inlineStr">
        <is>
          <t>PX_LAST</t>
        </is>
      </c>
      <c r="KY2" t="inlineStr">
        <is>
          <t>PX_VOLUME</t>
        </is>
      </c>
      <c r="LA2" t="inlineStr">
        <is>
          <t>Date</t>
        </is>
      </c>
      <c r="LB2" t="inlineStr">
        <is>
          <t>PX_LAST</t>
        </is>
      </c>
      <c r="LC2" t="inlineStr">
        <is>
          <t>PX_VOLUME</t>
        </is>
      </c>
      <c r="LE2" t="inlineStr">
        <is>
          <t>Date</t>
        </is>
      </c>
      <c r="LF2" t="inlineStr">
        <is>
          <t>PX_LAST</t>
        </is>
      </c>
      <c r="LG2" t="inlineStr">
        <is>
          <t>PX_VOLUME</t>
        </is>
      </c>
      <c r="LI2" t="inlineStr">
        <is>
          <t>Date</t>
        </is>
      </c>
      <c r="LJ2" t="inlineStr">
        <is>
          <t>PX_LAST</t>
        </is>
      </c>
      <c r="LK2" t="inlineStr">
        <is>
          <t>PX_VOLUME</t>
        </is>
      </c>
      <c r="LM2" t="inlineStr">
        <is>
          <t>Date</t>
        </is>
      </c>
      <c r="LN2" t="inlineStr">
        <is>
          <t>PX_LAST</t>
        </is>
      </c>
      <c r="LO2" t="inlineStr">
        <is>
          <t>PX_VOLUME</t>
        </is>
      </c>
      <c r="LQ2" t="inlineStr">
        <is>
          <t>Date</t>
        </is>
      </c>
      <c r="LR2" t="inlineStr">
        <is>
          <t>PX_LAST</t>
        </is>
      </c>
      <c r="LS2" t="inlineStr">
        <is>
          <t>PX_VOLUME</t>
        </is>
      </c>
      <c r="LU2" t="inlineStr">
        <is>
          <t>Date</t>
        </is>
      </c>
      <c r="LV2" t="inlineStr">
        <is>
          <t>PX_LAST</t>
        </is>
      </c>
      <c r="LW2" t="inlineStr">
        <is>
          <t>PX_VOLUME</t>
        </is>
      </c>
      <c r="LY2" t="inlineStr">
        <is>
          <t>Date</t>
        </is>
      </c>
      <c r="LZ2" t="inlineStr">
        <is>
          <t>PX_LAST</t>
        </is>
      </c>
      <c r="MA2" t="inlineStr">
        <is>
          <t>PX_VOLUME</t>
        </is>
      </c>
      <c r="MC2" t="inlineStr">
        <is>
          <t>Date</t>
        </is>
      </c>
      <c r="MD2" t="inlineStr">
        <is>
          <t>PX_LAST</t>
        </is>
      </c>
      <c r="ME2" t="inlineStr">
        <is>
          <t>PX_VOLUME</t>
        </is>
      </c>
      <c r="MG2" t="inlineStr">
        <is>
          <t>Date</t>
        </is>
      </c>
      <c r="MH2" t="inlineStr">
        <is>
          <t>PX_LAST</t>
        </is>
      </c>
      <c r="MI2" t="inlineStr">
        <is>
          <t>PX_VOLUME</t>
        </is>
      </c>
      <c r="MK2" t="inlineStr">
        <is>
          <t>Date</t>
        </is>
      </c>
      <c r="ML2" t="inlineStr">
        <is>
          <t>PX_LAST</t>
        </is>
      </c>
      <c r="MM2" t="inlineStr">
        <is>
          <t>PX_VOLUME</t>
        </is>
      </c>
      <c r="MO2" t="inlineStr">
        <is>
          <t>Date</t>
        </is>
      </c>
      <c r="MP2" t="inlineStr">
        <is>
          <t>PX_LAST</t>
        </is>
      </c>
      <c r="MQ2" t="inlineStr">
        <is>
          <t>PX_VOLUME</t>
        </is>
      </c>
      <c r="MS2" t="inlineStr">
        <is>
          <t>Date</t>
        </is>
      </c>
      <c r="MT2" t="inlineStr">
        <is>
          <t>PX_LAST</t>
        </is>
      </c>
      <c r="MU2" t="inlineStr">
        <is>
          <t>PX_VOLUME</t>
        </is>
      </c>
      <c r="MW2" t="inlineStr">
        <is>
          <t>Date</t>
        </is>
      </c>
      <c r="MX2" t="inlineStr">
        <is>
          <t>PX_LAST</t>
        </is>
      </c>
      <c r="MY2" t="inlineStr">
        <is>
          <t>PX_VOLUME</t>
        </is>
      </c>
      <c r="NA2" t="inlineStr">
        <is>
          <t>Date</t>
        </is>
      </c>
      <c r="NB2" t="inlineStr">
        <is>
          <t>PX_LAST</t>
        </is>
      </c>
      <c r="NC2" t="inlineStr">
        <is>
          <t>PX_VOLUME</t>
        </is>
      </c>
      <c r="NE2" t="inlineStr">
        <is>
          <t>Date</t>
        </is>
      </c>
      <c r="NF2" t="inlineStr">
        <is>
          <t>PX_LAST</t>
        </is>
      </c>
      <c r="NG2" t="inlineStr">
        <is>
          <t>PX_VOLUME</t>
        </is>
      </c>
      <c r="NI2" t="inlineStr">
        <is>
          <t>Date</t>
        </is>
      </c>
      <c r="NJ2" t="inlineStr">
        <is>
          <t>PX_LAST</t>
        </is>
      </c>
      <c r="NK2" t="inlineStr">
        <is>
          <t>PX_VOLUME</t>
        </is>
      </c>
      <c r="NM2" t="inlineStr">
        <is>
          <t>Date</t>
        </is>
      </c>
      <c r="NN2" t="inlineStr">
        <is>
          <t>PX_LAST</t>
        </is>
      </c>
      <c r="NO2" t="inlineStr">
        <is>
          <t>PX_VOLUME</t>
        </is>
      </c>
      <c r="NQ2" t="inlineStr">
        <is>
          <t>Date</t>
        </is>
      </c>
      <c r="NR2" t="inlineStr">
        <is>
          <t>PX_LAST</t>
        </is>
      </c>
      <c r="NS2" t="inlineStr">
        <is>
          <t>PX_VOLUME</t>
        </is>
      </c>
      <c r="NU2" t="inlineStr">
        <is>
          <t>Date</t>
        </is>
      </c>
      <c r="NV2" t="inlineStr">
        <is>
          <t>PX_LAST</t>
        </is>
      </c>
      <c r="NW2" t="inlineStr">
        <is>
          <t>PX_VOLUME</t>
        </is>
      </c>
      <c r="NY2" t="inlineStr">
        <is>
          <t>Date</t>
        </is>
      </c>
      <c r="NZ2" t="inlineStr">
        <is>
          <t>PX_LAST</t>
        </is>
      </c>
      <c r="OA2" t="inlineStr">
        <is>
          <t>PX_VOLUME</t>
        </is>
      </c>
      <c r="OC2" t="inlineStr">
        <is>
          <t>Date</t>
        </is>
      </c>
      <c r="OD2" t="inlineStr">
        <is>
          <t>PX_LAST</t>
        </is>
      </c>
      <c r="OE2" t="inlineStr">
        <is>
          <t>PX_VOLUME</t>
        </is>
      </c>
      <c r="OG2" t="inlineStr">
        <is>
          <t>Date</t>
        </is>
      </c>
      <c r="OH2" t="inlineStr">
        <is>
          <t>PX_LAST</t>
        </is>
      </c>
      <c r="OI2" t="inlineStr">
        <is>
          <t>PX_VOLUME</t>
        </is>
      </c>
      <c r="OK2" t="inlineStr">
        <is>
          <t>Date</t>
        </is>
      </c>
      <c r="OL2" t="inlineStr">
        <is>
          <t>PX_LAST</t>
        </is>
      </c>
      <c r="OM2" t="inlineStr">
        <is>
          <t>PX_VOLUME</t>
        </is>
      </c>
      <c r="OO2" t="inlineStr">
        <is>
          <t>Date</t>
        </is>
      </c>
      <c r="OP2" t="inlineStr">
        <is>
          <t>PX_LAST</t>
        </is>
      </c>
      <c r="OQ2" t="inlineStr">
        <is>
          <t>PX_VOLUME</t>
        </is>
      </c>
      <c r="OS2" t="inlineStr">
        <is>
          <t>Date</t>
        </is>
      </c>
      <c r="OT2" t="inlineStr">
        <is>
          <t>PX_LAST</t>
        </is>
      </c>
      <c r="OU2" t="inlineStr">
        <is>
          <t>PX_VOLUME</t>
        </is>
      </c>
      <c r="OW2" t="inlineStr">
        <is>
          <t>Date</t>
        </is>
      </c>
      <c r="OX2" t="inlineStr">
        <is>
          <t>PX_LAST</t>
        </is>
      </c>
      <c r="OY2" t="inlineStr">
        <is>
          <t>PX_VOLUME</t>
        </is>
      </c>
      <c r="PA2" t="inlineStr">
        <is>
          <t>Date</t>
        </is>
      </c>
      <c r="PB2" t="inlineStr">
        <is>
          <t>PX_LAST</t>
        </is>
      </c>
      <c r="PC2" t="inlineStr">
        <is>
          <t>PX_VOLUME</t>
        </is>
      </c>
      <c r="PE2" t="inlineStr">
        <is>
          <t>Date</t>
        </is>
      </c>
      <c r="PF2" t="inlineStr">
        <is>
          <t>PX_LAST</t>
        </is>
      </c>
      <c r="PG2" t="inlineStr">
        <is>
          <t>PX_VOLUME</t>
        </is>
      </c>
      <c r="PI2" t="inlineStr">
        <is>
          <t>Date</t>
        </is>
      </c>
      <c r="PJ2" t="inlineStr">
        <is>
          <t>PX_LAST</t>
        </is>
      </c>
      <c r="PK2" t="inlineStr">
        <is>
          <t>PX_VOLUME</t>
        </is>
      </c>
      <c r="PM2" t="inlineStr">
        <is>
          <t>Date</t>
        </is>
      </c>
      <c r="PN2" t="inlineStr">
        <is>
          <t>PX_LAST</t>
        </is>
      </c>
      <c r="PO2" t="inlineStr">
        <is>
          <t>PX_VOLUME</t>
        </is>
      </c>
      <c r="PQ2" t="inlineStr">
        <is>
          <t>Date</t>
        </is>
      </c>
      <c r="PR2" t="inlineStr">
        <is>
          <t>PX_LAST</t>
        </is>
      </c>
      <c r="PS2" t="inlineStr">
        <is>
          <t>PX_VOLUME</t>
        </is>
      </c>
      <c r="PU2" t="inlineStr">
        <is>
          <t>Date</t>
        </is>
      </c>
      <c r="PV2" t="inlineStr">
        <is>
          <t>PX_LAST</t>
        </is>
      </c>
      <c r="PW2" t="inlineStr">
        <is>
          <t>PX_VOLUME</t>
        </is>
      </c>
      <c r="PY2" t="inlineStr">
        <is>
          <t>Date</t>
        </is>
      </c>
      <c r="PZ2" t="inlineStr">
        <is>
          <t>PX_LAST</t>
        </is>
      </c>
      <c r="QA2" t="inlineStr">
        <is>
          <t>PX_VOLUME</t>
        </is>
      </c>
      <c r="QC2" t="inlineStr">
        <is>
          <t>Date</t>
        </is>
      </c>
      <c r="QD2" t="inlineStr">
        <is>
          <t>PX_LAST</t>
        </is>
      </c>
      <c r="QE2" t="inlineStr">
        <is>
          <t>PX_VOLUME</t>
        </is>
      </c>
      <c r="QG2" t="inlineStr">
        <is>
          <t>Date</t>
        </is>
      </c>
      <c r="QH2" t="inlineStr">
        <is>
          <t>PX_LAST</t>
        </is>
      </c>
      <c r="QI2" t="inlineStr">
        <is>
          <t>PX_VOLUME</t>
        </is>
      </c>
      <c r="QK2" t="inlineStr">
        <is>
          <t>Date</t>
        </is>
      </c>
      <c r="QL2" t="inlineStr">
        <is>
          <t>PX_LAST</t>
        </is>
      </c>
      <c r="QM2" t="inlineStr">
        <is>
          <t>PX_VOLUME</t>
        </is>
      </c>
      <c r="QO2" t="inlineStr">
        <is>
          <t>Date</t>
        </is>
      </c>
      <c r="QP2" t="inlineStr">
        <is>
          <t>PX_LAST</t>
        </is>
      </c>
      <c r="QQ2" t="inlineStr">
        <is>
          <t>PX_VOLUME</t>
        </is>
      </c>
      <c r="QS2" t="inlineStr">
        <is>
          <t>Date</t>
        </is>
      </c>
      <c r="QT2" t="inlineStr">
        <is>
          <t>PX_LAST</t>
        </is>
      </c>
      <c r="QU2" t="inlineStr">
        <is>
          <t>PX_VOLUME</t>
        </is>
      </c>
      <c r="QW2" t="inlineStr">
        <is>
          <t>Date</t>
        </is>
      </c>
      <c r="QX2" t="inlineStr">
        <is>
          <t>PX_LAST</t>
        </is>
      </c>
      <c r="QY2" t="inlineStr">
        <is>
          <t>PX_VOLUME</t>
        </is>
      </c>
      <c r="RA2" t="inlineStr">
        <is>
          <t>Date</t>
        </is>
      </c>
      <c r="RB2" t="inlineStr">
        <is>
          <t>PX_LAST</t>
        </is>
      </c>
      <c r="RC2" t="inlineStr">
        <is>
          <t>PX_VOLUME</t>
        </is>
      </c>
      <c r="RE2" t="inlineStr">
        <is>
          <t>Date</t>
        </is>
      </c>
      <c r="RF2" t="inlineStr">
        <is>
          <t>PX_LAST</t>
        </is>
      </c>
      <c r="RG2" t="inlineStr">
        <is>
          <t>PX_VOLUME</t>
        </is>
      </c>
      <c r="RI2" t="inlineStr">
        <is>
          <t>Date</t>
        </is>
      </c>
      <c r="RJ2" t="inlineStr">
        <is>
          <t>PX_LAST</t>
        </is>
      </c>
      <c r="RK2" t="inlineStr">
        <is>
          <t>PX_VOLUME</t>
        </is>
      </c>
      <c r="RM2" t="inlineStr">
        <is>
          <t>Date</t>
        </is>
      </c>
      <c r="RN2" t="inlineStr">
        <is>
          <t>PX_LAST</t>
        </is>
      </c>
      <c r="RO2" t="inlineStr">
        <is>
          <t>PX_VOLUME</t>
        </is>
      </c>
      <c r="RQ2" t="inlineStr">
        <is>
          <t>Date</t>
        </is>
      </c>
      <c r="RR2" t="inlineStr">
        <is>
          <t>PX_LAST</t>
        </is>
      </c>
      <c r="RS2" t="inlineStr">
        <is>
          <t>PX_VOLUME</t>
        </is>
      </c>
      <c r="RU2" t="inlineStr">
        <is>
          <t>Date</t>
        </is>
      </c>
      <c r="RV2" t="inlineStr">
        <is>
          <t>PX_LAST</t>
        </is>
      </c>
      <c r="RW2" t="inlineStr">
        <is>
          <t>PX_VOLUME</t>
        </is>
      </c>
      <c r="RY2" t="inlineStr">
        <is>
          <t>Date</t>
        </is>
      </c>
      <c r="RZ2" t="inlineStr">
        <is>
          <t>PX_LAST</t>
        </is>
      </c>
      <c r="SA2" t="inlineStr">
        <is>
          <t>PX_VOLUME</t>
        </is>
      </c>
      <c r="SC2" t="inlineStr">
        <is>
          <t>Date</t>
        </is>
      </c>
      <c r="SD2" t="inlineStr">
        <is>
          <t>PX_LAST</t>
        </is>
      </c>
      <c r="SE2" t="inlineStr">
        <is>
          <t>PX_VOLUME</t>
        </is>
      </c>
      <c r="SG2" t="inlineStr">
        <is>
          <t>Date</t>
        </is>
      </c>
      <c r="SH2" t="inlineStr">
        <is>
          <t>PX_LAST</t>
        </is>
      </c>
      <c r="SI2" t="inlineStr">
        <is>
          <t>PX_VOLUME</t>
        </is>
      </c>
      <c r="SK2" t="inlineStr">
        <is>
          <t>Date</t>
        </is>
      </c>
      <c r="SL2" t="inlineStr">
        <is>
          <t>PX_LAST</t>
        </is>
      </c>
      <c r="SM2" t="inlineStr">
        <is>
          <t>PX_VOLUME</t>
        </is>
      </c>
      <c r="SO2" t="inlineStr">
        <is>
          <t>Date</t>
        </is>
      </c>
      <c r="SP2" t="inlineStr">
        <is>
          <t>PX_LAST</t>
        </is>
      </c>
      <c r="SQ2" t="inlineStr">
        <is>
          <t>PX_VOLUME</t>
        </is>
      </c>
      <c r="SS2" t="inlineStr">
        <is>
          <t>Date</t>
        </is>
      </c>
      <c r="ST2" t="inlineStr">
        <is>
          <t>PX_LAST</t>
        </is>
      </c>
      <c r="SU2" t="inlineStr">
        <is>
          <t>PX_VOLUME</t>
        </is>
      </c>
      <c r="SW2" t="inlineStr">
        <is>
          <t>Date</t>
        </is>
      </c>
      <c r="SX2" t="inlineStr">
        <is>
          <t>PX_LAST</t>
        </is>
      </c>
      <c r="SY2" t="inlineStr">
        <is>
          <t>PX_VOLUME</t>
        </is>
      </c>
      <c r="TA2" t="inlineStr">
        <is>
          <t>Date</t>
        </is>
      </c>
      <c r="TB2" t="inlineStr">
        <is>
          <t>PX_LAST</t>
        </is>
      </c>
      <c r="TC2" t="inlineStr">
        <is>
          <t>PX_VOLUME</t>
        </is>
      </c>
      <c r="TE2" t="inlineStr">
        <is>
          <t>Date</t>
        </is>
      </c>
      <c r="TF2" t="inlineStr">
        <is>
          <t>PX_LAST</t>
        </is>
      </c>
      <c r="TG2" t="inlineStr">
        <is>
          <t>PX_VOLUME</t>
        </is>
      </c>
      <c r="TI2" t="inlineStr">
        <is>
          <t>Date</t>
        </is>
      </c>
      <c r="TJ2" t="inlineStr">
        <is>
          <t>PX_LAST</t>
        </is>
      </c>
      <c r="TK2" t="inlineStr">
        <is>
          <t>PX_VOLUME</t>
        </is>
      </c>
      <c r="TM2" t="inlineStr">
        <is>
          <t>Date</t>
        </is>
      </c>
      <c r="TN2" t="inlineStr">
        <is>
          <t>PX_LAST</t>
        </is>
      </c>
      <c r="TO2" t="inlineStr">
        <is>
          <t>PX_VOLUME</t>
        </is>
      </c>
      <c r="TQ2" t="inlineStr">
        <is>
          <t>Date</t>
        </is>
      </c>
      <c r="TR2" t="inlineStr">
        <is>
          <t>PX_LAST</t>
        </is>
      </c>
      <c r="TS2" t="inlineStr">
        <is>
          <t>PX_VOLUME</t>
        </is>
      </c>
      <c r="TU2" t="inlineStr">
        <is>
          <t>Date</t>
        </is>
      </c>
      <c r="TV2" t="inlineStr">
        <is>
          <t>PX_LAST</t>
        </is>
      </c>
      <c r="TW2" t="inlineStr">
        <is>
          <t>PX_VOLUME</t>
        </is>
      </c>
      <c r="TY2" t="inlineStr">
        <is>
          <t>Date</t>
        </is>
      </c>
      <c r="TZ2" t="inlineStr">
        <is>
          <t>PX_LAST</t>
        </is>
      </c>
      <c r="UA2" t="inlineStr">
        <is>
          <t>PX_VOLUME</t>
        </is>
      </c>
      <c r="UC2" t="inlineStr">
        <is>
          <t>Date</t>
        </is>
      </c>
      <c r="UD2" t="inlineStr">
        <is>
          <t>PX_LAST</t>
        </is>
      </c>
      <c r="UE2" t="inlineStr">
        <is>
          <t>PX_VOLUME</t>
        </is>
      </c>
      <c r="UG2" t="inlineStr">
        <is>
          <t>Date</t>
        </is>
      </c>
      <c r="UH2" t="inlineStr">
        <is>
          <t>PX_LAST</t>
        </is>
      </c>
      <c r="UI2" t="inlineStr">
        <is>
          <t>PX_VOLUME</t>
        </is>
      </c>
      <c r="UK2" t="inlineStr">
        <is>
          <t>Date</t>
        </is>
      </c>
      <c r="UL2" t="inlineStr">
        <is>
          <t>PX_LAST</t>
        </is>
      </c>
      <c r="UM2" t="inlineStr">
        <is>
          <t>PX_VOLUME</t>
        </is>
      </c>
      <c r="UO2" t="inlineStr">
        <is>
          <t>Date</t>
        </is>
      </c>
      <c r="UP2" t="inlineStr">
        <is>
          <t>PX_LAST</t>
        </is>
      </c>
      <c r="UQ2" t="inlineStr">
        <is>
          <t>PX_VOLUME</t>
        </is>
      </c>
      <c r="US2" t="inlineStr">
        <is>
          <t>Date</t>
        </is>
      </c>
      <c r="UT2" t="inlineStr">
        <is>
          <t>PX_LAST</t>
        </is>
      </c>
      <c r="UU2" t="inlineStr">
        <is>
          <t>PX_VOLUME</t>
        </is>
      </c>
      <c r="UW2" t="inlineStr">
        <is>
          <t>Date</t>
        </is>
      </c>
      <c r="UX2" t="inlineStr">
        <is>
          <t>PX_LAST</t>
        </is>
      </c>
      <c r="UY2" t="inlineStr">
        <is>
          <t>PX_VOLUME</t>
        </is>
      </c>
      <c r="VA2" t="inlineStr">
        <is>
          <t>Date</t>
        </is>
      </c>
      <c r="VB2" t="inlineStr">
        <is>
          <t>PX_LAST</t>
        </is>
      </c>
      <c r="VC2" t="inlineStr">
        <is>
          <t>PX_VOLUME</t>
        </is>
      </c>
      <c r="VE2" t="inlineStr">
        <is>
          <t>Date</t>
        </is>
      </c>
      <c r="VF2" t="inlineStr">
        <is>
          <t>PX_LAST</t>
        </is>
      </c>
      <c r="VG2" t="inlineStr">
        <is>
          <t>PX_VOLUME</t>
        </is>
      </c>
      <c r="VI2" t="inlineStr">
        <is>
          <t>Date</t>
        </is>
      </c>
      <c r="VJ2" t="inlineStr">
        <is>
          <t>PX_LAST</t>
        </is>
      </c>
      <c r="VK2" t="inlineStr">
        <is>
          <t>PX_VOLUME</t>
        </is>
      </c>
      <c r="VM2" t="inlineStr">
        <is>
          <t>Date</t>
        </is>
      </c>
      <c r="VN2" t="inlineStr">
        <is>
          <t>PX_LAST</t>
        </is>
      </c>
      <c r="VO2" t="inlineStr">
        <is>
          <t>PX_VOLUME</t>
        </is>
      </c>
      <c r="VQ2" t="inlineStr">
        <is>
          <t>Date</t>
        </is>
      </c>
      <c r="VR2" t="inlineStr">
        <is>
          <t>PX_LAST</t>
        </is>
      </c>
      <c r="VS2" t="inlineStr">
        <is>
          <t>PX_VOLUME</t>
        </is>
      </c>
      <c r="VU2" t="inlineStr">
        <is>
          <t>Date</t>
        </is>
      </c>
      <c r="VV2" t="inlineStr">
        <is>
          <t>PX_LAST</t>
        </is>
      </c>
      <c r="VW2" t="inlineStr">
        <is>
          <t>PX_VOLUME</t>
        </is>
      </c>
      <c r="VY2" t="inlineStr">
        <is>
          <t>Date</t>
        </is>
      </c>
      <c r="VZ2" t="inlineStr">
        <is>
          <t>PX_LAST</t>
        </is>
      </c>
      <c r="WA2" t="inlineStr">
        <is>
          <t>PX_VOLUME</t>
        </is>
      </c>
      <c r="WC2" t="inlineStr">
        <is>
          <t>Date</t>
        </is>
      </c>
      <c r="WD2" t="inlineStr">
        <is>
          <t>PX_LAST</t>
        </is>
      </c>
      <c r="WE2" t="inlineStr">
        <is>
          <t>PX_VOLUME</t>
        </is>
      </c>
      <c r="WG2" t="inlineStr">
        <is>
          <t>Date</t>
        </is>
      </c>
      <c r="WH2" t="inlineStr">
        <is>
          <t>PX_LAST</t>
        </is>
      </c>
      <c r="WI2" t="inlineStr">
        <is>
          <t>PX_VOLUME</t>
        </is>
      </c>
      <c r="WK2" t="inlineStr">
        <is>
          <t>Date</t>
        </is>
      </c>
      <c r="WL2" t="inlineStr">
        <is>
          <t>PX_LAST</t>
        </is>
      </c>
      <c r="WM2" t="inlineStr">
        <is>
          <t>PX_VOLUME</t>
        </is>
      </c>
      <c r="WO2" t="inlineStr">
        <is>
          <t>Date</t>
        </is>
      </c>
      <c r="WP2" t="inlineStr">
        <is>
          <t>PX_LAST</t>
        </is>
      </c>
      <c r="WQ2" t="inlineStr">
        <is>
          <t>PX_VOLUME</t>
        </is>
      </c>
      <c r="WS2" t="inlineStr">
        <is>
          <t>Date</t>
        </is>
      </c>
      <c r="WT2" t="inlineStr">
        <is>
          <t>PX_LAST</t>
        </is>
      </c>
      <c r="WU2" t="inlineStr">
        <is>
          <t>PX_VOLUME</t>
        </is>
      </c>
      <c r="WW2" t="inlineStr">
        <is>
          <t>Date</t>
        </is>
      </c>
      <c r="WX2" t="inlineStr">
        <is>
          <t>PX_LAST</t>
        </is>
      </c>
      <c r="WY2" t="inlineStr">
        <is>
          <t>PX_VOLUME</t>
        </is>
      </c>
      <c r="XA2" t="inlineStr">
        <is>
          <t>Date</t>
        </is>
      </c>
      <c r="XB2" t="inlineStr">
        <is>
          <t>PX_LAST</t>
        </is>
      </c>
      <c r="XC2" t="inlineStr">
        <is>
          <t>PX_VOLUME</t>
        </is>
      </c>
      <c r="XE2" t="inlineStr">
        <is>
          <t>Date</t>
        </is>
      </c>
      <c r="XF2" t="inlineStr">
        <is>
          <t>PX_LAST</t>
        </is>
      </c>
      <c r="XG2" t="inlineStr">
        <is>
          <t>PX_VOLUME</t>
        </is>
      </c>
      <c r="XI2" t="inlineStr">
        <is>
          <t>Date</t>
        </is>
      </c>
      <c r="XJ2" t="inlineStr">
        <is>
          <t>PX_LAST</t>
        </is>
      </c>
      <c r="XK2" t="inlineStr">
        <is>
          <t>PX_VOLUME</t>
        </is>
      </c>
      <c r="XM2" t="inlineStr">
        <is>
          <t>Date</t>
        </is>
      </c>
      <c r="XN2" t="inlineStr">
        <is>
          <t>PX_LAST</t>
        </is>
      </c>
      <c r="XO2" t="inlineStr">
        <is>
          <t>PX_VOLUME</t>
        </is>
      </c>
      <c r="XQ2" t="inlineStr">
        <is>
          <t>Date</t>
        </is>
      </c>
      <c r="XR2" t="inlineStr">
        <is>
          <t>PX_LAST</t>
        </is>
      </c>
      <c r="XS2" t="inlineStr">
        <is>
          <t>PX_VOLUME</t>
        </is>
      </c>
      <c r="XU2" t="inlineStr">
        <is>
          <t>Date</t>
        </is>
      </c>
      <c r="XV2" t="inlineStr">
        <is>
          <t>PX_LAST</t>
        </is>
      </c>
      <c r="XW2" t="inlineStr">
        <is>
          <t>PX_VOLUME</t>
        </is>
      </c>
      <c r="XY2" t="inlineStr">
        <is>
          <t>Date</t>
        </is>
      </c>
      <c r="XZ2" t="inlineStr">
        <is>
          <t>PX_LAST</t>
        </is>
      </c>
      <c r="YA2" t="inlineStr">
        <is>
          <t>PX_VOLUME</t>
        </is>
      </c>
      <c r="YC2" t="inlineStr">
        <is>
          <t>Date</t>
        </is>
      </c>
      <c r="YD2" t="inlineStr">
        <is>
          <t>PX_LAST</t>
        </is>
      </c>
      <c r="YE2" t="inlineStr">
        <is>
          <t>PX_VOLUME</t>
        </is>
      </c>
      <c r="YG2" t="inlineStr">
        <is>
          <t>Date</t>
        </is>
      </c>
      <c r="YH2" t="inlineStr">
        <is>
          <t>PX_LAST</t>
        </is>
      </c>
      <c r="YI2" t="inlineStr">
        <is>
          <t>PX_VOLUME</t>
        </is>
      </c>
      <c r="YK2" t="inlineStr">
        <is>
          <t>Date</t>
        </is>
      </c>
      <c r="YL2" t="inlineStr">
        <is>
          <t>PX_LAST</t>
        </is>
      </c>
      <c r="YM2" t="inlineStr">
        <is>
          <t>PX_VOLUME</t>
        </is>
      </c>
      <c r="YO2" t="inlineStr">
        <is>
          <t>Date</t>
        </is>
      </c>
      <c r="YP2" t="inlineStr">
        <is>
          <t>PX_LAST</t>
        </is>
      </c>
      <c r="YQ2" t="inlineStr">
        <is>
          <t>PX_VOLUME</t>
        </is>
      </c>
      <c r="YS2" t="inlineStr">
        <is>
          <t>Date</t>
        </is>
      </c>
      <c r="YT2" t="inlineStr">
        <is>
          <t>PX_LAST</t>
        </is>
      </c>
      <c r="YU2" t="inlineStr">
        <is>
          <t>PX_VOLUME</t>
        </is>
      </c>
      <c r="YW2" t="inlineStr">
        <is>
          <t>Date</t>
        </is>
      </c>
      <c r="YX2" t="inlineStr">
        <is>
          <t>PX_LAST</t>
        </is>
      </c>
      <c r="YY2" t="inlineStr">
        <is>
          <t>PX_VOLUME</t>
        </is>
      </c>
      <c r="ZA2" t="inlineStr">
        <is>
          <t>Date</t>
        </is>
      </c>
      <c r="ZB2" t="inlineStr">
        <is>
          <t>PX_LAST</t>
        </is>
      </c>
      <c r="ZC2" t="inlineStr">
        <is>
          <t>PX_VOLUME</t>
        </is>
      </c>
      <c r="ZE2" t="inlineStr">
        <is>
          <t>Date</t>
        </is>
      </c>
      <c r="ZF2" t="inlineStr">
        <is>
          <t>PX_LAST</t>
        </is>
      </c>
      <c r="ZG2" t="inlineStr">
        <is>
          <t>PX_VOLUME</t>
        </is>
      </c>
      <c r="ZI2" t="inlineStr">
        <is>
          <t>Date</t>
        </is>
      </c>
      <c r="ZJ2" t="inlineStr">
        <is>
          <t>PX_LAST</t>
        </is>
      </c>
      <c r="ZK2" t="inlineStr">
        <is>
          <t>PX_VOLUME</t>
        </is>
      </c>
      <c r="ZM2" t="inlineStr">
        <is>
          <t>Date</t>
        </is>
      </c>
      <c r="ZN2" t="inlineStr">
        <is>
          <t>PX_LAST</t>
        </is>
      </c>
      <c r="ZO2" t="inlineStr">
        <is>
          <t>PX_VOLUME</t>
        </is>
      </c>
      <c r="ZQ2" t="inlineStr">
        <is>
          <t>Date</t>
        </is>
      </c>
      <c r="ZR2" t="inlineStr">
        <is>
          <t>PX_LAST</t>
        </is>
      </c>
      <c r="ZS2" t="inlineStr">
        <is>
          <t>PX_VOLUME</t>
        </is>
      </c>
      <c r="ZU2" t="inlineStr">
        <is>
          <t>Date</t>
        </is>
      </c>
      <c r="ZV2" t="inlineStr">
        <is>
          <t>PX_LAST</t>
        </is>
      </c>
      <c r="ZW2" t="inlineStr">
        <is>
          <t>PX_VOLUME</t>
        </is>
      </c>
      <c r="ZY2" t="inlineStr">
        <is>
          <t>Date</t>
        </is>
      </c>
      <c r="ZZ2" t="inlineStr">
        <is>
          <t>PX_LAST</t>
        </is>
      </c>
      <c r="AAA2" t="inlineStr">
        <is>
          <t>PX_VOLUME</t>
        </is>
      </c>
      <c r="AAC2" t="inlineStr">
        <is>
          <t>Date</t>
        </is>
      </c>
      <c r="AAD2" t="inlineStr">
        <is>
          <t>PX_LAST</t>
        </is>
      </c>
      <c r="AAE2" t="inlineStr">
        <is>
          <t>PX_VOLUME</t>
        </is>
      </c>
      <c r="AAG2" t="inlineStr">
        <is>
          <t>Date</t>
        </is>
      </c>
      <c r="AAH2" t="inlineStr">
        <is>
          <t>PX_LAST</t>
        </is>
      </c>
      <c r="AAI2" t="inlineStr">
        <is>
          <t>PX_VOLUME</t>
        </is>
      </c>
      <c r="AAK2" t="inlineStr">
        <is>
          <t>Date</t>
        </is>
      </c>
      <c r="AAL2" t="inlineStr">
        <is>
          <t>PX_LAST</t>
        </is>
      </c>
      <c r="AAM2" t="inlineStr">
        <is>
          <t>PX_VOLUME</t>
        </is>
      </c>
      <c r="AAO2" t="inlineStr">
        <is>
          <t>Date</t>
        </is>
      </c>
      <c r="AAP2" t="inlineStr">
        <is>
          <t>PX_LAST</t>
        </is>
      </c>
      <c r="AAQ2" t="inlineStr">
        <is>
          <t>PX_VOLUME</t>
        </is>
      </c>
      <c r="AAS2" t="inlineStr">
        <is>
          <t>Date</t>
        </is>
      </c>
      <c r="AAT2" t="inlineStr">
        <is>
          <t>PX_LAST</t>
        </is>
      </c>
      <c r="AAU2" t="inlineStr">
        <is>
          <t>PX_VOLUME</t>
        </is>
      </c>
      <c r="AAW2" t="inlineStr">
        <is>
          <t>Date</t>
        </is>
      </c>
      <c r="AAX2" t="inlineStr">
        <is>
          <t>PX_LAST</t>
        </is>
      </c>
      <c r="AAY2" t="inlineStr">
        <is>
          <t>PX_VOLUME</t>
        </is>
      </c>
      <c r="ABA2" t="inlineStr">
        <is>
          <t>Date</t>
        </is>
      </c>
      <c r="ABB2" t="inlineStr">
        <is>
          <t>PX_LAST</t>
        </is>
      </c>
      <c r="ABC2" t="inlineStr">
        <is>
          <t>PX_VOLUME</t>
        </is>
      </c>
      <c r="ABE2" t="inlineStr">
        <is>
          <t>Date</t>
        </is>
      </c>
      <c r="ABF2" t="inlineStr">
        <is>
          <t>PX_LAST</t>
        </is>
      </c>
      <c r="ABG2" t="inlineStr">
        <is>
          <t>PX_VOLUME</t>
        </is>
      </c>
      <c r="ABI2" t="inlineStr">
        <is>
          <t>Date</t>
        </is>
      </c>
      <c r="ABJ2" t="inlineStr">
        <is>
          <t>PX_LAST</t>
        </is>
      </c>
      <c r="ABK2" t="inlineStr">
        <is>
          <t>PX_VOLUME</t>
        </is>
      </c>
      <c r="ABM2" t="inlineStr">
        <is>
          <t>Date</t>
        </is>
      </c>
      <c r="ABN2" t="inlineStr">
        <is>
          <t>PX_LAST</t>
        </is>
      </c>
      <c r="ABO2" t="inlineStr">
        <is>
          <t>PX_VOLUME</t>
        </is>
      </c>
      <c r="ABQ2" t="inlineStr">
        <is>
          <t>Date</t>
        </is>
      </c>
      <c r="ABR2" t="inlineStr">
        <is>
          <t>PX_LAST</t>
        </is>
      </c>
      <c r="ABS2" t="inlineStr">
        <is>
          <t>PX_VOLUME</t>
        </is>
      </c>
      <c r="ABU2" t="inlineStr">
        <is>
          <t>Date</t>
        </is>
      </c>
      <c r="ABV2" t="inlineStr">
        <is>
          <t>PX_LAST</t>
        </is>
      </c>
      <c r="ABW2" t="inlineStr">
        <is>
          <t>PX_VOLUME</t>
        </is>
      </c>
      <c r="ABY2" t="inlineStr">
        <is>
          <t>Date</t>
        </is>
      </c>
      <c r="ABZ2" t="inlineStr">
        <is>
          <t>PX_LAST</t>
        </is>
      </c>
      <c r="ACA2" t="inlineStr">
        <is>
          <t>PX_VOLUME</t>
        </is>
      </c>
      <c r="ACC2" t="inlineStr">
        <is>
          <t>Date</t>
        </is>
      </c>
      <c r="ACD2" t="inlineStr">
        <is>
          <t>PX_LAST</t>
        </is>
      </c>
      <c r="ACE2" t="inlineStr">
        <is>
          <t>PX_VOLUME</t>
        </is>
      </c>
      <c r="ACG2" t="inlineStr">
        <is>
          <t>Date</t>
        </is>
      </c>
      <c r="ACH2" t="inlineStr">
        <is>
          <t>PX_LAST</t>
        </is>
      </c>
      <c r="ACI2" t="inlineStr">
        <is>
          <t>PX_VOLUME</t>
        </is>
      </c>
      <c r="ACK2" t="inlineStr">
        <is>
          <t>Date</t>
        </is>
      </c>
      <c r="ACL2" t="inlineStr">
        <is>
          <t>PX_LAST</t>
        </is>
      </c>
      <c r="ACM2" t="inlineStr">
        <is>
          <t>PX_VOLUME</t>
        </is>
      </c>
      <c r="ACO2" t="inlineStr">
        <is>
          <t>Date</t>
        </is>
      </c>
      <c r="ACP2" t="inlineStr">
        <is>
          <t>PX_LAST</t>
        </is>
      </c>
      <c r="ACQ2" t="inlineStr">
        <is>
          <t>PX_VOLUME</t>
        </is>
      </c>
      <c r="ACS2" t="inlineStr">
        <is>
          <t>Date</t>
        </is>
      </c>
      <c r="ACT2" t="inlineStr">
        <is>
          <t>PX_LAST</t>
        </is>
      </c>
      <c r="ACU2" t="inlineStr">
        <is>
          <t>PX_VOLUME</t>
        </is>
      </c>
      <c r="ACW2" t="inlineStr">
        <is>
          <t>Date</t>
        </is>
      </c>
      <c r="ACX2" t="inlineStr">
        <is>
          <t>PX_LAST</t>
        </is>
      </c>
      <c r="ACY2" t="inlineStr">
        <is>
          <t>PX_VOLUME</t>
        </is>
      </c>
      <c r="ADA2" t="inlineStr">
        <is>
          <t>Date</t>
        </is>
      </c>
      <c r="ADB2" t="inlineStr">
        <is>
          <t>PX_LAST</t>
        </is>
      </c>
      <c r="ADC2" t="inlineStr">
        <is>
          <t>PX_VOLUME</t>
        </is>
      </c>
      <c r="ADE2" t="inlineStr">
        <is>
          <t>Date</t>
        </is>
      </c>
      <c r="ADF2" t="inlineStr">
        <is>
          <t>PX_LAST</t>
        </is>
      </c>
      <c r="ADG2" t="inlineStr">
        <is>
          <t>PX_VOLUME</t>
        </is>
      </c>
      <c r="ADI2" t="inlineStr">
        <is>
          <t>Date</t>
        </is>
      </c>
      <c r="ADJ2" t="inlineStr">
        <is>
          <t>PX_LAST</t>
        </is>
      </c>
      <c r="ADK2" t="inlineStr">
        <is>
          <t>PX_VOLUME</t>
        </is>
      </c>
      <c r="ADM2" t="inlineStr">
        <is>
          <t>Date</t>
        </is>
      </c>
      <c r="ADN2" t="inlineStr">
        <is>
          <t>PX_LAST</t>
        </is>
      </c>
      <c r="ADO2" t="inlineStr">
        <is>
          <t>PX_VOLUME</t>
        </is>
      </c>
      <c r="ADQ2" t="inlineStr">
        <is>
          <t>Date</t>
        </is>
      </c>
      <c r="ADR2" t="inlineStr">
        <is>
          <t>PX_LAST</t>
        </is>
      </c>
      <c r="ADS2" t="inlineStr">
        <is>
          <t>PX_VOLUME</t>
        </is>
      </c>
    </row>
    <row r="3">
      <c r="A3">
        <f>BDH("BBG01PZFD5G8 Equity","PX_LAST,PX_VOLUME","1/1/2020","6/10/2026")</f>
        <v/>
      </c>
      <c r="E3">
        <f>BDH("BBG01PB1MLY0 Equity","PX_LAST,PX_VOLUME","1/1/2020","6/10/2026")</f>
        <v/>
      </c>
      <c r="I3">
        <f>BDH("BBG01PZFFT01 Equity","PX_LAST,PX_VOLUME","1/1/2020","6/10/2026")</f>
        <v/>
      </c>
      <c r="M3">
        <f>BDH("BBG01PB1M8Q8 Equity","PX_LAST,PX_VOLUME","1/1/2020","6/10/2026")</f>
        <v/>
      </c>
      <c r="Q3">
        <f>BDH("BBG01PZFFV79 Equity","PX_LAST,PX_VOLUME","1/1/2020","6/10/2026")</f>
        <v/>
      </c>
      <c r="U3">
        <f>BDH("BBG01PB1LZ07 Equity","PX_LAST,PX_VOLUME","1/1/2020","6/10/2026")</f>
        <v/>
      </c>
      <c r="Y3">
        <f>BDH("BBG01PZFGH24 Equity","PX_LAST,PX_VOLUME","1/1/2020","6/10/2026")</f>
        <v/>
      </c>
      <c r="AC3">
        <f>BDH("BBG01PB1MMH7 Equity","PX_LAST,PX_VOLUME","1/1/2020","6/10/2026")</f>
        <v/>
      </c>
      <c r="AG3">
        <f>BDH("BBG01PZFFTM7 Equity","PX_LAST,PX_VOLUME","1/1/2020","6/10/2026")</f>
        <v/>
      </c>
      <c r="AK3">
        <f>BDH("BBG01PB1MN12 Equity","PX_LAST,PX_VOLUME","1/1/2020","6/10/2026")</f>
        <v/>
      </c>
      <c r="AO3">
        <f>BDH("BBG01PZFGJX6 Equity","PX_LAST,PX_VOLUME","1/1/2020","6/10/2026")</f>
        <v/>
      </c>
      <c r="AS3">
        <f>BDH("BBG01PB1LYG3 Equity","PX_LAST,PX_VOLUME","1/1/2020","6/10/2026")</f>
        <v/>
      </c>
      <c r="AW3">
        <f>BDH("BBG01PZFGLG0 Equity","PX_LAST,PX_VOLUME","1/1/2020","6/10/2026")</f>
        <v/>
      </c>
      <c r="BA3">
        <f>BDH("BBG01PB1LLD4 Equity","PX_LAST,PX_VOLUME","1/1/2020","6/10/2026")</f>
        <v/>
      </c>
      <c r="BE3">
        <f>BDH("BBG01PZFGHP9 Equity","PX_LAST,PX_VOLUME","1/1/2020","6/10/2026")</f>
        <v/>
      </c>
      <c r="BI3">
        <f>BDH("BBG01PB1KRK4 Equity","PX_LAST,PX_VOLUME","1/1/2020","6/10/2026")</f>
        <v/>
      </c>
      <c r="BM3">
        <f>BDH("BBG01PZFGM23 Equity","PX_LAST,PX_VOLUME","1/1/2020","6/10/2026")</f>
        <v/>
      </c>
      <c r="BQ3">
        <f>BDH("BBG01PB1MLD3 Equity","PX_LAST,PX_VOLUME","1/1/2020","6/10/2026")</f>
        <v/>
      </c>
      <c r="BU3">
        <f>BDH("BBG01PZFGJ93 Equity","PX_LAST,PX_VOLUME","1/1/2020","6/10/2026")</f>
        <v/>
      </c>
      <c r="BY3">
        <f>BDH("BBG01PB1M7V4 Equity","PX_LAST,PX_VOLUME","1/1/2020","6/10/2026")</f>
        <v/>
      </c>
      <c r="CC3">
        <f>BDH("BBG01PB1KR06 Equity","PX_LAST,PX_VOLUME","1/1/2020","6/10/2026")</f>
        <v/>
      </c>
      <c r="CG3">
        <f>BDH("BBG01PB1M851 Equity","PX_LAST,PX_VOLUME","1/1/2020","6/10/2026")</f>
        <v/>
      </c>
      <c r="CK3">
        <f>BDH("BBG01PCSZHD8 Equity","PX_LAST,PX_VOLUME","1/1/2020","6/10/2026")</f>
        <v/>
      </c>
      <c r="CO3">
        <f>BDH("BBG01PCSZHY5 Equity","PX_LAST,PX_VOLUME","1/1/2020","6/10/2026")</f>
        <v/>
      </c>
      <c r="CS3">
        <f>BDH("BBG01PMGGMS7 Equity","PX_LAST,PX_VOLUME","1/1/2020","6/10/2026")</f>
        <v/>
      </c>
      <c r="CW3">
        <f>BDH("BBG01PMGGM61 Equity","PX_LAST,PX_VOLUME","1/1/2020","6/10/2026")</f>
        <v/>
      </c>
      <c r="DA3">
        <f>BDH("BBG01PYDT9F0 Equity","PX_LAST,PX_VOLUME","1/1/2020","6/10/2026")</f>
        <v/>
      </c>
      <c r="DE3">
        <f>BDH("BBG01Q0LG4P1 Equity","PX_LAST,PX_VOLUME","1/1/2020","6/10/2026")</f>
        <v/>
      </c>
      <c r="DI3">
        <f>BDH("BBG01PX6LZH4 Equity","PX_LAST,PX_VOLUME","1/1/2020","6/10/2026")</f>
        <v/>
      </c>
      <c r="DM3">
        <f>BDH("BBG01PX6M5L4 Equity","PX_LAST,PX_VOLUME","1/1/2020","6/10/2026")</f>
        <v/>
      </c>
      <c r="DQ3">
        <f>BDH("BBG01PX6MKR5 Equity","PX_LAST,PX_VOLUME","1/1/2020","6/10/2026")</f>
        <v/>
      </c>
      <c r="DU3">
        <f>BDH("BBG01PX6M9B7 Equity","PX_LAST,PX_VOLUME","1/1/2020","6/10/2026")</f>
        <v/>
      </c>
      <c r="DY3">
        <f>BDH("BBG01PX6LCW8 Equity","PX_LAST,PX_VOLUME","1/1/2020","6/10/2026")</f>
        <v/>
      </c>
      <c r="EC3">
        <f>BDH("BBG01PX6LKP8 Equity","PX_LAST,PX_VOLUME","1/1/2020","6/10/2026")</f>
        <v/>
      </c>
      <c r="EG3">
        <f>BDH("BBG01PX6LK23 Equity","PX_LAST,PX_VOLUME","1/1/2020","6/10/2026")</f>
        <v/>
      </c>
      <c r="EK3">
        <f>BDH("BBG01PX6M6T4 Equity","PX_LAST,PX_VOLUME","1/1/2020","6/10/2026")</f>
        <v/>
      </c>
      <c r="EO3">
        <f>BDH("BBG01PX6KNY3 Equity","PX_LAST,PX_VOLUME","1/1/2020","6/10/2026")</f>
        <v/>
      </c>
      <c r="ES3">
        <f>BDH("BBG01PX6KK15 Equity","PX_LAST,PX_VOLUME","1/1/2020","6/10/2026")</f>
        <v/>
      </c>
      <c r="EW3">
        <f>BDH("BBG01PX6LY87 Equity","PX_LAST,PX_VOLUME","1/1/2020","6/10/2026")</f>
        <v/>
      </c>
      <c r="FA3">
        <f>BDH("BBG01PX6M8Q3 Equity","PX_LAST,PX_VOLUME","1/1/2020","6/10/2026")</f>
        <v/>
      </c>
      <c r="FE3">
        <f>BDH("BBG01PX6MLC9 Equity","PX_LAST,PX_VOLUME","1/1/2020","6/10/2026")</f>
        <v/>
      </c>
      <c r="FI3">
        <f>BDH("BBG01PX6M838 Equity","PX_LAST,PX_VOLUME","1/1/2020","6/10/2026")</f>
        <v/>
      </c>
      <c r="FM3">
        <f>BDH("BBG01PX6LYW0 Equity","PX_LAST,PX_VOLUME","1/1/2020","6/10/2026")</f>
        <v/>
      </c>
      <c r="FQ3">
        <f>BDH("BBG01PX6KKN1 Equity","PX_LAST,PX_VOLUME","1/1/2020","6/10/2026")</f>
        <v/>
      </c>
      <c r="FU3">
        <f>BDH("BBG01PX6M7F7 Equity","PX_LAST,PX_VOLUME","1/1/2020","6/10/2026")</f>
        <v/>
      </c>
      <c r="FY3">
        <f>BDH("BBG01PX6M669 Equity","PX_LAST,PX_VOLUME","1/1/2020","6/10/2026")</f>
        <v/>
      </c>
      <c r="GC3">
        <f>BDH("BBG01PX6KNB8 Equity","PX_LAST,PX_VOLUME","1/1/2020","6/10/2026")</f>
        <v/>
      </c>
      <c r="GG3">
        <f>BDH("BBG01PX6LJG1 Equity","PX_LAST,PX_VOLUME","1/1/2020","6/10/2026")</f>
        <v/>
      </c>
      <c r="GK3">
        <f>BDH("BBG01PX6LDH3 Equity","PX_LAST,PX_VOLUME","1/1/2020","6/10/2026")</f>
        <v/>
      </c>
      <c r="GO3">
        <f>BDH("BBG01PYDSSM1 Equity","PX_LAST,PX_VOLUME","1/1/2020","6/10/2026")</f>
        <v/>
      </c>
      <c r="GS3">
        <f>BDH("BBG01PYDST76 Equity","PX_LAST,PX_VOLUME","1/1/2020","6/10/2026")</f>
        <v/>
      </c>
      <c r="GW3">
        <f>BDH("BBG01Q04R4P7 Equity","PX_LAST,PX_VOLUME","1/1/2020","6/10/2026")</f>
        <v/>
      </c>
      <c r="HA3">
        <f>BDH("BBG01MJ2XWD4 Equity","PX_LAST,PX_VOLUME","1/1/2020","6/10/2026")</f>
        <v/>
      </c>
      <c r="HE3">
        <f>BDH("BBG01MJ2XXH8 Equity","PX_LAST,PX_VOLUME","1/1/2020","6/10/2026")</f>
        <v/>
      </c>
      <c r="HI3">
        <f>BDH("BBG01MJ2XYM0 Equity","PX_LAST,PX_VOLUME","1/1/2020","6/10/2026")</f>
        <v/>
      </c>
      <c r="HM3">
        <f>BDH("BBG01MJ2XZQ3 Equity","PX_LAST,PX_VOLUME","1/1/2020","6/10/2026")</f>
        <v/>
      </c>
      <c r="HQ3">
        <f>BDH("BBG01MJ2Y0T6 Equity","PX_LAST,PX_VOLUME","1/1/2020","6/10/2026")</f>
        <v/>
      </c>
      <c r="HU3">
        <f>BDH("BBG01MJ2Y1Z7 Equity","PX_LAST,PX_VOLUME","1/1/2020","6/10/2026")</f>
        <v/>
      </c>
      <c r="HY3">
        <f>BDH("BBG01MJ2Y329 Equity","PX_LAST,PX_VOLUME","1/1/2020","6/10/2026")</f>
        <v/>
      </c>
      <c r="IC3">
        <f>BDH("BBG01MJ2Y454 Equity","PX_LAST,PX_VOLUME","1/1/2020","6/10/2026")</f>
        <v/>
      </c>
      <c r="IG3">
        <f>BDH("BBG01MJ2Y597 Equity","PX_LAST,PX_VOLUME","1/1/2020","6/10/2026")</f>
        <v/>
      </c>
      <c r="IK3">
        <f>BDH("BBG01MJ2Y6D0 Equity","PX_LAST,PX_VOLUME","1/1/2020","6/10/2026")</f>
        <v/>
      </c>
      <c r="IO3">
        <f>BDH("BBG01MJ2Y7H4 Equity","PX_LAST,PX_VOLUME","1/1/2020","6/10/2026")</f>
        <v/>
      </c>
      <c r="IS3">
        <f>BDH("BBG01MJ2Y8M6 Equity","PX_LAST,PX_VOLUME","1/1/2020","6/10/2026")</f>
        <v/>
      </c>
      <c r="IW3">
        <f>BDH("BBG01MP8ZK48 Equity","PX_LAST,PX_VOLUME","1/1/2020","6/10/2026")</f>
        <v/>
      </c>
      <c r="JA3">
        <f>BDH("BBG01MP8ZL73 Equity","PX_LAST,PX_VOLUME","1/1/2020","6/10/2026")</f>
        <v/>
      </c>
      <c r="JE3">
        <f>BDH("BBG01MP8ZMB6 Equity","PX_LAST,PX_VOLUME","1/1/2020","6/10/2026")</f>
        <v/>
      </c>
      <c r="JI3">
        <f>BDH("BBG01MP8ZNG9 Equity","PX_LAST,PX_VOLUME","1/1/2020","6/10/2026")</f>
        <v/>
      </c>
      <c r="JM3">
        <f>BDH("BBG01MP8ZPK9 Equity","PX_LAST,PX_VOLUME","1/1/2020","6/10/2026")</f>
        <v/>
      </c>
      <c r="JQ3">
        <f>BDH("BBG01NMLMGB5 Equity","PX_LAST,PX_VOLUME","1/1/2020","6/10/2026")</f>
        <v/>
      </c>
      <c r="JU3">
        <f>BDH("BBG01NMLN6J8 Equity","PX_LAST,PX_VOLUME","1/1/2020","6/10/2026")</f>
        <v/>
      </c>
      <c r="JY3">
        <f>BDH("BBG01NMLMFS9 Equity","PX_LAST,PX_VOLUME","1/1/2020","6/10/2026")</f>
        <v/>
      </c>
      <c r="KC3">
        <f>BDH("BBG01NNBR3K0 Equity","PX_LAST,PX_VOLUME","1/1/2020","6/10/2026")</f>
        <v/>
      </c>
      <c r="KG3">
        <f>BDH("BBG01NNBR437 Equity","PX_LAST,PX_VOLUME","1/1/2020","6/10/2026")</f>
        <v/>
      </c>
      <c r="KK3">
        <f>BDH("BBG01NNBR302 Equity","PX_LAST,PX_VOLUME","1/1/2020","6/10/2026")</f>
        <v/>
      </c>
      <c r="KO3">
        <f>BDH("BBG01NQ2C341 Equity","PX_LAST,PX_VOLUME","1/1/2020","6/10/2026")</f>
        <v/>
      </c>
      <c r="KS3">
        <f>BDH("BBG01NQ2C3P8 Equity","PX_LAST,PX_VOLUME","1/1/2020","6/10/2026")</f>
        <v/>
      </c>
      <c r="KW3">
        <f>BDH("BBG01JWHK2L4 Equity","PX_LAST,PX_VOLUME","1/1/2020","6/10/2026")</f>
        <v/>
      </c>
      <c r="LA3">
        <f>BDH("BBG01JWHK3K3 Equity","PX_LAST,PX_VOLUME","1/1/2020","6/10/2026")</f>
        <v/>
      </c>
      <c r="LE3">
        <f>BDH("BBG01JWHK4K1 Equity","PX_LAST,PX_VOLUME","1/1/2020","6/10/2026")</f>
        <v/>
      </c>
      <c r="LI3">
        <f>BDH("BBG01JWHK5J0 Equity","PX_LAST,PX_VOLUME","1/1/2020","6/10/2026")</f>
        <v/>
      </c>
      <c r="LM3">
        <f>BDH("BBG01J9PCTK3 Equity","PX_LAST,PX_VOLUME","1/1/2020","6/10/2026")</f>
        <v/>
      </c>
      <c r="LQ3">
        <f>BDH("BBG01JWHK6H0 Equity","PX_LAST,PX_VOLUME","1/1/2020","6/10/2026")</f>
        <v/>
      </c>
      <c r="LU3">
        <f>BDH("BBG01JWHK7H8 Equity","PX_LAST,PX_VOLUME","1/1/2020","6/10/2026")</f>
        <v/>
      </c>
      <c r="LY3">
        <f>BDH("BBG01JWHK8G7 Equity","PX_LAST,PX_VOLUME","1/1/2020","6/10/2026")</f>
        <v/>
      </c>
      <c r="MC3">
        <f>BDH("BBG01JWHK9F6 Equity","PX_LAST,PX_VOLUME","1/1/2020","6/10/2026")</f>
        <v/>
      </c>
      <c r="MG3">
        <f>BDH("BBG01J9PCVJ0 Equity","PX_LAST,PX_VOLUME","1/1/2020","6/10/2026")</f>
        <v/>
      </c>
      <c r="MK3">
        <f>BDH("BBG01JWHKBF1 Equity","PX_LAST,PX_VOLUME","1/1/2020","6/10/2026")</f>
        <v/>
      </c>
      <c r="MO3">
        <f>BDH("BBG01JWHKCD1 Equity","PX_LAST,PX_VOLUME","1/1/2020","6/10/2026")</f>
        <v/>
      </c>
      <c r="MS3">
        <f>BDH("BBG01JWHKDC0 Equity","PX_LAST,PX_VOLUME","1/1/2020","6/10/2026")</f>
        <v/>
      </c>
      <c r="MW3">
        <f>BDH("BBG01J9FKWX5 Equity","PX_LAST,PX_VOLUME","1/1/2020","6/10/2026")</f>
        <v/>
      </c>
      <c r="NA3">
        <f>BDH("BBG01J9FKXW4 Equity","PX_LAST,PX_VOLUME","1/1/2020","6/10/2026")</f>
        <v/>
      </c>
      <c r="NE3">
        <f>BDH("BBG01J9FKYV3 Equity","PX_LAST,PX_VOLUME","1/1/2020","6/10/2026")</f>
        <v/>
      </c>
      <c r="NI3">
        <f>BDH("BBG01J9FKZV0 Equity","PX_LAST,PX_VOLUME","1/1/2020","6/10/2026")</f>
        <v/>
      </c>
      <c r="NM3">
        <f>BDH("BBG01J9FL0T9 Equity","PX_LAST,PX_VOLUME","1/1/2020","6/10/2026")</f>
        <v/>
      </c>
      <c r="NQ3">
        <f>BDH("BBG01JWHKFB6 Equity","PX_LAST,PX_VOLUME","1/1/2020","6/10/2026")</f>
        <v/>
      </c>
      <c r="NU3">
        <f>BDH("BBG01J9PCWH0 Equity","PX_LAST,PX_VOLUME","1/1/2020","6/10/2026")</f>
        <v/>
      </c>
      <c r="NY3">
        <f>BDH("BBG01JWHKGB4 Equity","PX_LAST,PX_VOLUME","1/1/2020","6/10/2026")</f>
        <v/>
      </c>
      <c r="OC3">
        <f>BDH("BBG01JWHKH95 Equity","PX_LAST,PX_VOLUME","1/1/2020","6/10/2026")</f>
        <v/>
      </c>
      <c r="OG3">
        <f>BDH("BBG01JWHKJ82 Equity","PX_LAST,PX_VOLUME","1/1/2020","6/10/2026")</f>
        <v/>
      </c>
      <c r="OK3">
        <f>BDH("BBG01JWHKK89 Equity","PX_LAST,PX_VOLUME","1/1/2020","6/10/2026")</f>
        <v/>
      </c>
      <c r="OO3">
        <f>BDH("BBG01J9PCXH8 Equity","PX_LAST,PX_VOLUME","1/1/2020","6/10/2026")</f>
        <v/>
      </c>
      <c r="OS3">
        <f>BDH("BBG01QVGV9B5 Equity","PX_LAST,PX_VOLUME","1/1/2020","6/10/2026")</f>
        <v/>
      </c>
      <c r="OW3">
        <f>BDH("BBG01QVGV9Y0 Equity","PX_LAST,PX_VOLUME","1/1/2020","6/10/2026")</f>
        <v/>
      </c>
      <c r="PA3">
        <f>BDH("BBG01QVGV8Q1 Equity","PX_LAST,PX_VOLUME","1/1/2020","6/10/2026")</f>
        <v/>
      </c>
      <c r="PE3">
        <f>BDH("BBG01J9PCYG7 Equity","PX_LAST,PX_VOLUME","1/1/2020","6/10/2026")</f>
        <v/>
      </c>
      <c r="PI3">
        <f>BDH("BBG01R6BM655 Equity","PX_LAST,PX_VOLUME","1/1/2020","6/10/2026")</f>
        <v/>
      </c>
      <c r="PM3">
        <f>BDH("BBG01R6BM6S0 Equity","PX_LAST,PX_VOLUME","1/1/2020","6/10/2026")</f>
        <v/>
      </c>
      <c r="PQ3">
        <f>BDH("BBG01R6BM806 Equity","PX_LAST,PX_VOLUME","1/1/2020","6/10/2026")</f>
        <v/>
      </c>
      <c r="PU3">
        <f>BDH("BBG01R6BM7D4 Equity","PX_LAST,PX_VOLUME","1/1/2020","6/10/2026")</f>
        <v/>
      </c>
      <c r="PY3">
        <f>BDH("BBG01J9PCZF5 Equity","PX_LAST,PX_VOLUME","1/1/2020","6/10/2026")</f>
        <v/>
      </c>
      <c r="QC3">
        <f>BDH("BBG01R6BMJY5 Equity","PX_LAST,PX_VOLUME","1/1/2020","6/10/2026")</f>
        <v/>
      </c>
      <c r="QG3">
        <f>BDH("BBG01R6BL095 Equity","PX_LAST,PX_VOLUME","1/1/2020","6/10/2026")</f>
        <v/>
      </c>
      <c r="QK3">
        <f>BDH("BBG01R8RV033 Equity","PX_LAST,PX_VOLUME","1/1/2020","6/10/2026")</f>
        <v/>
      </c>
      <c r="QO3">
        <f>BDH("BBG01R6BMJB0 Equity","PX_LAST,PX_VOLUME","1/1/2020","6/10/2026")</f>
        <v/>
      </c>
      <c r="QS3">
        <f>BDH("BBG01R8RTYD1 Equity","PX_LAST,PX_VOLUME","1/1/2020","6/10/2026")</f>
        <v/>
      </c>
      <c r="QW3">
        <f>BDH("BBG01R6BKHX2 Equity","PX_LAST,PX_VOLUME","1/1/2020","6/10/2026")</f>
        <v/>
      </c>
      <c r="RA3">
        <f>BDH("BBG01R8RTTZ8 Equity","PX_LAST,PX_VOLUME","1/1/2020","6/10/2026")</f>
        <v/>
      </c>
      <c r="RE3">
        <f>BDH("BBG01R6BL0X8 Equity","PX_LAST,PX_VOLUME","1/1/2020","6/10/2026")</f>
        <v/>
      </c>
      <c r="RI3">
        <f>BDH("BBG01R8RV0L3 Equity","PX_LAST,PX_VOLUME","1/1/2020","6/10/2026")</f>
        <v/>
      </c>
      <c r="RM3">
        <f>BDH("BBG01R6BMHQ8 Equity","PX_LAST,PX_VOLUME","1/1/2020","6/10/2026")</f>
        <v/>
      </c>
      <c r="RQ3">
        <f>BDH("BBG01R8RV1M0 Equity","PX_LAST,PX_VOLUME","1/1/2020","6/10/2026")</f>
        <v/>
      </c>
      <c r="RU3">
        <f>BDH("BBG01R8RTCY6 Equity","PX_LAST,PX_VOLUME","1/1/2020","6/10/2026")</f>
        <v/>
      </c>
      <c r="RY3">
        <f>BDH("BBG01R8RTW63 Equity","PX_LAST,PX_VOLUME","1/1/2020","6/10/2026")</f>
        <v/>
      </c>
      <c r="SC3">
        <f>BDH("BBG01R8RTZ02 Equity","PX_LAST,PX_VOLUME","1/1/2020","6/10/2026")</f>
        <v/>
      </c>
      <c r="SG3">
        <f>BDH("BBG01R8RTZM8 Equity","PX_LAST,PX_VOLUME","1/1/2020","6/10/2026")</f>
        <v/>
      </c>
      <c r="SK3">
        <f>BDH("BBG01R8RV275 Equity","PX_LAST,PX_VOLUME","1/1/2020","6/10/2026")</f>
        <v/>
      </c>
      <c r="SO3">
        <f>BDH("BBG01R8RSKX0 Equity","PX_LAST,PX_VOLUME","1/1/2020","6/10/2026")</f>
        <v/>
      </c>
      <c r="SS3">
        <f>BDH("BBG01R8RTDK9 Equity","PX_LAST,PX_VOLUME","1/1/2020","6/10/2026")</f>
        <v/>
      </c>
      <c r="SW3">
        <f>BDH("BBG01R8RTVL8 Equity","PX_LAST,PX_VOLUME","1/1/2020","6/10/2026")</f>
        <v/>
      </c>
      <c r="TA3">
        <f>BDH("BBG01R97QK38 Equity","PX_LAST,PX_VOLUME","1/1/2020","6/10/2026")</f>
        <v/>
      </c>
      <c r="TE3">
        <f>BDH("BBG01R9PVBJ5 Equity","PX_LAST,PX_VOLUME","1/1/2020","6/10/2026")</f>
        <v/>
      </c>
      <c r="TI3">
        <f>BDH("BBG01R9PSRB2 Equity","PX_LAST,PX_VOLUME","1/1/2020","6/10/2026")</f>
        <v/>
      </c>
      <c r="TM3">
        <f>BDH("BBG01R9PVDC8 Equity","PX_LAST,PX_VOLUME","1/1/2020","6/10/2026")</f>
        <v/>
      </c>
      <c r="TQ3">
        <f>BDH("BBG01R9PTRM9 Equity","PX_LAST,PX_VOLUME","1/1/2020","6/10/2026")</f>
        <v/>
      </c>
      <c r="TU3">
        <f>BDH("BBG01R9PVCR4 Equity","PX_LAST,PX_VOLUME","1/1/2020","6/10/2026")</f>
        <v/>
      </c>
      <c r="TY3">
        <f>BDH("BBG01R9PTS74 Equity","PX_LAST,PX_VOLUME","1/1/2020","6/10/2026")</f>
        <v/>
      </c>
      <c r="UC3">
        <f>BDH("BBG01R9PVC49 Equity","PX_LAST,PX_VOLUME","1/1/2020","6/10/2026")</f>
        <v/>
      </c>
      <c r="UG3">
        <f>BDH("BBG01RB3BCF5 Equity","PX_LAST,PX_VOLUME","1/1/2020","6/10/2026")</f>
        <v/>
      </c>
      <c r="UK3">
        <f>BDH("BBG01RB3B9L5 Equity","PX_LAST,PX_VOLUME","1/1/2020","6/10/2026")</f>
        <v/>
      </c>
      <c r="UO3">
        <f>BDH("BBG01RB3BBT2 Equity","PX_LAST,PX_VOLUME","1/1/2020","6/10/2026")</f>
        <v/>
      </c>
      <c r="US3">
        <f>BDH("BBG01RB39K60 Equity","PX_LAST,PX_VOLUME","1/1/2020","6/10/2026")</f>
        <v/>
      </c>
      <c r="UW3">
        <f>BDH("BBG01RB3BB67 Equity","PX_LAST,PX_VOLUME","1/1/2020","6/10/2026")</f>
        <v/>
      </c>
      <c r="VA3">
        <f>BDH("BBG01RFSR804 Equity","PX_LAST,PX_VOLUME","1/1/2020","6/10/2026")</f>
        <v/>
      </c>
      <c r="VE3">
        <f>BDH("BBG01RFSRV21 Equity","PX_LAST,PX_VOLUME","1/1/2020","6/10/2026")</f>
        <v/>
      </c>
      <c r="VI3">
        <f>BDH("BBG01RFSRWX5 Equity","PX_LAST,PX_VOLUME","1/1/2020","6/10/2026")</f>
        <v/>
      </c>
      <c r="VM3">
        <f>BDH("BBG01RFSRXJ9 Equity","PX_LAST,PX_VOLUME","1/1/2020","6/10/2026")</f>
        <v/>
      </c>
      <c r="VQ3">
        <f>BDH("BBG01RFSR8M0 Equity","PX_LAST,PX_VOLUME","1/1/2020","6/10/2026")</f>
        <v/>
      </c>
      <c r="VU3">
        <f>BDH("BBG01RFSS6G0 Equity","PX_LAST,PX_VOLUME","1/1/2020","6/10/2026")</f>
        <v/>
      </c>
      <c r="VY3">
        <f>BDH("BBG01RFSS5V5 Equity","PX_LAST,PX_VOLUME","1/1/2020","6/10/2026")</f>
        <v/>
      </c>
      <c r="WC3">
        <f>BDH("BBG01RFSRW92 Equity","PX_LAST,PX_VOLUME","1/1/2020","6/10/2026")</f>
        <v/>
      </c>
      <c r="WG3">
        <f>BDH("BBG01RFSRYB5 Equity","PX_LAST,PX_VOLUME","1/1/2020","6/10/2026")</f>
        <v/>
      </c>
      <c r="WK3">
        <f>BDH("BBG01RFSR7D2 Equity","PX_LAST,PX_VOLUME","1/1/2020","6/10/2026")</f>
        <v/>
      </c>
      <c r="WO3">
        <f>BDH("BBG01RFSRXQ1 Equity","PX_LAST,PX_VOLUME","1/1/2020","6/10/2026")</f>
        <v/>
      </c>
      <c r="WS3">
        <f>BDH("BBG01RFSRVP6 Equity","PX_LAST,PX_VOLUME","1/1/2020","6/10/2026")</f>
        <v/>
      </c>
      <c r="WW3">
        <f>BDH("BBG01RFSS572 Equity","PX_LAST,PX_VOLUME","1/1/2020","6/10/2026")</f>
        <v/>
      </c>
      <c r="XA3">
        <f>BDH("BBG01RDP8KF0 Equity","PX_LAST,PX_VOLUME","1/1/2020","6/10/2026")</f>
        <v/>
      </c>
      <c r="XE3">
        <f>BDH("BBG01RDP8956 Equity","PX_LAST,PX_VOLUME","1/1/2020","6/10/2026")</f>
        <v/>
      </c>
      <c r="XI3">
        <f>BDH("BBG01RDP9VT0 Equity","PX_LAST,PX_VOLUME","1/1/2020","6/10/2026")</f>
        <v/>
      </c>
      <c r="XM3">
        <f>BDH("BBG01RDP8L13 Equity","PX_LAST,PX_VOLUME","1/1/2020","6/10/2026")</f>
        <v/>
      </c>
      <c r="XQ3">
        <f>BDH("BBG01RDP9LR4 Equity","PX_LAST,PX_VOLUME","1/1/2020","6/10/2026")</f>
        <v/>
      </c>
      <c r="XU3">
        <f>BDH("BBG01RDP87Y8 Equity","PX_LAST,PX_VOLUME","1/1/2020","6/10/2026")</f>
        <v/>
      </c>
      <c r="XY3">
        <f>BDH("BBG01RDP87B3 Equity","PX_LAST,PX_VOLUME","1/1/2020","6/10/2026")</f>
        <v/>
      </c>
      <c r="YC3">
        <f>BDH("BBG01RDP9TL3 Equity","PX_LAST,PX_VOLUME","1/1/2020","6/10/2026")</f>
        <v/>
      </c>
      <c r="YG3">
        <f>BDH("BBG01RDP9L49 Equity","PX_LAST,PX_VOLUME","1/1/2020","6/10/2026")</f>
        <v/>
      </c>
      <c r="YK3">
        <f>BDH("BBG01RDP9MC8 Equity","PX_LAST,PX_VOLUME","1/1/2020","6/10/2026")</f>
        <v/>
      </c>
      <c r="YO3">
        <f>BDH("BBG01RDP9V65 Equity","PX_LAST,PX_VOLUME","1/1/2020","6/10/2026")</f>
        <v/>
      </c>
      <c r="YS3">
        <f>BDH("BBG01RDP9SZ0 Equity","PX_LAST,PX_VOLUME","1/1/2020","6/10/2026")</f>
        <v/>
      </c>
      <c r="YW3">
        <f>BDH("BBG01RDPB3J0 Equity","PX_LAST,PX_VOLUME","1/1/2020","6/10/2026")</f>
        <v/>
      </c>
      <c r="ZA3">
        <f>BDH("BBG01RDP8LN9 Equity","PX_LAST,PX_VOLUME","1/1/2020","6/10/2026")</f>
        <v/>
      </c>
      <c r="ZE3">
        <f>BDH("BBG01RDP89S1 Equity","PX_LAST,PX_VOLUME","1/1/2020","6/10/2026")</f>
        <v/>
      </c>
      <c r="ZI3">
        <f>BDH("BBG01RDP88K1 Equity","PX_LAST,PX_VOLUME","1/1/2020","6/10/2026")</f>
        <v/>
      </c>
      <c r="ZM3">
        <f>BDH("BBG01RDP9WF3 Equity","PX_LAST,PX_VOLUME","1/1/2020","6/10/2026")</f>
        <v/>
      </c>
      <c r="ZQ3">
        <f>BDH("BBG01RDP8M84 Equity","PX_LAST,PX_VOLUME","1/1/2020","6/10/2026")</f>
        <v/>
      </c>
      <c r="ZU3">
        <f>BDH("BBG01RDP9MZ3 Equity","PX_LAST,PX_VOLUME","1/1/2020","6/10/2026")</f>
        <v/>
      </c>
      <c r="ZY3">
        <f>BDH("BBG01RDP9NL6 Equity","PX_LAST,PX_VOLUME","1/1/2020","6/10/2026")</f>
        <v/>
      </c>
      <c r="AAC3">
        <f>BDH("BBG01RDPB033 Equity","PX_LAST,PX_VOLUME","1/1/2020","6/10/2026")</f>
        <v/>
      </c>
      <c r="AAG3">
        <f>BDH("BBG01P09VZX5 Equity","PX_LAST,PX_VOLUME","1/1/2020","6/10/2026")</f>
        <v/>
      </c>
      <c r="AAK3">
        <f>BDH("BBG01P09W0G0 Equity","PX_LAST,PX_VOLUME","1/1/2020","6/10/2026")</f>
        <v/>
      </c>
      <c r="AAO3">
        <f>BDH("BBG01P09VZC8 Equity","PX_LAST,PX_VOLUME","1/1/2020","6/10/2026")</f>
        <v/>
      </c>
      <c r="AAS3">
        <f>BDH("BBG01P09VYT3 Equity","PX_LAST,PX_VOLUME","1/1/2020","6/10/2026")</f>
        <v/>
      </c>
      <c r="AAW3">
        <f>BDH("BBG01NWB9PC0 Equity","PX_LAST,PX_VOLUME","1/1/2020","6/10/2026")</f>
        <v/>
      </c>
      <c r="ABA3">
        <f>BDH("BBG01NWBC2R1 Equity","PX_LAST,PX_VOLUME","1/1/2020","6/10/2026")</f>
        <v/>
      </c>
      <c r="ABE3">
        <f>BDH("BBG01NWBBTM8 Equity","PX_LAST,PX_VOLUME","1/1/2020","6/10/2026")</f>
        <v/>
      </c>
      <c r="ABI3">
        <f>BDH("BBG01NWB9NT7 Equity","PX_LAST,PX_VOLUME","1/1/2020","6/10/2026")</f>
        <v/>
      </c>
      <c r="ABM3">
        <f>BDH("BBG01NWBC692 Equity","PX_LAST,PX_VOLUME","1/1/2020","6/10/2026")</f>
        <v/>
      </c>
      <c r="ABQ3">
        <f>BDH("BBG01NWBC1N7 Equity","PX_LAST,PX_VOLUME","1/1/2020","6/10/2026")</f>
        <v/>
      </c>
      <c r="ABU3">
        <f>BDH("BBG01NWB9N80 Equity","PX_LAST,PX_VOLUME","1/1/2020","6/10/2026")</f>
        <v/>
      </c>
      <c r="ABY3">
        <f>BDH("BBG01NWBBPR1 Equity","PX_LAST,PX_VOLUME","1/1/2020","6/10/2026")</f>
        <v/>
      </c>
      <c r="ACC3">
        <f>BDH("BBG01NWB8R91 Equity","PX_LAST,PX_VOLUME","1/1/2020","6/10/2026")</f>
        <v/>
      </c>
      <c r="ACG3">
        <f>BDH("BBG01NWBBNN0 Equity","PX_LAST,PX_VOLUME","1/1/2020","6/10/2026")</f>
        <v/>
      </c>
      <c r="ACK3">
        <f>BDH("BBG01NWBCJ67 Equity","PX_LAST,PX_VOLUME","1/1/2020","6/10/2026")</f>
        <v/>
      </c>
      <c r="ACO3">
        <f>BDH("BBG01NWBC264 Equity","PX_LAST,PX_VOLUME","1/1/2020","6/10/2026")</f>
        <v/>
      </c>
      <c r="ACS3">
        <f>BDH("BBG01NWBBSJ4 Equity","PX_LAST,PX_VOLUME","1/1/2020","6/10/2026")</f>
        <v/>
      </c>
      <c r="ACW3">
        <f>BDH("BBG01NWBBP64 Equity","PX_LAST,PX_VOLUME","1/1/2020","6/10/2026")</f>
        <v/>
      </c>
      <c r="ADA3">
        <f>BDH("BBG01NWBC7D5 Equity","PX_LAST,PX_VOLUME","1/1/2020","6/10/2026")</f>
        <v/>
      </c>
      <c r="ADE3">
        <f>BDH("BBG01NWBC6V7 Equity","PX_LAST,PX_VOLUME","1/1/2020","6/10/2026")</f>
        <v/>
      </c>
      <c r="ADI3">
        <f>BDH("BBG01NWBCHN2 Equity","PX_LAST,PX_VOLUME","1/1/2020","6/10/2026")</f>
        <v/>
      </c>
      <c r="ADM3">
        <f>BDH("BBG01NWBBT20 Equity","PX_LAST,PX_VOLUME","1/1/2020","6/10/2026")</f>
        <v/>
      </c>
      <c r="ADQ3">
        <f>BDH("BBG01NWBBN32 Equity","PX_LAST,PX_VOLUME","1/1/2020","6/10/2026")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S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BBG01NWBCJR4 Equity (TSLL US 03/21/25 P23.7)</t>
        </is>
      </c>
      <c r="E1" t="inlineStr">
        <is>
          <t>BBG01NWBC5R4 Equity (TSLL US 03/21/25 P24.7)</t>
        </is>
      </c>
      <c r="I1" t="inlineStr">
        <is>
          <t>BBG01QJ2MH86 Equity (TSLL US 03/21/25 P25.7)</t>
        </is>
      </c>
      <c r="M1" t="inlineStr">
        <is>
          <t>BBG01QRV7NB3 Equity (TSLL US 03/21/25 P26.7)</t>
        </is>
      </c>
      <c r="Q1" t="inlineStr">
        <is>
          <t>BBG01QRV7RS6 Equity (TSLL US 03/21/25 P27.7)</t>
        </is>
      </c>
      <c r="U1" t="inlineStr">
        <is>
          <t>BBG01QRV7NY8 Equity (TSLL US 03/21/25 P28.7)</t>
        </is>
      </c>
      <c r="Y1" t="inlineStr">
        <is>
          <t>BBG01QQR6TF7 Equity (TSLL US 03/21/25 P29.7)</t>
        </is>
      </c>
      <c r="AC1" t="inlineStr">
        <is>
          <t>BBG01QRV7SD0 Equity (TSLL US 03/21/25 P30.7)</t>
        </is>
      </c>
      <c r="AG1" t="inlineStr">
        <is>
          <t>BBG01QRV7QK6 Equity (TSLL US 03/21/25 P31.7)</t>
        </is>
      </c>
      <c r="AK1" t="inlineStr">
        <is>
          <t>BBG01QRV7R51 Equity (TSLL US 03/21/25 P32.7)</t>
        </is>
      </c>
      <c r="AO1" t="inlineStr">
        <is>
          <t>BBG01QRV7MQ9 Equity (TSLL US 03/21/25 P33.7)</t>
        </is>
      </c>
      <c r="AS1" t="inlineStr">
        <is>
          <t>BBG01QRV7PY3 Equity (TSLL US 03/21/25 P34.7)</t>
        </is>
      </c>
      <c r="AW1" t="inlineStr">
        <is>
          <t>BBG01R6BMV96 Equity (TSLL US 03/21/25 P35.7)</t>
        </is>
      </c>
      <c r="BA1" t="inlineStr">
        <is>
          <t>BBG01R6BMWJ3 Equity (TSLL US 03/21/25 P36.7)</t>
        </is>
      </c>
      <c r="BE1" t="inlineStr">
        <is>
          <t>BBG01R6BMVX9 Equity (TSLL US 03/21/25 P37.7)</t>
        </is>
      </c>
      <c r="BI1" t="inlineStr">
        <is>
          <t>BBG01R6BP5H1 Equity (TSLL US 03/21/25 P38.7)</t>
        </is>
      </c>
      <c r="BM1" t="inlineStr">
        <is>
          <t>BBG01R6BMX47 Equity (TSLL US 03/21/25 P39.7)</t>
        </is>
      </c>
      <c r="BQ1" t="inlineStr">
        <is>
          <t>BBG01R8RWVP0 Equity (TSLL US 03/21/25 P40)</t>
        </is>
      </c>
      <c r="BU1" t="inlineStr">
        <is>
          <t>BBG01R8RWRY9 Equity (TSLL US 03/21/25 P41)</t>
        </is>
      </c>
      <c r="BY1" t="inlineStr">
        <is>
          <t>BBG01R8RWRB4 Equity (TSLL US 03/21/25 P42)</t>
        </is>
      </c>
      <c r="CC1" t="inlineStr">
        <is>
          <t>BBG01R8RV462 Equity (TSLL US 03/21/25 P43)</t>
        </is>
      </c>
      <c r="CG1" t="inlineStr">
        <is>
          <t>BBG01R8RWTG5 Equity (TSLL US 03/21/25 P44)</t>
        </is>
      </c>
      <c r="CK1" t="inlineStr">
        <is>
          <t>BBG01R8RWQ35 Equity (TSLL US 03/21/25 P45)</t>
        </is>
      </c>
      <c r="CO1" t="inlineStr">
        <is>
          <t>BBG01R8RWSK2 Equity (TSLL US 03/21/25 P46)</t>
        </is>
      </c>
      <c r="CS1" t="inlineStr">
        <is>
          <t>BBG01R8RWV25 Equity (TSLL US 03/21/25 P47)</t>
        </is>
      </c>
      <c r="CW1" t="inlineStr">
        <is>
          <t>BBG01R8RWQQ0 Equity (TSLL US 03/21/25 P48)</t>
        </is>
      </c>
      <c r="DA1" t="inlineStr">
        <is>
          <t>BBG01R97Q9N1 Equity (TSLL US 03/21/25 P49)</t>
        </is>
      </c>
      <c r="DE1" t="inlineStr">
        <is>
          <t>BBG01R9PW3D8 Equity (TSLL US 03/21/25 P50)</t>
        </is>
      </c>
      <c r="DI1" t="inlineStr">
        <is>
          <t>BBG01R9PW259 Equity (TSLL US 03/21/25 P51)</t>
        </is>
      </c>
      <c r="DM1" t="inlineStr">
        <is>
          <t>BBG01R9PVP86 Equity (TSLL US 03/21/25 P52)</t>
        </is>
      </c>
      <c r="DQ1" t="inlineStr">
        <is>
          <t>BBG01R9PVNN4 Equity (TSLL US 03/21/25 P53)</t>
        </is>
      </c>
      <c r="DU1" t="inlineStr">
        <is>
          <t>BBG01R9PV6G9 Equity (TSLL US 03/21/25 P54)</t>
        </is>
      </c>
      <c r="DY1" t="inlineStr">
        <is>
          <t>BBG01R9PV5V4 Equity (TSLL US 03/21/25 P55)</t>
        </is>
      </c>
      <c r="EC1" t="inlineStr">
        <is>
          <t>BBG01R9PW2S4 Equity (TSLL US 03/21/25 P56)</t>
        </is>
      </c>
      <c r="EG1" t="inlineStr">
        <is>
          <t>BBG01RB3C765 Equity (TSLL US 03/21/25 P57)</t>
        </is>
      </c>
      <c r="EK1" t="inlineStr">
        <is>
          <t>BBG01RB3C6L0 Equity (TSLL US 03/21/25 P58)</t>
        </is>
      </c>
      <c r="EO1" t="inlineStr">
        <is>
          <t>BBG01RB3CHP2 Equity (TSLL US 03/21/25 P59)</t>
        </is>
      </c>
      <c r="ES1" t="inlineStr">
        <is>
          <t>BBG01RB3C7T0 Equity (TSLL US 03/21/25 P60)</t>
        </is>
      </c>
      <c r="EW1" t="inlineStr">
        <is>
          <t>BBG01RB3C5Z7 Equity (TSLL US 03/21/25 P61)</t>
        </is>
      </c>
      <c r="FA1" t="inlineStr">
        <is>
          <t>BBG01SP0D0J4 Equity (TSLL US 04/17/25 P1)</t>
        </is>
      </c>
      <c r="FE1" t="inlineStr">
        <is>
          <t>BBG01SP0D1R3 Equity (TSLL US 04/17/25 P2)</t>
        </is>
      </c>
      <c r="FI1" t="inlineStr">
        <is>
          <t>BBG01SP0FJT0 Equity (TSLL US 04/17/25 P3)</t>
        </is>
      </c>
      <c r="FM1" t="inlineStr">
        <is>
          <t>BBG01T1K5P26 Equity (TSLL US 04/17/25 P3.5)</t>
        </is>
      </c>
      <c r="FQ1" t="inlineStr">
        <is>
          <t>BBG01SP0F5V7 Equity (TSLL US 04/17/25 P4)</t>
        </is>
      </c>
      <c r="FU1" t="inlineStr">
        <is>
          <t>BBG01T1K6M86 Equity (TSLL US 04/17/25 P4.5)</t>
        </is>
      </c>
      <c r="FY1" t="inlineStr">
        <is>
          <t>BBG01SJQH3Z6 Equity (TSLL US 04/17/25 P5)</t>
        </is>
      </c>
      <c r="GC1" t="inlineStr">
        <is>
          <t>BBG01T1K5NG6 Equity (TSLL US 04/17/25 P5.5)</t>
        </is>
      </c>
      <c r="GG1" t="inlineStr">
        <is>
          <t>BBG01SP0FFD5 Equity (TSLL US 04/17/25 P6)</t>
        </is>
      </c>
      <c r="GK1" t="inlineStr">
        <is>
          <t>BBG01T1K5TS0 Equity (TSLL US 04/17/25 P6.5)</t>
        </is>
      </c>
      <c r="GO1" t="inlineStr">
        <is>
          <t>BBG01SP0CZX2 Equity (TSLL US 04/17/25 P7)</t>
        </is>
      </c>
      <c r="GS1" t="inlineStr">
        <is>
          <t>BBG01T1K5R68 Equity (TSLL US 04/17/25 P7.5)</t>
        </is>
      </c>
      <c r="GW1" t="inlineStr">
        <is>
          <t>BBG01SP0D148 Equity (TSLL US 04/17/25 P8)</t>
        </is>
      </c>
      <c r="HA1" t="inlineStr">
        <is>
          <t>BBG01T1K5VD1 Equity (TSLL US 04/17/25 P8.5)</t>
        </is>
      </c>
      <c r="HE1" t="inlineStr">
        <is>
          <t>BBG01SP0F6G2 Equity (TSLL US 04/17/25 P9)</t>
        </is>
      </c>
      <c r="HI1" t="inlineStr">
        <is>
          <t>BBG01T1K5M78 Equity (TSLL US 04/17/25 P9.5)</t>
        </is>
      </c>
      <c r="HM1" t="inlineStr">
        <is>
          <t>BBG01SG2RRY9 Equity (TSLL US 04/17/25 P10)</t>
        </is>
      </c>
      <c r="HQ1" t="inlineStr">
        <is>
          <t>BBG01T1K6NH4 Equity (TSLL US 04/17/25 P10.5)</t>
        </is>
      </c>
      <c r="HU1" t="inlineStr">
        <is>
          <t>BBG01SG2RQ35 Equity (TSLL US 04/17/25 P11)</t>
        </is>
      </c>
      <c r="HY1" t="inlineStr">
        <is>
          <t>BBG01T1K6QZ7 Equity (TSLL US 04/17/25 P11.5)</t>
        </is>
      </c>
      <c r="IC1" t="inlineStr">
        <is>
          <t>BBG01SG2RLG2 Equity (TSLL US 04/17/25 P12)</t>
        </is>
      </c>
      <c r="IG1" t="inlineStr">
        <is>
          <t>BBG01T1K5MV1 Equity (TSLL US 04/17/25 P12.5)</t>
        </is>
      </c>
      <c r="IK1" t="inlineStr">
        <is>
          <t>BBG01SG2RN96 Equity (TSLL US 04/17/25 P13)</t>
        </is>
      </c>
      <c r="IO1" t="inlineStr">
        <is>
          <t>BBG01T1K5RT3 Equity (TSLL US 04/17/25 P13.5)</t>
        </is>
      </c>
      <c r="IS1" t="inlineStr">
        <is>
          <t>BBG01SG2S9F9 Equity (TSLL US 04/17/25 P14)</t>
        </is>
      </c>
      <c r="IW1" t="inlineStr">
        <is>
          <t>BBG01T1K6MW9 Equity (TSLL US 04/17/25 P14.5)</t>
        </is>
      </c>
      <c r="JA1" t="inlineStr">
        <is>
          <t>BBG01SG2S852 Equity (TSLL US 04/17/25 P15)</t>
        </is>
      </c>
      <c r="JE1" t="inlineStr">
        <is>
          <t>BBG01SG2RWX9 Equity (TSLL US 04/17/25 P16)</t>
        </is>
      </c>
      <c r="JI1" t="inlineStr">
        <is>
          <t>BBG01SG2RPH2 Equity (TSLL US 04/17/25 P17)</t>
        </is>
      </c>
      <c r="JM1" t="inlineStr">
        <is>
          <t>BBG01SG2RMP0 Equity (TSLL US 04/17/25 P18)</t>
        </is>
      </c>
      <c r="JQ1" t="inlineStr">
        <is>
          <t>BBG01SG2RY47 Equity (TSLL US 04/17/25 P19)</t>
        </is>
      </c>
      <c r="JU1" t="inlineStr">
        <is>
          <t>BBG01SG2RQQ0 Equity (TSLL US 04/17/25 P20)</t>
        </is>
      </c>
      <c r="JY1" t="inlineStr">
        <is>
          <t>BBG01SG2RYR2 Equity (TSLL US 04/17/25 P21)</t>
        </is>
      </c>
      <c r="KC1" t="inlineStr">
        <is>
          <t>BBG01SG2RM25 Equity (TSLL US 04/17/25 P22)</t>
        </is>
      </c>
      <c r="KG1" t="inlineStr">
        <is>
          <t>BBG01SG2SJC0 Equity (TSLL US 04/17/25 P23)</t>
        </is>
      </c>
      <c r="KK1" t="inlineStr">
        <is>
          <t>BBG01SG2SB19 Equity (TSLL US 04/17/25 P24)</t>
        </is>
      </c>
      <c r="KO1" t="inlineStr">
        <is>
          <t>BBG01SG2RZC5 Equity (TSLL US 04/17/25 P25)</t>
        </is>
      </c>
      <c r="KS1" t="inlineStr">
        <is>
          <t>BBG01SG2RXJ3 Equity (TSLL US 04/17/25 P26)</t>
        </is>
      </c>
      <c r="KW1" t="inlineStr">
        <is>
          <t>BBG01SG2RNX9 Equity (TSLL US 04/17/25 P27)</t>
        </is>
      </c>
      <c r="LA1" t="inlineStr">
        <is>
          <t>BBG01SG2SBN5 Equity (TSLL US 04/17/25 P28)</t>
        </is>
      </c>
      <c r="LE1" t="inlineStr">
        <is>
          <t>BBG01SG2S8S7 Equity (TSLL US 04/17/25 P29)</t>
        </is>
      </c>
      <c r="LI1" t="inlineStr">
        <is>
          <t>BBG01SG2RRB4 Equity (TSLL US 04/17/25 P30)</t>
        </is>
      </c>
      <c r="LM1" t="inlineStr">
        <is>
          <t>BBG01SZMWCF2 Equity (TSLL US 05/16/25 P1)</t>
        </is>
      </c>
      <c r="LQ1" t="inlineStr">
        <is>
          <t>BBG01SZMVT39 Equity (TSLL US 05/16/25 P2)</t>
        </is>
      </c>
      <c r="LU1" t="inlineStr">
        <is>
          <t>BBG01SZMVVB5 Equity (TSLL US 05/16/25 P3)</t>
        </is>
      </c>
      <c r="LY1" t="inlineStr">
        <is>
          <t>BBG01SZMTZG4 Equity (TSLL US 05/16/25 P4)</t>
        </is>
      </c>
      <c r="MC1" t="inlineStr">
        <is>
          <t>BBG01SZMWD15 Equity (TSLL US 05/16/25 P5)</t>
        </is>
      </c>
      <c r="MG1" t="inlineStr">
        <is>
          <t>BBG01SZMV0P8 Equity (TSLL US 05/16/25 P6)</t>
        </is>
      </c>
      <c r="MK1" t="inlineStr">
        <is>
          <t>BBG01SZMVTQ4 Equity (TSLL US 05/16/25 P7)</t>
        </is>
      </c>
      <c r="MO1" t="inlineStr">
        <is>
          <t>BBG01SZMWMR7 Equity (TSLL US 05/16/25 P8)</t>
        </is>
      </c>
      <c r="MS1" t="inlineStr">
        <is>
          <t>BBG01SZMW6F5 Equity (TSLL US 05/16/25 P9)</t>
        </is>
      </c>
      <c r="MW1" t="inlineStr">
        <is>
          <t>BBG01SZMW5T2 Equity (TSLL US 05/16/25 P10)</t>
        </is>
      </c>
      <c r="NA1" t="inlineStr">
        <is>
          <t>BBG01SZMWM42 Equity (TSLL US 05/16/25 P11)</t>
        </is>
      </c>
      <c r="NE1" t="inlineStr">
        <is>
          <t>BBG01SZMVSH6 Equity (TSLL US 05/16/25 P12)</t>
        </is>
      </c>
      <c r="NI1" t="inlineStr">
        <is>
          <t>BBG01SZMWX75 Equity (TSLL US 05/16/25 P13)</t>
        </is>
      </c>
      <c r="NM1" t="inlineStr">
        <is>
          <t>BBG01SZMV023 Equity (TSLL US 05/16/25 P14)</t>
        </is>
      </c>
      <c r="NQ1" t="inlineStr">
        <is>
          <t>BBG01SZMWBT9 Equity (TSLL US 05/16/25 P15)</t>
        </is>
      </c>
      <c r="NU1" t="inlineStr">
        <is>
          <t>BBG01T1K5BK7 Equity (TSLL US 05/16/25 P16)</t>
        </is>
      </c>
      <c r="NY1" t="inlineStr">
        <is>
          <t>BBG01T1K59B2 Equity (TSLL US 05/16/25 P17)</t>
        </is>
      </c>
      <c r="OC1" t="inlineStr">
        <is>
          <t>BBG01T1K59Y7 Equity (TSLL US 05/16/25 P18)</t>
        </is>
      </c>
      <c r="OG1" t="inlineStr">
        <is>
          <t>BBG01T2995D8 Equity (TSLL US 05/16/25 P19)</t>
        </is>
      </c>
      <c r="OK1" t="inlineStr">
        <is>
          <t>BBG01T2994S5 Equity (TSLL US 05/16/25 P20)</t>
        </is>
      </c>
      <c r="OO1" t="inlineStr">
        <is>
          <t>BBG01T299450 Equity (TSLL US 05/16/25 P21)</t>
        </is>
      </c>
      <c r="OS1" t="inlineStr">
        <is>
          <t>BBG01QCXYQJ0 Equity (TSLL US 06/20/25 P0.7)</t>
        </is>
      </c>
      <c r="OW1" t="inlineStr">
        <is>
          <t>BBG01SP0G617 Equity (TSLL US 06/20/25 P1)</t>
        </is>
      </c>
      <c r="PA1" t="inlineStr">
        <is>
          <t>BBG01QCXYCP4 Equity (TSLL US 06/20/25 P1.7)</t>
        </is>
      </c>
      <c r="PE1" t="inlineStr">
        <is>
          <t>BBG01SP0F2V4 Equity (TSLL US 06/20/25 P2)</t>
        </is>
      </c>
      <c r="PI1" t="inlineStr">
        <is>
          <t>BBG01QCXXPD9 Equity (TSLL US 06/20/25 P2.7)</t>
        </is>
      </c>
      <c r="PM1" t="inlineStr">
        <is>
          <t>BBG01SP0G5F4 Equity (TSLL US 06/20/25 P3)</t>
        </is>
      </c>
      <c r="PQ1" t="inlineStr">
        <is>
          <t>BBG01QCXXNS8 Equity (TSLL US 06/20/25 P3.7)</t>
        </is>
      </c>
      <c r="PU1" t="inlineStr">
        <is>
          <t>BBG01SP0G4T2 Equity (TSLL US 06/20/25 P4)</t>
        </is>
      </c>
      <c r="PY1" t="inlineStr">
        <is>
          <t>BBG01QCXYR44 Equity (TSLL US 06/20/25 P4.7)</t>
        </is>
      </c>
      <c r="QC1" t="inlineStr">
        <is>
          <t>BBG01SP0F271 Equity (TSLL US 06/20/25 P5)</t>
        </is>
      </c>
      <c r="QG1" t="inlineStr">
        <is>
          <t>BBG01QCXZ0S6 Equity (TSLL US 06/20/25 P5.7)</t>
        </is>
      </c>
      <c r="QK1" t="inlineStr">
        <is>
          <t>BBG01QCXXN53 Equity (TSLL US 06/20/25 P6.7)</t>
        </is>
      </c>
      <c r="QO1" t="inlineStr">
        <is>
          <t>BBG01QCXYDX3 Equity (TSLL US 06/20/25 P7.7)</t>
        </is>
      </c>
      <c r="QS1" t="inlineStr">
        <is>
          <t>BBG01QCXYRW3 Equity (TSLL US 06/20/25 P8.7)</t>
        </is>
      </c>
      <c r="QW1" t="inlineStr">
        <is>
          <t>BBG01QCXYZK8 Equity (TSLL US 06/20/25 P9.7)</t>
        </is>
      </c>
      <c r="RA1" t="inlineStr">
        <is>
          <t>BBG01QCXYPX6 Equity (TSLL US 06/20/25 P10.7)</t>
        </is>
      </c>
      <c r="RE1" t="inlineStr">
        <is>
          <t>BBG01QCXYYY6 Equity (TSLL US 06/20/25 P11.7)</t>
        </is>
      </c>
      <c r="RI1" t="inlineStr">
        <is>
          <t>BBG01QCXXMK8 Equity (TSLL US 06/20/25 P12.7)</t>
        </is>
      </c>
      <c r="RM1" t="inlineStr">
        <is>
          <t>BBG01QCXZ9S7 Equity (TSLL US 06/20/25 P13.7)</t>
        </is>
      </c>
      <c r="RQ1" t="inlineStr">
        <is>
          <t>BBG01QCXZ952 Equity (TSLL US 06/20/25 P14.7)</t>
        </is>
      </c>
      <c r="RU1" t="inlineStr">
        <is>
          <t>BBG01QCXZ1D0 Equity (TSLL US 06/20/25 P15.7)</t>
        </is>
      </c>
      <c r="RY1" t="inlineStr">
        <is>
          <t>BBG01QCXYFJ4 Equity (TSLL US 06/20/25 P16.7)</t>
        </is>
      </c>
      <c r="SC1" t="inlineStr">
        <is>
          <t>BBG01QCXYD90 Equity (TSLL US 06/20/25 P17.7)</t>
        </is>
      </c>
      <c r="SG1" t="inlineStr">
        <is>
          <t>BBG01QCXZ051 Equity (TSLL US 06/20/25 P18.7)</t>
        </is>
      </c>
      <c r="SK1" t="inlineStr">
        <is>
          <t>BBG01QJ2L2Z0 Equity (TSLL US 06/20/25 P19.7)</t>
        </is>
      </c>
      <c r="SO1" t="inlineStr">
        <is>
          <t>BBG01QJ2L8P8 Equity (TSLL US 06/20/25 P20.7)</t>
        </is>
      </c>
      <c r="SS1" t="inlineStr">
        <is>
          <t>BBG01QJ2L2C5 Equity (TSLL US 06/20/25 P21.7)</t>
        </is>
      </c>
      <c r="SW1" t="inlineStr">
        <is>
          <t>BBG01QJ2M573 Equity (TSLL US 06/20/25 P22.7)</t>
        </is>
      </c>
      <c r="TA1" t="inlineStr">
        <is>
          <t>BBG01QJ2L1R1 Equity (TSLL US 06/20/25 P23.7)</t>
        </is>
      </c>
      <c r="TE1" t="inlineStr">
        <is>
          <t>BBG01QJ2L823 Equity (TSLL US 06/20/25 P24.7)</t>
        </is>
      </c>
      <c r="TI1" t="inlineStr">
        <is>
          <t>BBG01QJ2M5V6 Equity (TSLL US 06/20/25 P25.7)</t>
        </is>
      </c>
      <c r="TM1" t="inlineStr">
        <is>
          <t>BBG01QRV52G6 Equity (TSLL US 06/20/25 P26.7)</t>
        </is>
      </c>
      <c r="TQ1" t="inlineStr">
        <is>
          <t>BBG01QRV46V1 Equity (TSLL US 06/20/25 P27.7)</t>
        </is>
      </c>
      <c r="TU1" t="inlineStr">
        <is>
          <t>BBG01QRV5MV5 Equity (TSLL US 06/20/25 P28.7)</t>
        </is>
      </c>
      <c r="TY1" t="inlineStr">
        <is>
          <t>BBG01QQR7407 Equity (TSLL US 06/20/25 P29.7)</t>
        </is>
      </c>
      <c r="UC1" t="inlineStr">
        <is>
          <t>BBG01QRV47G6 Equity (TSLL US 06/20/25 P30.7)</t>
        </is>
      </c>
      <c r="UG1" t="inlineStr">
        <is>
          <t>BBG01QRV5M72 Equity (TSLL US 06/20/25 P31.7)</t>
        </is>
      </c>
      <c r="UK1" t="inlineStr">
        <is>
          <t>BBG01QRV4678 Equity (TSLL US 06/20/25 P32.7)</t>
        </is>
      </c>
      <c r="UO1" t="inlineStr">
        <is>
          <t>BBG01QRV51V1 Equity (TSLL US 06/20/25 P33.7)</t>
        </is>
      </c>
      <c r="US1" t="inlineStr">
        <is>
          <t>BBG01QRV5NG0 Equity (TSLL US 06/20/25 P34.7)</t>
        </is>
      </c>
      <c r="UW1" t="inlineStr">
        <is>
          <t>BBG01R6BN618 Equity (TSLL US 06/20/25 P35.7)</t>
        </is>
      </c>
      <c r="VA1" t="inlineStr">
        <is>
          <t>BBG01R6BLFY4 Equity (TSLL US 06/20/25 P36.7)</t>
        </is>
      </c>
      <c r="VE1" t="inlineStr">
        <is>
          <t>BBG01R6BN5F5 Equity (TSLL US 06/20/25 P37.7)</t>
        </is>
      </c>
      <c r="VI1" t="inlineStr">
        <is>
          <t>BBG01R6BN468 Equity (TSLL US 06/20/25 P38.7)</t>
        </is>
      </c>
      <c r="VM1" t="inlineStr">
        <is>
          <t>BBG01R6BN4T3 Equity (TSLL US 06/20/25 P39.7)</t>
        </is>
      </c>
      <c r="VQ1" t="inlineStr">
        <is>
          <t>BBG01R8RVC37 Equity (TSLL US 06/20/25 P40)</t>
        </is>
      </c>
      <c r="VU1" t="inlineStr">
        <is>
          <t>BBG01R8RVGZ3 Equity (TSLL US 06/20/25 P41)</t>
        </is>
      </c>
      <c r="VY1" t="inlineStr">
        <is>
          <t>BBG01R8RVCQ2 Equity (TSLL US 06/20/25 P42)</t>
        </is>
      </c>
      <c r="WC1" t="inlineStr">
        <is>
          <t>BBG01R8RVGC8 Equity (TSLL US 06/20/25 P43)</t>
        </is>
      </c>
      <c r="WG1" t="inlineStr">
        <is>
          <t>BBG01R8RTT97 Equity (TSLL US 06/20/25 P44)</t>
        </is>
      </c>
      <c r="WK1" t="inlineStr">
        <is>
          <t>BBG01R8RT5C5 Equity (TSLL US 06/20/25 P45)</t>
        </is>
      </c>
      <c r="WO1" t="inlineStr">
        <is>
          <t>BBG01R8RTSP1 Equity (TSLL US 06/20/25 P46)</t>
        </is>
      </c>
      <c r="WS1" t="inlineStr">
        <is>
          <t>BBG01R8RTS26 Equity (TSLL US 06/20/25 P47)</t>
        </is>
      </c>
      <c r="WW1" t="inlineStr">
        <is>
          <t>BBG01R8RT5Z0 Equity (TSLL US 06/20/25 P48)</t>
        </is>
      </c>
      <c r="XA1" t="inlineStr">
        <is>
          <t>BBG01R97QML4 Equity (TSLL US 06/20/25 P49)</t>
        </is>
      </c>
      <c r="XE1" t="inlineStr">
        <is>
          <t>BBG01R9PV2N0 Equity (TSLL US 06/20/25 P50)</t>
        </is>
      </c>
      <c r="XI1" t="inlineStr">
        <is>
          <t>BBG01R9PV517 Equity (TSLL US 06/20/25 P51)</t>
        </is>
      </c>
      <c r="XM1" t="inlineStr">
        <is>
          <t>BBG01R9PVKF9 Equity (TSLL US 06/20/25 P52)</t>
        </is>
      </c>
      <c r="XQ1" t="inlineStr">
        <is>
          <t>BBG01R9PV385 Equity (TSLL US 06/20/25 P53)</t>
        </is>
      </c>
      <c r="XU1" t="inlineStr">
        <is>
          <t>BBG01R9PVJT7 Equity (TSLL US 06/20/25 P54)</t>
        </is>
      </c>
      <c r="XY1" t="inlineStr">
        <is>
          <t>BBG01R9PV4F5 Equity (TSLL US 06/20/25 P55)</t>
        </is>
      </c>
      <c r="YC1" t="inlineStr">
        <is>
          <t>BBG01R9PV214 Equity (TSLL US 06/20/25 P56)</t>
        </is>
      </c>
      <c r="YG1" t="inlineStr">
        <is>
          <t>BBG01RB3BT13 Equity (TSLL US 06/20/25 P57)</t>
        </is>
      </c>
      <c r="YK1" t="inlineStr">
        <is>
          <t>BBG01RB3BSF0 Equity (TSLL US 06/20/25 P58)</t>
        </is>
      </c>
      <c r="YO1" t="inlineStr">
        <is>
          <t>BBG01RB39S36 Equity (TSLL US 06/20/25 P59)</t>
        </is>
      </c>
      <c r="YS1" t="inlineStr">
        <is>
          <t>BBG01RB3BR62 Equity (TSLL US 06/20/25 P60)</t>
        </is>
      </c>
      <c r="YW1" t="inlineStr">
        <is>
          <t>BBG01RB3BRT7 Equity (TSLL US 06/20/25 P61)</t>
        </is>
      </c>
      <c r="ZA1" t="inlineStr">
        <is>
          <t>BBG01VFKR0Q1 Equity (TSLL US 07/18/25 P1)</t>
        </is>
      </c>
      <c r="ZE1" t="inlineStr">
        <is>
          <t>BBG01VFKR1B5 Equity (TSLL US 07/18/25 P2)</t>
        </is>
      </c>
      <c r="ZI1" t="inlineStr">
        <is>
          <t>BBG01VFKR036 Equity (TSLL US 07/18/25 P3)</t>
        </is>
      </c>
      <c r="ZM1" t="inlineStr">
        <is>
          <t>BBG01V1T0PF3 Equity (TSLL US 07/18/25 P4)</t>
        </is>
      </c>
      <c r="ZQ1" t="inlineStr">
        <is>
          <t>BBG01V1T1SF6 Equity (TSLL US 07/18/25 P5)</t>
        </is>
      </c>
      <c r="ZU1" t="inlineStr">
        <is>
          <t>BBG01V1T1RT3 Equity (TSLL US 07/18/25 P6)</t>
        </is>
      </c>
      <c r="ZY1" t="inlineStr">
        <is>
          <t>BBG01VQKK4S6 Equity (TSLL US 07/18/25 P6.5)</t>
        </is>
      </c>
      <c r="AAC1" t="inlineStr">
        <is>
          <t>BBG01V1T1TN5 Equity (TSLL US 07/18/25 P7)</t>
        </is>
      </c>
      <c r="AAG1" t="inlineStr">
        <is>
          <t>BBG01VQKKSJ3 Equity (TSLL US 07/18/25 P7.5)</t>
        </is>
      </c>
      <c r="AAK1" t="inlineStr">
        <is>
          <t>BBG01V1T2565 Equity (TSLL US 07/18/25 P8)</t>
        </is>
      </c>
      <c r="AAO1" t="inlineStr">
        <is>
          <t>BBG01VQKKDP9 Equity (TSLL US 07/18/25 P8.5)</t>
        </is>
      </c>
      <c r="AAS1" t="inlineStr">
        <is>
          <t>BBG01V1T1ZH8 Equity (TSLL US 07/18/25 P9)</t>
        </is>
      </c>
      <c r="AAW1" t="inlineStr">
        <is>
          <t>BBG01VQKKN59 Equity (TSLL US 07/18/25 P9.5)</t>
        </is>
      </c>
      <c r="ABA1" t="inlineStr">
        <is>
          <t>BBG01V1T29P6 Equity (TSLL US 07/18/25 P10)</t>
        </is>
      </c>
      <c r="ABE1" t="inlineStr">
        <is>
          <t>BBG01VQKKLB6 Equity (TSLL US 07/18/25 P10.5)</t>
        </is>
      </c>
      <c r="ABI1" t="inlineStr">
        <is>
          <t>BBG01V1T25T0 Equity (TSLL US 07/18/25 P11)</t>
        </is>
      </c>
      <c r="ABM1" t="inlineStr">
        <is>
          <t>BBG01VQKKMK4 Equity (TSLL US 07/18/25 P11.5)</t>
        </is>
      </c>
      <c r="ABQ1" t="inlineStr">
        <is>
          <t>BBG01V1T0H25 Equity (TSLL US 07/18/25 P12)</t>
        </is>
      </c>
      <c r="ABU1" t="inlineStr">
        <is>
          <t>BBG01VQKJYJ2 Equity (TSLL US 07/18/25 P12.5)</t>
        </is>
      </c>
      <c r="ABY1" t="inlineStr">
        <is>
          <t>BBG01V1SZYT3 Equity (TSLL US 07/18/25 P13)</t>
        </is>
      </c>
      <c r="ACC1" t="inlineStr">
        <is>
          <t>BBG01VQKKLY1 Equity (TSLL US 07/18/25 P13.5)</t>
        </is>
      </c>
      <c r="ACG1" t="inlineStr">
        <is>
          <t>BBG01V1T2B99 Equity (TSLL US 07/18/25 P14)</t>
        </is>
      </c>
      <c r="ACK1" t="inlineStr">
        <is>
          <t>BBG01VQKKD24 Equity (TSLL US 07/18/25 P14.5)</t>
        </is>
      </c>
      <c r="ACO1" t="inlineStr">
        <is>
          <t>BBG01V1T1R68 Equity (TSLL US 07/18/25 P15)</t>
        </is>
      </c>
      <c r="ACS1" t="inlineStr">
        <is>
          <t>BBG01VQKJXX8 Equity (TSLL US 07/18/25 P15.5)</t>
        </is>
      </c>
      <c r="ACW1" t="inlineStr">
        <is>
          <t>BBG01V1T0GG2 Equity (TSLL US 07/18/25 P16)</t>
        </is>
      </c>
      <c r="ADA1" t="inlineStr">
        <is>
          <t>BBG01VQKKF92 Equity (TSLL US 07/18/25 P16.5)</t>
        </is>
      </c>
      <c r="ADE1" t="inlineStr">
        <is>
          <t>BBG01V1T1T19 Equity (TSLL US 07/18/25 P17)</t>
        </is>
      </c>
      <c r="ADI1" t="inlineStr">
        <is>
          <t>BBG01VQKKT47 Equity (TSLL US 07/18/25 P17.5)</t>
        </is>
      </c>
      <c r="ADM1" t="inlineStr">
        <is>
          <t>BBG01V1T2039 Equity (TSLL US 07/18/25 P18)</t>
        </is>
      </c>
      <c r="ADQ1" t="inlineStr">
        <is>
          <t>BBG01V1T28G8 Equity (TSLL US 07/18/25 P19)</t>
        </is>
      </c>
    </row>
    <row r="2">
      <c r="A2" t="inlineStr">
        <is>
          <t>Date</t>
        </is>
      </c>
      <c r="B2" t="inlineStr">
        <is>
          <t>PX_LAST</t>
        </is>
      </c>
      <c r="C2" t="inlineStr">
        <is>
          <t>PX_VOLUME</t>
        </is>
      </c>
      <c r="E2" t="inlineStr">
        <is>
          <t>Date</t>
        </is>
      </c>
      <c r="F2" t="inlineStr">
        <is>
          <t>PX_LAST</t>
        </is>
      </c>
      <c r="G2" t="inlineStr">
        <is>
          <t>PX_VOLUME</t>
        </is>
      </c>
      <c r="I2" t="inlineStr">
        <is>
          <t>Date</t>
        </is>
      </c>
      <c r="J2" t="inlineStr">
        <is>
          <t>PX_LAST</t>
        </is>
      </c>
      <c r="K2" t="inlineStr">
        <is>
          <t>PX_VOLUME</t>
        </is>
      </c>
      <c r="M2" t="inlineStr">
        <is>
          <t>Date</t>
        </is>
      </c>
      <c r="N2" t="inlineStr">
        <is>
          <t>PX_LAST</t>
        </is>
      </c>
      <c r="O2" t="inlineStr">
        <is>
          <t>PX_VOLUME</t>
        </is>
      </c>
      <c r="Q2" t="inlineStr">
        <is>
          <t>Date</t>
        </is>
      </c>
      <c r="R2" t="inlineStr">
        <is>
          <t>PX_LAST</t>
        </is>
      </c>
      <c r="S2" t="inlineStr">
        <is>
          <t>PX_VOLUME</t>
        </is>
      </c>
      <c r="U2" t="inlineStr">
        <is>
          <t>Date</t>
        </is>
      </c>
      <c r="V2" t="inlineStr">
        <is>
          <t>PX_LAST</t>
        </is>
      </c>
      <c r="W2" t="inlineStr">
        <is>
          <t>PX_VOLUME</t>
        </is>
      </c>
      <c r="Y2" t="inlineStr">
        <is>
          <t>Date</t>
        </is>
      </c>
      <c r="Z2" t="inlineStr">
        <is>
          <t>PX_LAST</t>
        </is>
      </c>
      <c r="AA2" t="inlineStr">
        <is>
          <t>PX_VOLUME</t>
        </is>
      </c>
      <c r="AC2" t="inlineStr">
        <is>
          <t>Date</t>
        </is>
      </c>
      <c r="AD2" t="inlineStr">
        <is>
          <t>PX_LAST</t>
        </is>
      </c>
      <c r="AE2" t="inlineStr">
        <is>
          <t>PX_VOLUME</t>
        </is>
      </c>
      <c r="AG2" t="inlineStr">
        <is>
          <t>Date</t>
        </is>
      </c>
      <c r="AH2" t="inlineStr">
        <is>
          <t>PX_LAST</t>
        </is>
      </c>
      <c r="AI2" t="inlineStr">
        <is>
          <t>PX_VOLUME</t>
        </is>
      </c>
      <c r="AK2" t="inlineStr">
        <is>
          <t>Date</t>
        </is>
      </c>
      <c r="AL2" t="inlineStr">
        <is>
          <t>PX_LAST</t>
        </is>
      </c>
      <c r="AM2" t="inlineStr">
        <is>
          <t>PX_VOLUME</t>
        </is>
      </c>
      <c r="AO2" t="inlineStr">
        <is>
          <t>Date</t>
        </is>
      </c>
      <c r="AP2" t="inlineStr">
        <is>
          <t>PX_LAST</t>
        </is>
      </c>
      <c r="AQ2" t="inlineStr">
        <is>
          <t>PX_VOLUME</t>
        </is>
      </c>
      <c r="AS2" t="inlineStr">
        <is>
          <t>Date</t>
        </is>
      </c>
      <c r="AT2" t="inlineStr">
        <is>
          <t>PX_LAST</t>
        </is>
      </c>
      <c r="AU2" t="inlineStr">
        <is>
          <t>PX_VOLUME</t>
        </is>
      </c>
      <c r="AW2" t="inlineStr">
        <is>
          <t>Date</t>
        </is>
      </c>
      <c r="AX2" t="inlineStr">
        <is>
          <t>PX_LAST</t>
        </is>
      </c>
      <c r="AY2" t="inlineStr">
        <is>
          <t>PX_VOLUME</t>
        </is>
      </c>
      <c r="BA2" t="inlineStr">
        <is>
          <t>Date</t>
        </is>
      </c>
      <c r="BB2" t="inlineStr">
        <is>
          <t>PX_LAST</t>
        </is>
      </c>
      <c r="BC2" t="inlineStr">
        <is>
          <t>PX_VOLUME</t>
        </is>
      </c>
      <c r="BE2" t="inlineStr">
        <is>
          <t>Date</t>
        </is>
      </c>
      <c r="BF2" t="inlineStr">
        <is>
          <t>PX_LAST</t>
        </is>
      </c>
      <c r="BG2" t="inlineStr">
        <is>
          <t>PX_VOLUME</t>
        </is>
      </c>
      <c r="BI2" t="inlineStr">
        <is>
          <t>Date</t>
        </is>
      </c>
      <c r="BJ2" t="inlineStr">
        <is>
          <t>PX_LAST</t>
        </is>
      </c>
      <c r="BK2" t="inlineStr">
        <is>
          <t>PX_VOLUME</t>
        </is>
      </c>
      <c r="BM2" t="inlineStr">
        <is>
          <t>Date</t>
        </is>
      </c>
      <c r="BN2" t="inlineStr">
        <is>
          <t>PX_LAST</t>
        </is>
      </c>
      <c r="BO2" t="inlineStr">
        <is>
          <t>PX_VOLUME</t>
        </is>
      </c>
      <c r="BQ2" t="inlineStr">
        <is>
          <t>Date</t>
        </is>
      </c>
      <c r="BR2" t="inlineStr">
        <is>
          <t>PX_LAST</t>
        </is>
      </c>
      <c r="BS2" t="inlineStr">
        <is>
          <t>PX_VOLUME</t>
        </is>
      </c>
      <c r="BU2" t="inlineStr">
        <is>
          <t>Date</t>
        </is>
      </c>
      <c r="BV2" t="inlineStr">
        <is>
          <t>PX_LAST</t>
        </is>
      </c>
      <c r="BW2" t="inlineStr">
        <is>
          <t>PX_VOLUME</t>
        </is>
      </c>
      <c r="BY2" t="inlineStr">
        <is>
          <t>Date</t>
        </is>
      </c>
      <c r="BZ2" t="inlineStr">
        <is>
          <t>PX_LAST</t>
        </is>
      </c>
      <c r="CA2" t="inlineStr">
        <is>
          <t>PX_VOLUME</t>
        </is>
      </c>
      <c r="CC2" t="inlineStr">
        <is>
          <t>Date</t>
        </is>
      </c>
      <c r="CD2" t="inlineStr">
        <is>
          <t>PX_LAST</t>
        </is>
      </c>
      <c r="CE2" t="inlineStr">
        <is>
          <t>PX_VOLUME</t>
        </is>
      </c>
      <c r="CG2" t="inlineStr">
        <is>
          <t>Date</t>
        </is>
      </c>
      <c r="CH2" t="inlineStr">
        <is>
          <t>PX_LAST</t>
        </is>
      </c>
      <c r="CI2" t="inlineStr">
        <is>
          <t>PX_VOLUME</t>
        </is>
      </c>
      <c r="CK2" t="inlineStr">
        <is>
          <t>Date</t>
        </is>
      </c>
      <c r="CL2" t="inlineStr">
        <is>
          <t>PX_LAST</t>
        </is>
      </c>
      <c r="CM2" t="inlineStr">
        <is>
          <t>PX_VOLUME</t>
        </is>
      </c>
      <c r="CO2" t="inlineStr">
        <is>
          <t>Date</t>
        </is>
      </c>
      <c r="CP2" t="inlineStr">
        <is>
          <t>PX_LAST</t>
        </is>
      </c>
      <c r="CQ2" t="inlineStr">
        <is>
          <t>PX_VOLUME</t>
        </is>
      </c>
      <c r="CS2" t="inlineStr">
        <is>
          <t>Date</t>
        </is>
      </c>
      <c r="CT2" t="inlineStr">
        <is>
          <t>PX_LAST</t>
        </is>
      </c>
      <c r="CU2" t="inlineStr">
        <is>
          <t>PX_VOLUME</t>
        </is>
      </c>
      <c r="CW2" t="inlineStr">
        <is>
          <t>Date</t>
        </is>
      </c>
      <c r="CX2" t="inlineStr">
        <is>
          <t>PX_LAST</t>
        </is>
      </c>
      <c r="CY2" t="inlineStr">
        <is>
          <t>PX_VOLUME</t>
        </is>
      </c>
      <c r="DA2" t="inlineStr">
        <is>
          <t>Date</t>
        </is>
      </c>
      <c r="DB2" t="inlineStr">
        <is>
          <t>PX_LAST</t>
        </is>
      </c>
      <c r="DC2" t="inlineStr">
        <is>
          <t>PX_VOLUME</t>
        </is>
      </c>
      <c r="DE2" t="inlineStr">
        <is>
          <t>Date</t>
        </is>
      </c>
      <c r="DF2" t="inlineStr">
        <is>
          <t>PX_LAST</t>
        </is>
      </c>
      <c r="DG2" t="inlineStr">
        <is>
          <t>PX_VOLUME</t>
        </is>
      </c>
      <c r="DI2" t="inlineStr">
        <is>
          <t>Date</t>
        </is>
      </c>
      <c r="DJ2" t="inlineStr">
        <is>
          <t>PX_LAST</t>
        </is>
      </c>
      <c r="DK2" t="inlineStr">
        <is>
          <t>PX_VOLUME</t>
        </is>
      </c>
      <c r="DM2" t="inlineStr">
        <is>
          <t>Date</t>
        </is>
      </c>
      <c r="DN2" t="inlineStr">
        <is>
          <t>PX_LAST</t>
        </is>
      </c>
      <c r="DO2" t="inlineStr">
        <is>
          <t>PX_VOLUME</t>
        </is>
      </c>
      <c r="DQ2" t="inlineStr">
        <is>
          <t>Date</t>
        </is>
      </c>
      <c r="DR2" t="inlineStr">
        <is>
          <t>PX_LAST</t>
        </is>
      </c>
      <c r="DS2" t="inlineStr">
        <is>
          <t>PX_VOLUME</t>
        </is>
      </c>
      <c r="DU2" t="inlineStr">
        <is>
          <t>Date</t>
        </is>
      </c>
      <c r="DV2" t="inlineStr">
        <is>
          <t>PX_LAST</t>
        </is>
      </c>
      <c r="DW2" t="inlineStr">
        <is>
          <t>PX_VOLUME</t>
        </is>
      </c>
      <c r="DY2" t="inlineStr">
        <is>
          <t>Date</t>
        </is>
      </c>
      <c r="DZ2" t="inlineStr">
        <is>
          <t>PX_LAST</t>
        </is>
      </c>
      <c r="EA2" t="inlineStr">
        <is>
          <t>PX_VOLUME</t>
        </is>
      </c>
      <c r="EC2" t="inlineStr">
        <is>
          <t>Date</t>
        </is>
      </c>
      <c r="ED2" t="inlineStr">
        <is>
          <t>PX_LAST</t>
        </is>
      </c>
      <c r="EE2" t="inlineStr">
        <is>
          <t>PX_VOLUME</t>
        </is>
      </c>
      <c r="EG2" t="inlineStr">
        <is>
          <t>Date</t>
        </is>
      </c>
      <c r="EH2" t="inlineStr">
        <is>
          <t>PX_LAST</t>
        </is>
      </c>
      <c r="EI2" t="inlineStr">
        <is>
          <t>PX_VOLUME</t>
        </is>
      </c>
      <c r="EK2" t="inlineStr">
        <is>
          <t>Date</t>
        </is>
      </c>
      <c r="EL2" t="inlineStr">
        <is>
          <t>PX_LAST</t>
        </is>
      </c>
      <c r="EM2" t="inlineStr">
        <is>
          <t>PX_VOLUME</t>
        </is>
      </c>
      <c r="EO2" t="inlineStr">
        <is>
          <t>Date</t>
        </is>
      </c>
      <c r="EP2" t="inlineStr">
        <is>
          <t>PX_LAST</t>
        </is>
      </c>
      <c r="EQ2" t="inlineStr">
        <is>
          <t>PX_VOLUME</t>
        </is>
      </c>
      <c r="ES2" t="inlineStr">
        <is>
          <t>Date</t>
        </is>
      </c>
      <c r="ET2" t="inlineStr">
        <is>
          <t>PX_LAST</t>
        </is>
      </c>
      <c r="EU2" t="inlineStr">
        <is>
          <t>PX_VOLUME</t>
        </is>
      </c>
      <c r="EW2" t="inlineStr">
        <is>
          <t>Date</t>
        </is>
      </c>
      <c r="EX2" t="inlineStr">
        <is>
          <t>PX_LAST</t>
        </is>
      </c>
      <c r="EY2" t="inlineStr">
        <is>
          <t>PX_VOLUME</t>
        </is>
      </c>
      <c r="FA2" t="inlineStr">
        <is>
          <t>Date</t>
        </is>
      </c>
      <c r="FB2" t="inlineStr">
        <is>
          <t>PX_LAST</t>
        </is>
      </c>
      <c r="FC2" t="inlineStr">
        <is>
          <t>PX_VOLUME</t>
        </is>
      </c>
      <c r="FE2" t="inlineStr">
        <is>
          <t>Date</t>
        </is>
      </c>
      <c r="FF2" t="inlineStr">
        <is>
          <t>PX_LAST</t>
        </is>
      </c>
      <c r="FG2" t="inlineStr">
        <is>
          <t>PX_VOLUME</t>
        </is>
      </c>
      <c r="FI2" t="inlineStr">
        <is>
          <t>Date</t>
        </is>
      </c>
      <c r="FJ2" t="inlineStr">
        <is>
          <t>PX_LAST</t>
        </is>
      </c>
      <c r="FK2" t="inlineStr">
        <is>
          <t>PX_VOLUME</t>
        </is>
      </c>
      <c r="FM2" t="inlineStr">
        <is>
          <t>Date</t>
        </is>
      </c>
      <c r="FN2" t="inlineStr">
        <is>
          <t>PX_LAST</t>
        </is>
      </c>
      <c r="FO2" t="inlineStr">
        <is>
          <t>PX_VOLUME</t>
        </is>
      </c>
      <c r="FQ2" t="inlineStr">
        <is>
          <t>Date</t>
        </is>
      </c>
      <c r="FR2" t="inlineStr">
        <is>
          <t>PX_LAST</t>
        </is>
      </c>
      <c r="FS2" t="inlineStr">
        <is>
          <t>PX_VOLUME</t>
        </is>
      </c>
      <c r="FU2" t="inlineStr">
        <is>
          <t>Date</t>
        </is>
      </c>
      <c r="FV2" t="inlineStr">
        <is>
          <t>PX_LAST</t>
        </is>
      </c>
      <c r="FW2" t="inlineStr">
        <is>
          <t>PX_VOLUME</t>
        </is>
      </c>
      <c r="FY2" t="inlineStr">
        <is>
          <t>Date</t>
        </is>
      </c>
      <c r="FZ2" t="inlineStr">
        <is>
          <t>PX_LAST</t>
        </is>
      </c>
      <c r="GA2" t="inlineStr">
        <is>
          <t>PX_VOLUME</t>
        </is>
      </c>
      <c r="GC2" t="inlineStr">
        <is>
          <t>Date</t>
        </is>
      </c>
      <c r="GD2" t="inlineStr">
        <is>
          <t>PX_LAST</t>
        </is>
      </c>
      <c r="GE2" t="inlineStr">
        <is>
          <t>PX_VOLUME</t>
        </is>
      </c>
      <c r="GG2" t="inlineStr">
        <is>
          <t>Date</t>
        </is>
      </c>
      <c r="GH2" t="inlineStr">
        <is>
          <t>PX_LAST</t>
        </is>
      </c>
      <c r="GI2" t="inlineStr">
        <is>
          <t>PX_VOLUME</t>
        </is>
      </c>
      <c r="GK2" t="inlineStr">
        <is>
          <t>Date</t>
        </is>
      </c>
      <c r="GL2" t="inlineStr">
        <is>
          <t>PX_LAST</t>
        </is>
      </c>
      <c r="GM2" t="inlineStr">
        <is>
          <t>PX_VOLUME</t>
        </is>
      </c>
      <c r="GO2" t="inlineStr">
        <is>
          <t>Date</t>
        </is>
      </c>
      <c r="GP2" t="inlineStr">
        <is>
          <t>PX_LAST</t>
        </is>
      </c>
      <c r="GQ2" t="inlineStr">
        <is>
          <t>PX_VOLUME</t>
        </is>
      </c>
      <c r="GS2" t="inlineStr">
        <is>
          <t>Date</t>
        </is>
      </c>
      <c r="GT2" t="inlineStr">
        <is>
          <t>PX_LAST</t>
        </is>
      </c>
      <c r="GU2" t="inlineStr">
        <is>
          <t>PX_VOLUME</t>
        </is>
      </c>
      <c r="GW2" t="inlineStr">
        <is>
          <t>Date</t>
        </is>
      </c>
      <c r="GX2" t="inlineStr">
        <is>
          <t>PX_LAST</t>
        </is>
      </c>
      <c r="GY2" t="inlineStr">
        <is>
          <t>PX_VOLUME</t>
        </is>
      </c>
      <c r="HA2" t="inlineStr">
        <is>
          <t>Date</t>
        </is>
      </c>
      <c r="HB2" t="inlineStr">
        <is>
          <t>PX_LAST</t>
        </is>
      </c>
      <c r="HC2" t="inlineStr">
        <is>
          <t>PX_VOLUME</t>
        </is>
      </c>
      <c r="HE2" t="inlineStr">
        <is>
          <t>Date</t>
        </is>
      </c>
      <c r="HF2" t="inlineStr">
        <is>
          <t>PX_LAST</t>
        </is>
      </c>
      <c r="HG2" t="inlineStr">
        <is>
          <t>PX_VOLUME</t>
        </is>
      </c>
      <c r="HI2" t="inlineStr">
        <is>
          <t>Date</t>
        </is>
      </c>
      <c r="HJ2" t="inlineStr">
        <is>
          <t>PX_LAST</t>
        </is>
      </c>
      <c r="HK2" t="inlineStr">
        <is>
          <t>PX_VOLUME</t>
        </is>
      </c>
      <c r="HM2" t="inlineStr">
        <is>
          <t>Date</t>
        </is>
      </c>
      <c r="HN2" t="inlineStr">
        <is>
          <t>PX_LAST</t>
        </is>
      </c>
      <c r="HO2" t="inlineStr">
        <is>
          <t>PX_VOLUME</t>
        </is>
      </c>
      <c r="HQ2" t="inlineStr">
        <is>
          <t>Date</t>
        </is>
      </c>
      <c r="HR2" t="inlineStr">
        <is>
          <t>PX_LAST</t>
        </is>
      </c>
      <c r="HS2" t="inlineStr">
        <is>
          <t>PX_VOLUME</t>
        </is>
      </c>
      <c r="HU2" t="inlineStr">
        <is>
          <t>Date</t>
        </is>
      </c>
      <c r="HV2" t="inlineStr">
        <is>
          <t>PX_LAST</t>
        </is>
      </c>
      <c r="HW2" t="inlineStr">
        <is>
          <t>PX_VOLUME</t>
        </is>
      </c>
      <c r="HY2" t="inlineStr">
        <is>
          <t>Date</t>
        </is>
      </c>
      <c r="HZ2" t="inlineStr">
        <is>
          <t>PX_LAST</t>
        </is>
      </c>
      <c r="IA2" t="inlineStr">
        <is>
          <t>PX_VOLUME</t>
        </is>
      </c>
      <c r="IC2" t="inlineStr">
        <is>
          <t>Date</t>
        </is>
      </c>
      <c r="ID2" t="inlineStr">
        <is>
          <t>PX_LAST</t>
        </is>
      </c>
      <c r="IE2" t="inlineStr">
        <is>
          <t>PX_VOLUME</t>
        </is>
      </c>
      <c r="IG2" t="inlineStr">
        <is>
          <t>Date</t>
        </is>
      </c>
      <c r="IH2" t="inlineStr">
        <is>
          <t>PX_LAST</t>
        </is>
      </c>
      <c r="II2" t="inlineStr">
        <is>
          <t>PX_VOLUME</t>
        </is>
      </c>
      <c r="IK2" t="inlineStr">
        <is>
          <t>Date</t>
        </is>
      </c>
      <c r="IL2" t="inlineStr">
        <is>
          <t>PX_LAST</t>
        </is>
      </c>
      <c r="IM2" t="inlineStr">
        <is>
          <t>PX_VOLUME</t>
        </is>
      </c>
      <c r="IO2" t="inlineStr">
        <is>
          <t>Date</t>
        </is>
      </c>
      <c r="IP2" t="inlineStr">
        <is>
          <t>PX_LAST</t>
        </is>
      </c>
      <c r="IQ2" t="inlineStr">
        <is>
          <t>PX_VOLUME</t>
        </is>
      </c>
      <c r="IS2" t="inlineStr">
        <is>
          <t>Date</t>
        </is>
      </c>
      <c r="IT2" t="inlineStr">
        <is>
          <t>PX_LAST</t>
        </is>
      </c>
      <c r="IU2" t="inlineStr">
        <is>
          <t>PX_VOLUME</t>
        </is>
      </c>
      <c r="IW2" t="inlineStr">
        <is>
          <t>Date</t>
        </is>
      </c>
      <c r="IX2" t="inlineStr">
        <is>
          <t>PX_LAST</t>
        </is>
      </c>
      <c r="IY2" t="inlineStr">
        <is>
          <t>PX_VOLUME</t>
        </is>
      </c>
      <c r="JA2" t="inlineStr">
        <is>
          <t>Date</t>
        </is>
      </c>
      <c r="JB2" t="inlineStr">
        <is>
          <t>PX_LAST</t>
        </is>
      </c>
      <c r="JC2" t="inlineStr">
        <is>
          <t>PX_VOLUME</t>
        </is>
      </c>
      <c r="JE2" t="inlineStr">
        <is>
          <t>Date</t>
        </is>
      </c>
      <c r="JF2" t="inlineStr">
        <is>
          <t>PX_LAST</t>
        </is>
      </c>
      <c r="JG2" t="inlineStr">
        <is>
          <t>PX_VOLUME</t>
        </is>
      </c>
      <c r="JI2" t="inlineStr">
        <is>
          <t>Date</t>
        </is>
      </c>
      <c r="JJ2" t="inlineStr">
        <is>
          <t>PX_LAST</t>
        </is>
      </c>
      <c r="JK2" t="inlineStr">
        <is>
          <t>PX_VOLUME</t>
        </is>
      </c>
      <c r="JM2" t="inlineStr">
        <is>
          <t>Date</t>
        </is>
      </c>
      <c r="JN2" t="inlineStr">
        <is>
          <t>PX_LAST</t>
        </is>
      </c>
      <c r="JO2" t="inlineStr">
        <is>
          <t>PX_VOLUME</t>
        </is>
      </c>
      <c r="JQ2" t="inlineStr">
        <is>
          <t>Date</t>
        </is>
      </c>
      <c r="JR2" t="inlineStr">
        <is>
          <t>PX_LAST</t>
        </is>
      </c>
      <c r="JS2" t="inlineStr">
        <is>
          <t>PX_VOLUME</t>
        </is>
      </c>
      <c r="JU2" t="inlineStr">
        <is>
          <t>Date</t>
        </is>
      </c>
      <c r="JV2" t="inlineStr">
        <is>
          <t>PX_LAST</t>
        </is>
      </c>
      <c r="JW2" t="inlineStr">
        <is>
          <t>PX_VOLUME</t>
        </is>
      </c>
      <c r="JY2" t="inlineStr">
        <is>
          <t>Date</t>
        </is>
      </c>
      <c r="JZ2" t="inlineStr">
        <is>
          <t>PX_LAST</t>
        </is>
      </c>
      <c r="KA2" t="inlineStr">
        <is>
          <t>PX_VOLUME</t>
        </is>
      </c>
      <c r="KC2" t="inlineStr">
        <is>
          <t>Date</t>
        </is>
      </c>
      <c r="KD2" t="inlineStr">
        <is>
          <t>PX_LAST</t>
        </is>
      </c>
      <c r="KE2" t="inlineStr">
        <is>
          <t>PX_VOLUME</t>
        </is>
      </c>
      <c r="KG2" t="inlineStr">
        <is>
          <t>Date</t>
        </is>
      </c>
      <c r="KH2" t="inlineStr">
        <is>
          <t>PX_LAST</t>
        </is>
      </c>
      <c r="KI2" t="inlineStr">
        <is>
          <t>PX_VOLUME</t>
        </is>
      </c>
      <c r="KK2" t="inlineStr">
        <is>
          <t>Date</t>
        </is>
      </c>
      <c r="KL2" t="inlineStr">
        <is>
          <t>PX_LAST</t>
        </is>
      </c>
      <c r="KM2" t="inlineStr">
        <is>
          <t>PX_VOLUME</t>
        </is>
      </c>
      <c r="KO2" t="inlineStr">
        <is>
          <t>Date</t>
        </is>
      </c>
      <c r="KP2" t="inlineStr">
        <is>
          <t>PX_LAST</t>
        </is>
      </c>
      <c r="KQ2" t="inlineStr">
        <is>
          <t>PX_VOLUME</t>
        </is>
      </c>
      <c r="KS2" t="inlineStr">
        <is>
          <t>Date</t>
        </is>
      </c>
      <c r="KT2" t="inlineStr">
        <is>
          <t>PX_LAST</t>
        </is>
      </c>
      <c r="KU2" t="inlineStr">
        <is>
          <t>PX_VOLUME</t>
        </is>
      </c>
      <c r="KW2" t="inlineStr">
        <is>
          <t>Date</t>
        </is>
      </c>
      <c r="KX2" t="inlineStr">
        <is>
          <t>PX_LAST</t>
        </is>
      </c>
      <c r="KY2" t="inlineStr">
        <is>
          <t>PX_VOLUME</t>
        </is>
      </c>
      <c r="LA2" t="inlineStr">
        <is>
          <t>Date</t>
        </is>
      </c>
      <c r="LB2" t="inlineStr">
        <is>
          <t>PX_LAST</t>
        </is>
      </c>
      <c r="LC2" t="inlineStr">
        <is>
          <t>PX_VOLUME</t>
        </is>
      </c>
      <c r="LE2" t="inlineStr">
        <is>
          <t>Date</t>
        </is>
      </c>
      <c r="LF2" t="inlineStr">
        <is>
          <t>PX_LAST</t>
        </is>
      </c>
      <c r="LG2" t="inlineStr">
        <is>
          <t>PX_VOLUME</t>
        </is>
      </c>
      <c r="LI2" t="inlineStr">
        <is>
          <t>Date</t>
        </is>
      </c>
      <c r="LJ2" t="inlineStr">
        <is>
          <t>PX_LAST</t>
        </is>
      </c>
      <c r="LK2" t="inlineStr">
        <is>
          <t>PX_VOLUME</t>
        </is>
      </c>
      <c r="LM2" t="inlineStr">
        <is>
          <t>Date</t>
        </is>
      </c>
      <c r="LN2" t="inlineStr">
        <is>
          <t>PX_LAST</t>
        </is>
      </c>
      <c r="LO2" t="inlineStr">
        <is>
          <t>PX_VOLUME</t>
        </is>
      </c>
      <c r="LQ2" t="inlineStr">
        <is>
          <t>Date</t>
        </is>
      </c>
      <c r="LR2" t="inlineStr">
        <is>
          <t>PX_LAST</t>
        </is>
      </c>
      <c r="LS2" t="inlineStr">
        <is>
          <t>PX_VOLUME</t>
        </is>
      </c>
      <c r="LU2" t="inlineStr">
        <is>
          <t>Date</t>
        </is>
      </c>
      <c r="LV2" t="inlineStr">
        <is>
          <t>PX_LAST</t>
        </is>
      </c>
      <c r="LW2" t="inlineStr">
        <is>
          <t>PX_VOLUME</t>
        </is>
      </c>
      <c r="LY2" t="inlineStr">
        <is>
          <t>Date</t>
        </is>
      </c>
      <c r="LZ2" t="inlineStr">
        <is>
          <t>PX_LAST</t>
        </is>
      </c>
      <c r="MA2" t="inlineStr">
        <is>
          <t>PX_VOLUME</t>
        </is>
      </c>
      <c r="MC2" t="inlineStr">
        <is>
          <t>Date</t>
        </is>
      </c>
      <c r="MD2" t="inlineStr">
        <is>
          <t>PX_LAST</t>
        </is>
      </c>
      <c r="ME2" t="inlineStr">
        <is>
          <t>PX_VOLUME</t>
        </is>
      </c>
      <c r="MG2" t="inlineStr">
        <is>
          <t>Date</t>
        </is>
      </c>
      <c r="MH2" t="inlineStr">
        <is>
          <t>PX_LAST</t>
        </is>
      </c>
      <c r="MI2" t="inlineStr">
        <is>
          <t>PX_VOLUME</t>
        </is>
      </c>
      <c r="MK2" t="inlineStr">
        <is>
          <t>Date</t>
        </is>
      </c>
      <c r="ML2" t="inlineStr">
        <is>
          <t>PX_LAST</t>
        </is>
      </c>
      <c r="MM2" t="inlineStr">
        <is>
          <t>PX_VOLUME</t>
        </is>
      </c>
      <c r="MO2" t="inlineStr">
        <is>
          <t>Date</t>
        </is>
      </c>
      <c r="MP2" t="inlineStr">
        <is>
          <t>PX_LAST</t>
        </is>
      </c>
      <c r="MQ2" t="inlineStr">
        <is>
          <t>PX_VOLUME</t>
        </is>
      </c>
      <c r="MS2" t="inlineStr">
        <is>
          <t>Date</t>
        </is>
      </c>
      <c r="MT2" t="inlineStr">
        <is>
          <t>PX_LAST</t>
        </is>
      </c>
      <c r="MU2" t="inlineStr">
        <is>
          <t>PX_VOLUME</t>
        </is>
      </c>
      <c r="MW2" t="inlineStr">
        <is>
          <t>Date</t>
        </is>
      </c>
      <c r="MX2" t="inlineStr">
        <is>
          <t>PX_LAST</t>
        </is>
      </c>
      <c r="MY2" t="inlineStr">
        <is>
          <t>PX_VOLUME</t>
        </is>
      </c>
      <c r="NA2" t="inlineStr">
        <is>
          <t>Date</t>
        </is>
      </c>
      <c r="NB2" t="inlineStr">
        <is>
          <t>PX_LAST</t>
        </is>
      </c>
      <c r="NC2" t="inlineStr">
        <is>
          <t>PX_VOLUME</t>
        </is>
      </c>
      <c r="NE2" t="inlineStr">
        <is>
          <t>Date</t>
        </is>
      </c>
      <c r="NF2" t="inlineStr">
        <is>
          <t>PX_LAST</t>
        </is>
      </c>
      <c r="NG2" t="inlineStr">
        <is>
          <t>PX_VOLUME</t>
        </is>
      </c>
      <c r="NI2" t="inlineStr">
        <is>
          <t>Date</t>
        </is>
      </c>
      <c r="NJ2" t="inlineStr">
        <is>
          <t>PX_LAST</t>
        </is>
      </c>
      <c r="NK2" t="inlineStr">
        <is>
          <t>PX_VOLUME</t>
        </is>
      </c>
      <c r="NM2" t="inlineStr">
        <is>
          <t>Date</t>
        </is>
      </c>
      <c r="NN2" t="inlineStr">
        <is>
          <t>PX_LAST</t>
        </is>
      </c>
      <c r="NO2" t="inlineStr">
        <is>
          <t>PX_VOLUME</t>
        </is>
      </c>
      <c r="NQ2" t="inlineStr">
        <is>
          <t>Date</t>
        </is>
      </c>
      <c r="NR2" t="inlineStr">
        <is>
          <t>PX_LAST</t>
        </is>
      </c>
      <c r="NS2" t="inlineStr">
        <is>
          <t>PX_VOLUME</t>
        </is>
      </c>
      <c r="NU2" t="inlineStr">
        <is>
          <t>Date</t>
        </is>
      </c>
      <c r="NV2" t="inlineStr">
        <is>
          <t>PX_LAST</t>
        </is>
      </c>
      <c r="NW2" t="inlineStr">
        <is>
          <t>PX_VOLUME</t>
        </is>
      </c>
      <c r="NY2" t="inlineStr">
        <is>
          <t>Date</t>
        </is>
      </c>
      <c r="NZ2" t="inlineStr">
        <is>
          <t>PX_LAST</t>
        </is>
      </c>
      <c r="OA2" t="inlineStr">
        <is>
          <t>PX_VOLUME</t>
        </is>
      </c>
      <c r="OC2" t="inlineStr">
        <is>
          <t>Date</t>
        </is>
      </c>
      <c r="OD2" t="inlineStr">
        <is>
          <t>PX_LAST</t>
        </is>
      </c>
      <c r="OE2" t="inlineStr">
        <is>
          <t>PX_VOLUME</t>
        </is>
      </c>
      <c r="OG2" t="inlineStr">
        <is>
          <t>Date</t>
        </is>
      </c>
      <c r="OH2" t="inlineStr">
        <is>
          <t>PX_LAST</t>
        </is>
      </c>
      <c r="OI2" t="inlineStr">
        <is>
          <t>PX_VOLUME</t>
        </is>
      </c>
      <c r="OK2" t="inlineStr">
        <is>
          <t>Date</t>
        </is>
      </c>
      <c r="OL2" t="inlineStr">
        <is>
          <t>PX_LAST</t>
        </is>
      </c>
      <c r="OM2" t="inlineStr">
        <is>
          <t>PX_VOLUME</t>
        </is>
      </c>
      <c r="OO2" t="inlineStr">
        <is>
          <t>Date</t>
        </is>
      </c>
      <c r="OP2" t="inlineStr">
        <is>
          <t>PX_LAST</t>
        </is>
      </c>
      <c r="OQ2" t="inlineStr">
        <is>
          <t>PX_VOLUME</t>
        </is>
      </c>
      <c r="OS2" t="inlineStr">
        <is>
          <t>Date</t>
        </is>
      </c>
      <c r="OT2" t="inlineStr">
        <is>
          <t>PX_LAST</t>
        </is>
      </c>
      <c r="OU2" t="inlineStr">
        <is>
          <t>PX_VOLUME</t>
        </is>
      </c>
      <c r="OW2" t="inlineStr">
        <is>
          <t>Date</t>
        </is>
      </c>
      <c r="OX2" t="inlineStr">
        <is>
          <t>PX_LAST</t>
        </is>
      </c>
      <c r="OY2" t="inlineStr">
        <is>
          <t>PX_VOLUME</t>
        </is>
      </c>
      <c r="PA2" t="inlineStr">
        <is>
          <t>Date</t>
        </is>
      </c>
      <c r="PB2" t="inlineStr">
        <is>
          <t>PX_LAST</t>
        </is>
      </c>
      <c r="PC2" t="inlineStr">
        <is>
          <t>PX_VOLUME</t>
        </is>
      </c>
      <c r="PE2" t="inlineStr">
        <is>
          <t>Date</t>
        </is>
      </c>
      <c r="PF2" t="inlineStr">
        <is>
          <t>PX_LAST</t>
        </is>
      </c>
      <c r="PG2" t="inlineStr">
        <is>
          <t>PX_VOLUME</t>
        </is>
      </c>
      <c r="PI2" t="inlineStr">
        <is>
          <t>Date</t>
        </is>
      </c>
      <c r="PJ2" t="inlineStr">
        <is>
          <t>PX_LAST</t>
        </is>
      </c>
      <c r="PK2" t="inlineStr">
        <is>
          <t>PX_VOLUME</t>
        </is>
      </c>
      <c r="PM2" t="inlineStr">
        <is>
          <t>Date</t>
        </is>
      </c>
      <c r="PN2" t="inlineStr">
        <is>
          <t>PX_LAST</t>
        </is>
      </c>
      <c r="PO2" t="inlineStr">
        <is>
          <t>PX_VOLUME</t>
        </is>
      </c>
      <c r="PQ2" t="inlineStr">
        <is>
          <t>Date</t>
        </is>
      </c>
      <c r="PR2" t="inlineStr">
        <is>
          <t>PX_LAST</t>
        </is>
      </c>
      <c r="PS2" t="inlineStr">
        <is>
          <t>PX_VOLUME</t>
        </is>
      </c>
      <c r="PU2" t="inlineStr">
        <is>
          <t>Date</t>
        </is>
      </c>
      <c r="PV2" t="inlineStr">
        <is>
          <t>PX_LAST</t>
        </is>
      </c>
      <c r="PW2" t="inlineStr">
        <is>
          <t>PX_VOLUME</t>
        </is>
      </c>
      <c r="PY2" t="inlineStr">
        <is>
          <t>Date</t>
        </is>
      </c>
      <c r="PZ2" t="inlineStr">
        <is>
          <t>PX_LAST</t>
        </is>
      </c>
      <c r="QA2" t="inlineStr">
        <is>
          <t>PX_VOLUME</t>
        </is>
      </c>
      <c r="QC2" t="inlineStr">
        <is>
          <t>Date</t>
        </is>
      </c>
      <c r="QD2" t="inlineStr">
        <is>
          <t>PX_LAST</t>
        </is>
      </c>
      <c r="QE2" t="inlineStr">
        <is>
          <t>PX_VOLUME</t>
        </is>
      </c>
      <c r="QG2" t="inlineStr">
        <is>
          <t>Date</t>
        </is>
      </c>
      <c r="QH2" t="inlineStr">
        <is>
          <t>PX_LAST</t>
        </is>
      </c>
      <c r="QI2" t="inlineStr">
        <is>
          <t>PX_VOLUME</t>
        </is>
      </c>
      <c r="QK2" t="inlineStr">
        <is>
          <t>Date</t>
        </is>
      </c>
      <c r="QL2" t="inlineStr">
        <is>
          <t>PX_LAST</t>
        </is>
      </c>
      <c r="QM2" t="inlineStr">
        <is>
          <t>PX_VOLUME</t>
        </is>
      </c>
      <c r="QO2" t="inlineStr">
        <is>
          <t>Date</t>
        </is>
      </c>
      <c r="QP2" t="inlineStr">
        <is>
          <t>PX_LAST</t>
        </is>
      </c>
      <c r="QQ2" t="inlineStr">
        <is>
          <t>PX_VOLUME</t>
        </is>
      </c>
      <c r="QS2" t="inlineStr">
        <is>
          <t>Date</t>
        </is>
      </c>
      <c r="QT2" t="inlineStr">
        <is>
          <t>PX_LAST</t>
        </is>
      </c>
      <c r="QU2" t="inlineStr">
        <is>
          <t>PX_VOLUME</t>
        </is>
      </c>
      <c r="QW2" t="inlineStr">
        <is>
          <t>Date</t>
        </is>
      </c>
      <c r="QX2" t="inlineStr">
        <is>
          <t>PX_LAST</t>
        </is>
      </c>
      <c r="QY2" t="inlineStr">
        <is>
          <t>PX_VOLUME</t>
        </is>
      </c>
      <c r="RA2" t="inlineStr">
        <is>
          <t>Date</t>
        </is>
      </c>
      <c r="RB2" t="inlineStr">
        <is>
          <t>PX_LAST</t>
        </is>
      </c>
      <c r="RC2" t="inlineStr">
        <is>
          <t>PX_VOLUME</t>
        </is>
      </c>
      <c r="RE2" t="inlineStr">
        <is>
          <t>Date</t>
        </is>
      </c>
      <c r="RF2" t="inlineStr">
        <is>
          <t>PX_LAST</t>
        </is>
      </c>
      <c r="RG2" t="inlineStr">
        <is>
          <t>PX_VOLUME</t>
        </is>
      </c>
      <c r="RI2" t="inlineStr">
        <is>
          <t>Date</t>
        </is>
      </c>
      <c r="RJ2" t="inlineStr">
        <is>
          <t>PX_LAST</t>
        </is>
      </c>
      <c r="RK2" t="inlineStr">
        <is>
          <t>PX_VOLUME</t>
        </is>
      </c>
      <c r="RM2" t="inlineStr">
        <is>
          <t>Date</t>
        </is>
      </c>
      <c r="RN2" t="inlineStr">
        <is>
          <t>PX_LAST</t>
        </is>
      </c>
      <c r="RO2" t="inlineStr">
        <is>
          <t>PX_VOLUME</t>
        </is>
      </c>
      <c r="RQ2" t="inlineStr">
        <is>
          <t>Date</t>
        </is>
      </c>
      <c r="RR2" t="inlineStr">
        <is>
          <t>PX_LAST</t>
        </is>
      </c>
      <c r="RS2" t="inlineStr">
        <is>
          <t>PX_VOLUME</t>
        </is>
      </c>
      <c r="RU2" t="inlineStr">
        <is>
          <t>Date</t>
        </is>
      </c>
      <c r="RV2" t="inlineStr">
        <is>
          <t>PX_LAST</t>
        </is>
      </c>
      <c r="RW2" t="inlineStr">
        <is>
          <t>PX_VOLUME</t>
        </is>
      </c>
      <c r="RY2" t="inlineStr">
        <is>
          <t>Date</t>
        </is>
      </c>
      <c r="RZ2" t="inlineStr">
        <is>
          <t>PX_LAST</t>
        </is>
      </c>
      <c r="SA2" t="inlineStr">
        <is>
          <t>PX_VOLUME</t>
        </is>
      </c>
      <c r="SC2" t="inlineStr">
        <is>
          <t>Date</t>
        </is>
      </c>
      <c r="SD2" t="inlineStr">
        <is>
          <t>PX_LAST</t>
        </is>
      </c>
      <c r="SE2" t="inlineStr">
        <is>
          <t>PX_VOLUME</t>
        </is>
      </c>
      <c r="SG2" t="inlineStr">
        <is>
          <t>Date</t>
        </is>
      </c>
      <c r="SH2" t="inlineStr">
        <is>
          <t>PX_LAST</t>
        </is>
      </c>
      <c r="SI2" t="inlineStr">
        <is>
          <t>PX_VOLUME</t>
        </is>
      </c>
      <c r="SK2" t="inlineStr">
        <is>
          <t>Date</t>
        </is>
      </c>
      <c r="SL2" t="inlineStr">
        <is>
          <t>PX_LAST</t>
        </is>
      </c>
      <c r="SM2" t="inlineStr">
        <is>
          <t>PX_VOLUME</t>
        </is>
      </c>
      <c r="SO2" t="inlineStr">
        <is>
          <t>Date</t>
        </is>
      </c>
      <c r="SP2" t="inlineStr">
        <is>
          <t>PX_LAST</t>
        </is>
      </c>
      <c r="SQ2" t="inlineStr">
        <is>
          <t>PX_VOLUME</t>
        </is>
      </c>
      <c r="SS2" t="inlineStr">
        <is>
          <t>Date</t>
        </is>
      </c>
      <c r="ST2" t="inlineStr">
        <is>
          <t>PX_LAST</t>
        </is>
      </c>
      <c r="SU2" t="inlineStr">
        <is>
          <t>PX_VOLUME</t>
        </is>
      </c>
      <c r="SW2" t="inlineStr">
        <is>
          <t>Date</t>
        </is>
      </c>
      <c r="SX2" t="inlineStr">
        <is>
          <t>PX_LAST</t>
        </is>
      </c>
      <c r="SY2" t="inlineStr">
        <is>
          <t>PX_VOLUME</t>
        </is>
      </c>
      <c r="TA2" t="inlineStr">
        <is>
          <t>Date</t>
        </is>
      </c>
      <c r="TB2" t="inlineStr">
        <is>
          <t>PX_LAST</t>
        </is>
      </c>
      <c r="TC2" t="inlineStr">
        <is>
          <t>PX_VOLUME</t>
        </is>
      </c>
      <c r="TE2" t="inlineStr">
        <is>
          <t>Date</t>
        </is>
      </c>
      <c r="TF2" t="inlineStr">
        <is>
          <t>PX_LAST</t>
        </is>
      </c>
      <c r="TG2" t="inlineStr">
        <is>
          <t>PX_VOLUME</t>
        </is>
      </c>
      <c r="TI2" t="inlineStr">
        <is>
          <t>Date</t>
        </is>
      </c>
      <c r="TJ2" t="inlineStr">
        <is>
          <t>PX_LAST</t>
        </is>
      </c>
      <c r="TK2" t="inlineStr">
        <is>
          <t>PX_VOLUME</t>
        </is>
      </c>
      <c r="TM2" t="inlineStr">
        <is>
          <t>Date</t>
        </is>
      </c>
      <c r="TN2" t="inlineStr">
        <is>
          <t>PX_LAST</t>
        </is>
      </c>
      <c r="TO2" t="inlineStr">
        <is>
          <t>PX_VOLUME</t>
        </is>
      </c>
      <c r="TQ2" t="inlineStr">
        <is>
          <t>Date</t>
        </is>
      </c>
      <c r="TR2" t="inlineStr">
        <is>
          <t>PX_LAST</t>
        </is>
      </c>
      <c r="TS2" t="inlineStr">
        <is>
          <t>PX_VOLUME</t>
        </is>
      </c>
      <c r="TU2" t="inlineStr">
        <is>
          <t>Date</t>
        </is>
      </c>
      <c r="TV2" t="inlineStr">
        <is>
          <t>PX_LAST</t>
        </is>
      </c>
      <c r="TW2" t="inlineStr">
        <is>
          <t>PX_VOLUME</t>
        </is>
      </c>
      <c r="TY2" t="inlineStr">
        <is>
          <t>Date</t>
        </is>
      </c>
      <c r="TZ2" t="inlineStr">
        <is>
          <t>PX_LAST</t>
        </is>
      </c>
      <c r="UA2" t="inlineStr">
        <is>
          <t>PX_VOLUME</t>
        </is>
      </c>
      <c r="UC2" t="inlineStr">
        <is>
          <t>Date</t>
        </is>
      </c>
      <c r="UD2" t="inlineStr">
        <is>
          <t>PX_LAST</t>
        </is>
      </c>
      <c r="UE2" t="inlineStr">
        <is>
          <t>PX_VOLUME</t>
        </is>
      </c>
      <c r="UG2" t="inlineStr">
        <is>
          <t>Date</t>
        </is>
      </c>
      <c r="UH2" t="inlineStr">
        <is>
          <t>PX_LAST</t>
        </is>
      </c>
      <c r="UI2" t="inlineStr">
        <is>
          <t>PX_VOLUME</t>
        </is>
      </c>
      <c r="UK2" t="inlineStr">
        <is>
          <t>Date</t>
        </is>
      </c>
      <c r="UL2" t="inlineStr">
        <is>
          <t>PX_LAST</t>
        </is>
      </c>
      <c r="UM2" t="inlineStr">
        <is>
          <t>PX_VOLUME</t>
        </is>
      </c>
      <c r="UO2" t="inlineStr">
        <is>
          <t>Date</t>
        </is>
      </c>
      <c r="UP2" t="inlineStr">
        <is>
          <t>PX_LAST</t>
        </is>
      </c>
      <c r="UQ2" t="inlineStr">
        <is>
          <t>PX_VOLUME</t>
        </is>
      </c>
      <c r="US2" t="inlineStr">
        <is>
          <t>Date</t>
        </is>
      </c>
      <c r="UT2" t="inlineStr">
        <is>
          <t>PX_LAST</t>
        </is>
      </c>
      <c r="UU2" t="inlineStr">
        <is>
          <t>PX_VOLUME</t>
        </is>
      </c>
      <c r="UW2" t="inlineStr">
        <is>
          <t>Date</t>
        </is>
      </c>
      <c r="UX2" t="inlineStr">
        <is>
          <t>PX_LAST</t>
        </is>
      </c>
      <c r="UY2" t="inlineStr">
        <is>
          <t>PX_VOLUME</t>
        </is>
      </c>
      <c r="VA2" t="inlineStr">
        <is>
          <t>Date</t>
        </is>
      </c>
      <c r="VB2" t="inlineStr">
        <is>
          <t>PX_LAST</t>
        </is>
      </c>
      <c r="VC2" t="inlineStr">
        <is>
          <t>PX_VOLUME</t>
        </is>
      </c>
      <c r="VE2" t="inlineStr">
        <is>
          <t>Date</t>
        </is>
      </c>
      <c r="VF2" t="inlineStr">
        <is>
          <t>PX_LAST</t>
        </is>
      </c>
      <c r="VG2" t="inlineStr">
        <is>
          <t>PX_VOLUME</t>
        </is>
      </c>
      <c r="VI2" t="inlineStr">
        <is>
          <t>Date</t>
        </is>
      </c>
      <c r="VJ2" t="inlineStr">
        <is>
          <t>PX_LAST</t>
        </is>
      </c>
      <c r="VK2" t="inlineStr">
        <is>
          <t>PX_VOLUME</t>
        </is>
      </c>
      <c r="VM2" t="inlineStr">
        <is>
          <t>Date</t>
        </is>
      </c>
      <c r="VN2" t="inlineStr">
        <is>
          <t>PX_LAST</t>
        </is>
      </c>
      <c r="VO2" t="inlineStr">
        <is>
          <t>PX_VOLUME</t>
        </is>
      </c>
      <c r="VQ2" t="inlineStr">
        <is>
          <t>Date</t>
        </is>
      </c>
      <c r="VR2" t="inlineStr">
        <is>
          <t>PX_LAST</t>
        </is>
      </c>
      <c r="VS2" t="inlineStr">
        <is>
          <t>PX_VOLUME</t>
        </is>
      </c>
      <c r="VU2" t="inlineStr">
        <is>
          <t>Date</t>
        </is>
      </c>
      <c r="VV2" t="inlineStr">
        <is>
          <t>PX_LAST</t>
        </is>
      </c>
      <c r="VW2" t="inlineStr">
        <is>
          <t>PX_VOLUME</t>
        </is>
      </c>
      <c r="VY2" t="inlineStr">
        <is>
          <t>Date</t>
        </is>
      </c>
      <c r="VZ2" t="inlineStr">
        <is>
          <t>PX_LAST</t>
        </is>
      </c>
      <c r="WA2" t="inlineStr">
        <is>
          <t>PX_VOLUME</t>
        </is>
      </c>
      <c r="WC2" t="inlineStr">
        <is>
          <t>Date</t>
        </is>
      </c>
      <c r="WD2" t="inlineStr">
        <is>
          <t>PX_LAST</t>
        </is>
      </c>
      <c r="WE2" t="inlineStr">
        <is>
          <t>PX_VOLUME</t>
        </is>
      </c>
      <c r="WG2" t="inlineStr">
        <is>
          <t>Date</t>
        </is>
      </c>
      <c r="WH2" t="inlineStr">
        <is>
          <t>PX_LAST</t>
        </is>
      </c>
      <c r="WI2" t="inlineStr">
        <is>
          <t>PX_VOLUME</t>
        </is>
      </c>
      <c r="WK2" t="inlineStr">
        <is>
          <t>Date</t>
        </is>
      </c>
      <c r="WL2" t="inlineStr">
        <is>
          <t>PX_LAST</t>
        </is>
      </c>
      <c r="WM2" t="inlineStr">
        <is>
          <t>PX_VOLUME</t>
        </is>
      </c>
      <c r="WO2" t="inlineStr">
        <is>
          <t>Date</t>
        </is>
      </c>
      <c r="WP2" t="inlineStr">
        <is>
          <t>PX_LAST</t>
        </is>
      </c>
      <c r="WQ2" t="inlineStr">
        <is>
          <t>PX_VOLUME</t>
        </is>
      </c>
      <c r="WS2" t="inlineStr">
        <is>
          <t>Date</t>
        </is>
      </c>
      <c r="WT2" t="inlineStr">
        <is>
          <t>PX_LAST</t>
        </is>
      </c>
      <c r="WU2" t="inlineStr">
        <is>
          <t>PX_VOLUME</t>
        </is>
      </c>
      <c r="WW2" t="inlineStr">
        <is>
          <t>Date</t>
        </is>
      </c>
      <c r="WX2" t="inlineStr">
        <is>
          <t>PX_LAST</t>
        </is>
      </c>
      <c r="WY2" t="inlineStr">
        <is>
          <t>PX_VOLUME</t>
        </is>
      </c>
      <c r="XA2" t="inlineStr">
        <is>
          <t>Date</t>
        </is>
      </c>
      <c r="XB2" t="inlineStr">
        <is>
          <t>PX_LAST</t>
        </is>
      </c>
      <c r="XC2" t="inlineStr">
        <is>
          <t>PX_VOLUME</t>
        </is>
      </c>
      <c r="XE2" t="inlineStr">
        <is>
          <t>Date</t>
        </is>
      </c>
      <c r="XF2" t="inlineStr">
        <is>
          <t>PX_LAST</t>
        </is>
      </c>
      <c r="XG2" t="inlineStr">
        <is>
          <t>PX_VOLUME</t>
        </is>
      </c>
      <c r="XI2" t="inlineStr">
        <is>
          <t>Date</t>
        </is>
      </c>
      <c r="XJ2" t="inlineStr">
        <is>
          <t>PX_LAST</t>
        </is>
      </c>
      <c r="XK2" t="inlineStr">
        <is>
          <t>PX_VOLUME</t>
        </is>
      </c>
      <c r="XM2" t="inlineStr">
        <is>
          <t>Date</t>
        </is>
      </c>
      <c r="XN2" t="inlineStr">
        <is>
          <t>PX_LAST</t>
        </is>
      </c>
      <c r="XO2" t="inlineStr">
        <is>
          <t>PX_VOLUME</t>
        </is>
      </c>
      <c r="XQ2" t="inlineStr">
        <is>
          <t>Date</t>
        </is>
      </c>
      <c r="XR2" t="inlineStr">
        <is>
          <t>PX_LAST</t>
        </is>
      </c>
      <c r="XS2" t="inlineStr">
        <is>
          <t>PX_VOLUME</t>
        </is>
      </c>
      <c r="XU2" t="inlineStr">
        <is>
          <t>Date</t>
        </is>
      </c>
      <c r="XV2" t="inlineStr">
        <is>
          <t>PX_LAST</t>
        </is>
      </c>
      <c r="XW2" t="inlineStr">
        <is>
          <t>PX_VOLUME</t>
        </is>
      </c>
      <c r="XY2" t="inlineStr">
        <is>
          <t>Date</t>
        </is>
      </c>
      <c r="XZ2" t="inlineStr">
        <is>
          <t>PX_LAST</t>
        </is>
      </c>
      <c r="YA2" t="inlineStr">
        <is>
          <t>PX_VOLUME</t>
        </is>
      </c>
      <c r="YC2" t="inlineStr">
        <is>
          <t>Date</t>
        </is>
      </c>
      <c r="YD2" t="inlineStr">
        <is>
          <t>PX_LAST</t>
        </is>
      </c>
      <c r="YE2" t="inlineStr">
        <is>
          <t>PX_VOLUME</t>
        </is>
      </c>
      <c r="YG2" t="inlineStr">
        <is>
          <t>Date</t>
        </is>
      </c>
      <c r="YH2" t="inlineStr">
        <is>
          <t>PX_LAST</t>
        </is>
      </c>
      <c r="YI2" t="inlineStr">
        <is>
          <t>PX_VOLUME</t>
        </is>
      </c>
      <c r="YK2" t="inlineStr">
        <is>
          <t>Date</t>
        </is>
      </c>
      <c r="YL2" t="inlineStr">
        <is>
          <t>PX_LAST</t>
        </is>
      </c>
      <c r="YM2" t="inlineStr">
        <is>
          <t>PX_VOLUME</t>
        </is>
      </c>
      <c r="YO2" t="inlineStr">
        <is>
          <t>Date</t>
        </is>
      </c>
      <c r="YP2" t="inlineStr">
        <is>
          <t>PX_LAST</t>
        </is>
      </c>
      <c r="YQ2" t="inlineStr">
        <is>
          <t>PX_VOLUME</t>
        </is>
      </c>
      <c r="YS2" t="inlineStr">
        <is>
          <t>Date</t>
        </is>
      </c>
      <c r="YT2" t="inlineStr">
        <is>
          <t>PX_LAST</t>
        </is>
      </c>
      <c r="YU2" t="inlineStr">
        <is>
          <t>PX_VOLUME</t>
        </is>
      </c>
      <c r="YW2" t="inlineStr">
        <is>
          <t>Date</t>
        </is>
      </c>
      <c r="YX2" t="inlineStr">
        <is>
          <t>PX_LAST</t>
        </is>
      </c>
      <c r="YY2" t="inlineStr">
        <is>
          <t>PX_VOLUME</t>
        </is>
      </c>
      <c r="ZA2" t="inlineStr">
        <is>
          <t>Date</t>
        </is>
      </c>
      <c r="ZB2" t="inlineStr">
        <is>
          <t>PX_LAST</t>
        </is>
      </c>
      <c r="ZC2" t="inlineStr">
        <is>
          <t>PX_VOLUME</t>
        </is>
      </c>
      <c r="ZE2" t="inlineStr">
        <is>
          <t>Date</t>
        </is>
      </c>
      <c r="ZF2" t="inlineStr">
        <is>
          <t>PX_LAST</t>
        </is>
      </c>
      <c r="ZG2" t="inlineStr">
        <is>
          <t>PX_VOLUME</t>
        </is>
      </c>
      <c r="ZI2" t="inlineStr">
        <is>
          <t>Date</t>
        </is>
      </c>
      <c r="ZJ2" t="inlineStr">
        <is>
          <t>PX_LAST</t>
        </is>
      </c>
      <c r="ZK2" t="inlineStr">
        <is>
          <t>PX_VOLUME</t>
        </is>
      </c>
      <c r="ZM2" t="inlineStr">
        <is>
          <t>Date</t>
        </is>
      </c>
      <c r="ZN2" t="inlineStr">
        <is>
          <t>PX_LAST</t>
        </is>
      </c>
      <c r="ZO2" t="inlineStr">
        <is>
          <t>PX_VOLUME</t>
        </is>
      </c>
      <c r="ZQ2" t="inlineStr">
        <is>
          <t>Date</t>
        </is>
      </c>
      <c r="ZR2" t="inlineStr">
        <is>
          <t>PX_LAST</t>
        </is>
      </c>
      <c r="ZS2" t="inlineStr">
        <is>
          <t>PX_VOLUME</t>
        </is>
      </c>
      <c r="ZU2" t="inlineStr">
        <is>
          <t>Date</t>
        </is>
      </c>
      <c r="ZV2" t="inlineStr">
        <is>
          <t>PX_LAST</t>
        </is>
      </c>
      <c r="ZW2" t="inlineStr">
        <is>
          <t>PX_VOLUME</t>
        </is>
      </c>
      <c r="ZY2" t="inlineStr">
        <is>
          <t>Date</t>
        </is>
      </c>
      <c r="ZZ2" t="inlineStr">
        <is>
          <t>PX_LAST</t>
        </is>
      </c>
      <c r="AAA2" t="inlineStr">
        <is>
          <t>PX_VOLUME</t>
        </is>
      </c>
      <c r="AAC2" t="inlineStr">
        <is>
          <t>Date</t>
        </is>
      </c>
      <c r="AAD2" t="inlineStr">
        <is>
          <t>PX_LAST</t>
        </is>
      </c>
      <c r="AAE2" t="inlineStr">
        <is>
          <t>PX_VOLUME</t>
        </is>
      </c>
      <c r="AAG2" t="inlineStr">
        <is>
          <t>Date</t>
        </is>
      </c>
      <c r="AAH2" t="inlineStr">
        <is>
          <t>PX_LAST</t>
        </is>
      </c>
      <c r="AAI2" t="inlineStr">
        <is>
          <t>PX_VOLUME</t>
        </is>
      </c>
      <c r="AAK2" t="inlineStr">
        <is>
          <t>Date</t>
        </is>
      </c>
      <c r="AAL2" t="inlineStr">
        <is>
          <t>PX_LAST</t>
        </is>
      </c>
      <c r="AAM2" t="inlineStr">
        <is>
          <t>PX_VOLUME</t>
        </is>
      </c>
      <c r="AAO2" t="inlineStr">
        <is>
          <t>Date</t>
        </is>
      </c>
      <c r="AAP2" t="inlineStr">
        <is>
          <t>PX_LAST</t>
        </is>
      </c>
      <c r="AAQ2" t="inlineStr">
        <is>
          <t>PX_VOLUME</t>
        </is>
      </c>
      <c r="AAS2" t="inlineStr">
        <is>
          <t>Date</t>
        </is>
      </c>
      <c r="AAT2" t="inlineStr">
        <is>
          <t>PX_LAST</t>
        </is>
      </c>
      <c r="AAU2" t="inlineStr">
        <is>
          <t>PX_VOLUME</t>
        </is>
      </c>
      <c r="AAW2" t="inlineStr">
        <is>
          <t>Date</t>
        </is>
      </c>
      <c r="AAX2" t="inlineStr">
        <is>
          <t>PX_LAST</t>
        </is>
      </c>
      <c r="AAY2" t="inlineStr">
        <is>
          <t>PX_VOLUME</t>
        </is>
      </c>
      <c r="ABA2" t="inlineStr">
        <is>
          <t>Date</t>
        </is>
      </c>
      <c r="ABB2" t="inlineStr">
        <is>
          <t>PX_LAST</t>
        </is>
      </c>
      <c r="ABC2" t="inlineStr">
        <is>
          <t>PX_VOLUME</t>
        </is>
      </c>
      <c r="ABE2" t="inlineStr">
        <is>
          <t>Date</t>
        </is>
      </c>
      <c r="ABF2" t="inlineStr">
        <is>
          <t>PX_LAST</t>
        </is>
      </c>
      <c r="ABG2" t="inlineStr">
        <is>
          <t>PX_VOLUME</t>
        </is>
      </c>
      <c r="ABI2" t="inlineStr">
        <is>
          <t>Date</t>
        </is>
      </c>
      <c r="ABJ2" t="inlineStr">
        <is>
          <t>PX_LAST</t>
        </is>
      </c>
      <c r="ABK2" t="inlineStr">
        <is>
          <t>PX_VOLUME</t>
        </is>
      </c>
      <c r="ABM2" t="inlineStr">
        <is>
          <t>Date</t>
        </is>
      </c>
      <c r="ABN2" t="inlineStr">
        <is>
          <t>PX_LAST</t>
        </is>
      </c>
      <c r="ABO2" t="inlineStr">
        <is>
          <t>PX_VOLUME</t>
        </is>
      </c>
      <c r="ABQ2" t="inlineStr">
        <is>
          <t>Date</t>
        </is>
      </c>
      <c r="ABR2" t="inlineStr">
        <is>
          <t>PX_LAST</t>
        </is>
      </c>
      <c r="ABS2" t="inlineStr">
        <is>
          <t>PX_VOLUME</t>
        </is>
      </c>
      <c r="ABU2" t="inlineStr">
        <is>
          <t>Date</t>
        </is>
      </c>
      <c r="ABV2" t="inlineStr">
        <is>
          <t>PX_LAST</t>
        </is>
      </c>
      <c r="ABW2" t="inlineStr">
        <is>
          <t>PX_VOLUME</t>
        </is>
      </c>
      <c r="ABY2" t="inlineStr">
        <is>
          <t>Date</t>
        </is>
      </c>
      <c r="ABZ2" t="inlineStr">
        <is>
          <t>PX_LAST</t>
        </is>
      </c>
      <c r="ACA2" t="inlineStr">
        <is>
          <t>PX_VOLUME</t>
        </is>
      </c>
      <c r="ACC2" t="inlineStr">
        <is>
          <t>Date</t>
        </is>
      </c>
      <c r="ACD2" t="inlineStr">
        <is>
          <t>PX_LAST</t>
        </is>
      </c>
      <c r="ACE2" t="inlineStr">
        <is>
          <t>PX_VOLUME</t>
        </is>
      </c>
      <c r="ACG2" t="inlineStr">
        <is>
          <t>Date</t>
        </is>
      </c>
      <c r="ACH2" t="inlineStr">
        <is>
          <t>PX_LAST</t>
        </is>
      </c>
      <c r="ACI2" t="inlineStr">
        <is>
          <t>PX_VOLUME</t>
        </is>
      </c>
      <c r="ACK2" t="inlineStr">
        <is>
          <t>Date</t>
        </is>
      </c>
      <c r="ACL2" t="inlineStr">
        <is>
          <t>PX_LAST</t>
        </is>
      </c>
      <c r="ACM2" t="inlineStr">
        <is>
          <t>PX_VOLUME</t>
        </is>
      </c>
      <c r="ACO2" t="inlineStr">
        <is>
          <t>Date</t>
        </is>
      </c>
      <c r="ACP2" t="inlineStr">
        <is>
          <t>PX_LAST</t>
        </is>
      </c>
      <c r="ACQ2" t="inlineStr">
        <is>
          <t>PX_VOLUME</t>
        </is>
      </c>
      <c r="ACS2" t="inlineStr">
        <is>
          <t>Date</t>
        </is>
      </c>
      <c r="ACT2" t="inlineStr">
        <is>
          <t>PX_LAST</t>
        </is>
      </c>
      <c r="ACU2" t="inlineStr">
        <is>
          <t>PX_VOLUME</t>
        </is>
      </c>
      <c r="ACW2" t="inlineStr">
        <is>
          <t>Date</t>
        </is>
      </c>
      <c r="ACX2" t="inlineStr">
        <is>
          <t>PX_LAST</t>
        </is>
      </c>
      <c r="ACY2" t="inlineStr">
        <is>
          <t>PX_VOLUME</t>
        </is>
      </c>
      <c r="ADA2" t="inlineStr">
        <is>
          <t>Date</t>
        </is>
      </c>
      <c r="ADB2" t="inlineStr">
        <is>
          <t>PX_LAST</t>
        </is>
      </c>
      <c r="ADC2" t="inlineStr">
        <is>
          <t>PX_VOLUME</t>
        </is>
      </c>
      <c r="ADE2" t="inlineStr">
        <is>
          <t>Date</t>
        </is>
      </c>
      <c r="ADF2" t="inlineStr">
        <is>
          <t>PX_LAST</t>
        </is>
      </c>
      <c r="ADG2" t="inlineStr">
        <is>
          <t>PX_VOLUME</t>
        </is>
      </c>
      <c r="ADI2" t="inlineStr">
        <is>
          <t>Date</t>
        </is>
      </c>
      <c r="ADJ2" t="inlineStr">
        <is>
          <t>PX_LAST</t>
        </is>
      </c>
      <c r="ADK2" t="inlineStr">
        <is>
          <t>PX_VOLUME</t>
        </is>
      </c>
      <c r="ADM2" t="inlineStr">
        <is>
          <t>Date</t>
        </is>
      </c>
      <c r="ADN2" t="inlineStr">
        <is>
          <t>PX_LAST</t>
        </is>
      </c>
      <c r="ADO2" t="inlineStr">
        <is>
          <t>PX_VOLUME</t>
        </is>
      </c>
      <c r="ADQ2" t="inlineStr">
        <is>
          <t>Date</t>
        </is>
      </c>
      <c r="ADR2" t="inlineStr">
        <is>
          <t>PX_LAST</t>
        </is>
      </c>
      <c r="ADS2" t="inlineStr">
        <is>
          <t>PX_VOLUME</t>
        </is>
      </c>
    </row>
    <row r="3">
      <c r="A3">
        <f>BDH("BBG01NWBCJR4 Equity","PX_LAST,PX_VOLUME","1/1/2020","6/10/2026")</f>
        <v/>
      </c>
      <c r="E3">
        <f>BDH("BBG01NWBC5R4 Equity","PX_LAST,PX_VOLUME","1/1/2020","6/10/2026")</f>
        <v/>
      </c>
      <c r="I3">
        <f>BDH("BBG01QJ2MH86 Equity","PX_LAST,PX_VOLUME","1/1/2020","6/10/2026")</f>
        <v/>
      </c>
      <c r="M3">
        <f>BDH("BBG01QRV7NB3 Equity","PX_LAST,PX_VOLUME","1/1/2020","6/10/2026")</f>
        <v/>
      </c>
      <c r="Q3">
        <f>BDH("BBG01QRV7RS6 Equity","PX_LAST,PX_VOLUME","1/1/2020","6/10/2026")</f>
        <v/>
      </c>
      <c r="U3">
        <f>BDH("BBG01QRV7NY8 Equity","PX_LAST,PX_VOLUME","1/1/2020","6/10/2026")</f>
        <v/>
      </c>
      <c r="Y3">
        <f>BDH("BBG01QQR6TF7 Equity","PX_LAST,PX_VOLUME","1/1/2020","6/10/2026")</f>
        <v/>
      </c>
      <c r="AC3">
        <f>BDH("BBG01QRV7SD0 Equity","PX_LAST,PX_VOLUME","1/1/2020","6/10/2026")</f>
        <v/>
      </c>
      <c r="AG3">
        <f>BDH("BBG01QRV7QK6 Equity","PX_LAST,PX_VOLUME","1/1/2020","6/10/2026")</f>
        <v/>
      </c>
      <c r="AK3">
        <f>BDH("BBG01QRV7R51 Equity","PX_LAST,PX_VOLUME","1/1/2020","6/10/2026")</f>
        <v/>
      </c>
      <c r="AO3">
        <f>BDH("BBG01QRV7MQ9 Equity","PX_LAST,PX_VOLUME","1/1/2020","6/10/2026")</f>
        <v/>
      </c>
      <c r="AS3">
        <f>BDH("BBG01QRV7PY3 Equity","PX_LAST,PX_VOLUME","1/1/2020","6/10/2026")</f>
        <v/>
      </c>
      <c r="AW3">
        <f>BDH("BBG01R6BMV96 Equity","PX_LAST,PX_VOLUME","1/1/2020","6/10/2026")</f>
        <v/>
      </c>
      <c r="BA3">
        <f>BDH("BBG01R6BMWJ3 Equity","PX_LAST,PX_VOLUME","1/1/2020","6/10/2026")</f>
        <v/>
      </c>
      <c r="BE3">
        <f>BDH("BBG01R6BMVX9 Equity","PX_LAST,PX_VOLUME","1/1/2020","6/10/2026")</f>
        <v/>
      </c>
      <c r="BI3">
        <f>BDH("BBG01R6BP5H1 Equity","PX_LAST,PX_VOLUME","1/1/2020","6/10/2026")</f>
        <v/>
      </c>
      <c r="BM3">
        <f>BDH("BBG01R6BMX47 Equity","PX_LAST,PX_VOLUME","1/1/2020","6/10/2026")</f>
        <v/>
      </c>
      <c r="BQ3">
        <f>BDH("BBG01R8RWVP0 Equity","PX_LAST,PX_VOLUME","1/1/2020","6/10/2026")</f>
        <v/>
      </c>
      <c r="BU3">
        <f>BDH("BBG01R8RWRY9 Equity","PX_LAST,PX_VOLUME","1/1/2020","6/10/2026")</f>
        <v/>
      </c>
      <c r="BY3">
        <f>BDH("BBG01R8RWRB4 Equity","PX_LAST,PX_VOLUME","1/1/2020","6/10/2026")</f>
        <v/>
      </c>
      <c r="CC3">
        <f>BDH("BBG01R8RV462 Equity","PX_LAST,PX_VOLUME","1/1/2020","6/10/2026")</f>
        <v/>
      </c>
      <c r="CG3">
        <f>BDH("BBG01R8RWTG5 Equity","PX_LAST,PX_VOLUME","1/1/2020","6/10/2026")</f>
        <v/>
      </c>
      <c r="CK3">
        <f>BDH("BBG01R8RWQ35 Equity","PX_LAST,PX_VOLUME","1/1/2020","6/10/2026")</f>
        <v/>
      </c>
      <c r="CO3">
        <f>BDH("BBG01R8RWSK2 Equity","PX_LAST,PX_VOLUME","1/1/2020","6/10/2026")</f>
        <v/>
      </c>
      <c r="CS3">
        <f>BDH("BBG01R8RWV25 Equity","PX_LAST,PX_VOLUME","1/1/2020","6/10/2026")</f>
        <v/>
      </c>
      <c r="CW3">
        <f>BDH("BBG01R8RWQQ0 Equity","PX_LAST,PX_VOLUME","1/1/2020","6/10/2026")</f>
        <v/>
      </c>
      <c r="DA3">
        <f>BDH("BBG01R97Q9N1 Equity","PX_LAST,PX_VOLUME","1/1/2020","6/10/2026")</f>
        <v/>
      </c>
      <c r="DE3">
        <f>BDH("BBG01R9PW3D8 Equity","PX_LAST,PX_VOLUME","1/1/2020","6/10/2026")</f>
        <v/>
      </c>
      <c r="DI3">
        <f>BDH("BBG01R9PW259 Equity","PX_LAST,PX_VOLUME","1/1/2020","6/10/2026")</f>
        <v/>
      </c>
      <c r="DM3">
        <f>BDH("BBG01R9PVP86 Equity","PX_LAST,PX_VOLUME","1/1/2020","6/10/2026")</f>
        <v/>
      </c>
      <c r="DQ3">
        <f>BDH("BBG01R9PVNN4 Equity","PX_LAST,PX_VOLUME","1/1/2020","6/10/2026")</f>
        <v/>
      </c>
      <c r="DU3">
        <f>BDH("BBG01R9PV6G9 Equity","PX_LAST,PX_VOLUME","1/1/2020","6/10/2026")</f>
        <v/>
      </c>
      <c r="DY3">
        <f>BDH("BBG01R9PV5V4 Equity","PX_LAST,PX_VOLUME","1/1/2020","6/10/2026")</f>
        <v/>
      </c>
      <c r="EC3">
        <f>BDH("BBG01R9PW2S4 Equity","PX_LAST,PX_VOLUME","1/1/2020","6/10/2026")</f>
        <v/>
      </c>
      <c r="EG3">
        <f>BDH("BBG01RB3C765 Equity","PX_LAST,PX_VOLUME","1/1/2020","6/10/2026")</f>
        <v/>
      </c>
      <c r="EK3">
        <f>BDH("BBG01RB3C6L0 Equity","PX_LAST,PX_VOLUME","1/1/2020","6/10/2026")</f>
        <v/>
      </c>
      <c r="EO3">
        <f>BDH("BBG01RB3CHP2 Equity","PX_LAST,PX_VOLUME","1/1/2020","6/10/2026")</f>
        <v/>
      </c>
      <c r="ES3">
        <f>BDH("BBG01RB3C7T0 Equity","PX_LAST,PX_VOLUME","1/1/2020","6/10/2026")</f>
        <v/>
      </c>
      <c r="EW3">
        <f>BDH("BBG01RB3C5Z7 Equity","PX_LAST,PX_VOLUME","1/1/2020","6/10/2026")</f>
        <v/>
      </c>
      <c r="FA3">
        <f>BDH("BBG01SP0D0J4 Equity","PX_LAST,PX_VOLUME","1/1/2020","6/10/2026")</f>
        <v/>
      </c>
      <c r="FE3">
        <f>BDH("BBG01SP0D1R3 Equity","PX_LAST,PX_VOLUME","1/1/2020","6/10/2026")</f>
        <v/>
      </c>
      <c r="FI3">
        <f>BDH("BBG01SP0FJT0 Equity","PX_LAST,PX_VOLUME","1/1/2020","6/10/2026")</f>
        <v/>
      </c>
      <c r="FM3">
        <f>BDH("BBG01T1K5P26 Equity","PX_LAST,PX_VOLUME","1/1/2020","6/10/2026")</f>
        <v/>
      </c>
      <c r="FQ3">
        <f>BDH("BBG01SP0F5V7 Equity","PX_LAST,PX_VOLUME","1/1/2020","6/10/2026")</f>
        <v/>
      </c>
      <c r="FU3">
        <f>BDH("BBG01T1K6M86 Equity","PX_LAST,PX_VOLUME","1/1/2020","6/10/2026")</f>
        <v/>
      </c>
      <c r="FY3">
        <f>BDH("BBG01SJQH3Z6 Equity","PX_LAST,PX_VOLUME","1/1/2020","6/10/2026")</f>
        <v/>
      </c>
      <c r="GC3">
        <f>BDH("BBG01T1K5NG6 Equity","PX_LAST,PX_VOLUME","1/1/2020","6/10/2026")</f>
        <v/>
      </c>
      <c r="GG3">
        <f>BDH("BBG01SP0FFD5 Equity","PX_LAST,PX_VOLUME","1/1/2020","6/10/2026")</f>
        <v/>
      </c>
      <c r="GK3">
        <f>BDH("BBG01T1K5TS0 Equity","PX_LAST,PX_VOLUME","1/1/2020","6/10/2026")</f>
        <v/>
      </c>
      <c r="GO3">
        <f>BDH("BBG01SP0CZX2 Equity","PX_LAST,PX_VOLUME","1/1/2020","6/10/2026")</f>
        <v/>
      </c>
      <c r="GS3">
        <f>BDH("BBG01T1K5R68 Equity","PX_LAST,PX_VOLUME","1/1/2020","6/10/2026")</f>
        <v/>
      </c>
      <c r="GW3">
        <f>BDH("BBG01SP0D148 Equity","PX_LAST,PX_VOLUME","1/1/2020","6/10/2026")</f>
        <v/>
      </c>
      <c r="HA3">
        <f>BDH("BBG01T1K5VD1 Equity","PX_LAST,PX_VOLUME","1/1/2020","6/10/2026")</f>
        <v/>
      </c>
      <c r="HE3">
        <f>BDH("BBG01SP0F6G2 Equity","PX_LAST,PX_VOLUME","1/1/2020","6/10/2026")</f>
        <v/>
      </c>
      <c r="HI3">
        <f>BDH("BBG01T1K5M78 Equity","PX_LAST,PX_VOLUME","1/1/2020","6/10/2026")</f>
        <v/>
      </c>
      <c r="HM3">
        <f>BDH("BBG01SG2RRY9 Equity","PX_LAST,PX_VOLUME","1/1/2020","6/10/2026")</f>
        <v/>
      </c>
      <c r="HQ3">
        <f>BDH("BBG01T1K6NH4 Equity","PX_LAST,PX_VOLUME","1/1/2020","6/10/2026")</f>
        <v/>
      </c>
      <c r="HU3">
        <f>BDH("BBG01SG2RQ35 Equity","PX_LAST,PX_VOLUME","1/1/2020","6/10/2026")</f>
        <v/>
      </c>
      <c r="HY3">
        <f>BDH("BBG01T1K6QZ7 Equity","PX_LAST,PX_VOLUME","1/1/2020","6/10/2026")</f>
        <v/>
      </c>
      <c r="IC3">
        <f>BDH("BBG01SG2RLG2 Equity","PX_LAST,PX_VOLUME","1/1/2020","6/10/2026")</f>
        <v/>
      </c>
      <c r="IG3">
        <f>BDH("BBG01T1K5MV1 Equity","PX_LAST,PX_VOLUME","1/1/2020","6/10/2026")</f>
        <v/>
      </c>
      <c r="IK3">
        <f>BDH("BBG01SG2RN96 Equity","PX_LAST,PX_VOLUME","1/1/2020","6/10/2026")</f>
        <v/>
      </c>
      <c r="IO3">
        <f>BDH("BBG01T1K5RT3 Equity","PX_LAST,PX_VOLUME","1/1/2020","6/10/2026")</f>
        <v/>
      </c>
      <c r="IS3">
        <f>BDH("BBG01SG2S9F9 Equity","PX_LAST,PX_VOLUME","1/1/2020","6/10/2026")</f>
        <v/>
      </c>
      <c r="IW3">
        <f>BDH("BBG01T1K6MW9 Equity","PX_LAST,PX_VOLUME","1/1/2020","6/10/2026")</f>
        <v/>
      </c>
      <c r="JA3">
        <f>BDH("BBG01SG2S852 Equity","PX_LAST,PX_VOLUME","1/1/2020","6/10/2026")</f>
        <v/>
      </c>
      <c r="JE3">
        <f>BDH("BBG01SG2RWX9 Equity","PX_LAST,PX_VOLUME","1/1/2020","6/10/2026")</f>
        <v/>
      </c>
      <c r="JI3">
        <f>BDH("BBG01SG2RPH2 Equity","PX_LAST,PX_VOLUME","1/1/2020","6/10/2026")</f>
        <v/>
      </c>
      <c r="JM3">
        <f>BDH("BBG01SG2RMP0 Equity","PX_LAST,PX_VOLUME","1/1/2020","6/10/2026")</f>
        <v/>
      </c>
      <c r="JQ3">
        <f>BDH("BBG01SG2RY47 Equity","PX_LAST,PX_VOLUME","1/1/2020","6/10/2026")</f>
        <v/>
      </c>
      <c r="JU3">
        <f>BDH("BBG01SG2RQQ0 Equity","PX_LAST,PX_VOLUME","1/1/2020","6/10/2026")</f>
        <v/>
      </c>
      <c r="JY3">
        <f>BDH("BBG01SG2RYR2 Equity","PX_LAST,PX_VOLUME","1/1/2020","6/10/2026")</f>
        <v/>
      </c>
      <c r="KC3">
        <f>BDH("BBG01SG2RM25 Equity","PX_LAST,PX_VOLUME","1/1/2020","6/10/2026")</f>
        <v/>
      </c>
      <c r="KG3">
        <f>BDH("BBG01SG2SJC0 Equity","PX_LAST,PX_VOLUME","1/1/2020","6/10/2026")</f>
        <v/>
      </c>
      <c r="KK3">
        <f>BDH("BBG01SG2SB19 Equity","PX_LAST,PX_VOLUME","1/1/2020","6/10/2026")</f>
        <v/>
      </c>
      <c r="KO3">
        <f>BDH("BBG01SG2RZC5 Equity","PX_LAST,PX_VOLUME","1/1/2020","6/10/2026")</f>
        <v/>
      </c>
      <c r="KS3">
        <f>BDH("BBG01SG2RXJ3 Equity","PX_LAST,PX_VOLUME","1/1/2020","6/10/2026")</f>
        <v/>
      </c>
      <c r="KW3">
        <f>BDH("BBG01SG2RNX9 Equity","PX_LAST,PX_VOLUME","1/1/2020","6/10/2026")</f>
        <v/>
      </c>
      <c r="LA3">
        <f>BDH("BBG01SG2SBN5 Equity","PX_LAST,PX_VOLUME","1/1/2020","6/10/2026")</f>
        <v/>
      </c>
      <c r="LE3">
        <f>BDH("BBG01SG2S8S7 Equity","PX_LAST,PX_VOLUME","1/1/2020","6/10/2026")</f>
        <v/>
      </c>
      <c r="LI3">
        <f>BDH("BBG01SG2RRB4 Equity","PX_LAST,PX_VOLUME","1/1/2020","6/10/2026")</f>
        <v/>
      </c>
      <c r="LM3">
        <f>BDH("BBG01SZMWCF2 Equity","PX_LAST,PX_VOLUME","1/1/2020","6/10/2026")</f>
        <v/>
      </c>
      <c r="LQ3">
        <f>BDH("BBG01SZMVT39 Equity","PX_LAST,PX_VOLUME","1/1/2020","6/10/2026")</f>
        <v/>
      </c>
      <c r="LU3">
        <f>BDH("BBG01SZMVVB5 Equity","PX_LAST,PX_VOLUME","1/1/2020","6/10/2026")</f>
        <v/>
      </c>
      <c r="LY3">
        <f>BDH("BBG01SZMTZG4 Equity","PX_LAST,PX_VOLUME","1/1/2020","6/10/2026")</f>
        <v/>
      </c>
      <c r="MC3">
        <f>BDH("BBG01SZMWD15 Equity","PX_LAST,PX_VOLUME","1/1/2020","6/10/2026")</f>
        <v/>
      </c>
      <c r="MG3">
        <f>BDH("BBG01SZMV0P8 Equity","PX_LAST,PX_VOLUME","1/1/2020","6/10/2026")</f>
        <v/>
      </c>
      <c r="MK3">
        <f>BDH("BBG01SZMVTQ4 Equity","PX_LAST,PX_VOLUME","1/1/2020","6/10/2026")</f>
        <v/>
      </c>
      <c r="MO3">
        <f>BDH("BBG01SZMWMR7 Equity","PX_LAST,PX_VOLUME","1/1/2020","6/10/2026")</f>
        <v/>
      </c>
      <c r="MS3">
        <f>BDH("BBG01SZMW6F5 Equity","PX_LAST,PX_VOLUME","1/1/2020","6/10/2026")</f>
        <v/>
      </c>
      <c r="MW3">
        <f>BDH("BBG01SZMW5T2 Equity","PX_LAST,PX_VOLUME","1/1/2020","6/10/2026")</f>
        <v/>
      </c>
      <c r="NA3">
        <f>BDH("BBG01SZMWM42 Equity","PX_LAST,PX_VOLUME","1/1/2020","6/10/2026")</f>
        <v/>
      </c>
      <c r="NE3">
        <f>BDH("BBG01SZMVSH6 Equity","PX_LAST,PX_VOLUME","1/1/2020","6/10/2026")</f>
        <v/>
      </c>
      <c r="NI3">
        <f>BDH("BBG01SZMWX75 Equity","PX_LAST,PX_VOLUME","1/1/2020","6/10/2026")</f>
        <v/>
      </c>
      <c r="NM3">
        <f>BDH("BBG01SZMV023 Equity","PX_LAST,PX_VOLUME","1/1/2020","6/10/2026")</f>
        <v/>
      </c>
      <c r="NQ3">
        <f>BDH("BBG01SZMWBT9 Equity","PX_LAST,PX_VOLUME","1/1/2020","6/10/2026")</f>
        <v/>
      </c>
      <c r="NU3">
        <f>BDH("BBG01T1K5BK7 Equity","PX_LAST,PX_VOLUME","1/1/2020","6/10/2026")</f>
        <v/>
      </c>
      <c r="NY3">
        <f>BDH("BBG01T1K59B2 Equity","PX_LAST,PX_VOLUME","1/1/2020","6/10/2026")</f>
        <v/>
      </c>
      <c r="OC3">
        <f>BDH("BBG01T1K59Y7 Equity","PX_LAST,PX_VOLUME","1/1/2020","6/10/2026")</f>
        <v/>
      </c>
      <c r="OG3">
        <f>BDH("BBG01T2995D8 Equity","PX_LAST,PX_VOLUME","1/1/2020","6/10/2026")</f>
        <v/>
      </c>
      <c r="OK3">
        <f>BDH("BBG01T2994S5 Equity","PX_LAST,PX_VOLUME","1/1/2020","6/10/2026")</f>
        <v/>
      </c>
      <c r="OO3">
        <f>BDH("BBG01T299450 Equity","PX_LAST,PX_VOLUME","1/1/2020","6/10/2026")</f>
        <v/>
      </c>
      <c r="OS3">
        <f>BDH("BBG01QCXYQJ0 Equity","PX_LAST,PX_VOLUME","1/1/2020","6/10/2026")</f>
        <v/>
      </c>
      <c r="OW3">
        <f>BDH("BBG01SP0G617 Equity","PX_LAST,PX_VOLUME","1/1/2020","6/10/2026")</f>
        <v/>
      </c>
      <c r="PA3">
        <f>BDH("BBG01QCXYCP4 Equity","PX_LAST,PX_VOLUME","1/1/2020","6/10/2026")</f>
        <v/>
      </c>
      <c r="PE3">
        <f>BDH("BBG01SP0F2V4 Equity","PX_LAST,PX_VOLUME","1/1/2020","6/10/2026")</f>
        <v/>
      </c>
      <c r="PI3">
        <f>BDH("BBG01QCXXPD9 Equity","PX_LAST,PX_VOLUME","1/1/2020","6/10/2026")</f>
        <v/>
      </c>
      <c r="PM3">
        <f>BDH("BBG01SP0G5F4 Equity","PX_LAST,PX_VOLUME","1/1/2020","6/10/2026")</f>
        <v/>
      </c>
      <c r="PQ3">
        <f>BDH("BBG01QCXXNS8 Equity","PX_LAST,PX_VOLUME","1/1/2020","6/10/2026")</f>
        <v/>
      </c>
      <c r="PU3">
        <f>BDH("BBG01SP0G4T2 Equity","PX_LAST,PX_VOLUME","1/1/2020","6/10/2026")</f>
        <v/>
      </c>
      <c r="PY3">
        <f>BDH("BBG01QCXYR44 Equity","PX_LAST,PX_VOLUME","1/1/2020","6/10/2026")</f>
        <v/>
      </c>
      <c r="QC3">
        <f>BDH("BBG01SP0F271 Equity","PX_LAST,PX_VOLUME","1/1/2020","6/10/2026")</f>
        <v/>
      </c>
      <c r="QG3">
        <f>BDH("BBG01QCXZ0S6 Equity","PX_LAST,PX_VOLUME","1/1/2020","6/10/2026")</f>
        <v/>
      </c>
      <c r="QK3">
        <f>BDH("BBG01QCXXN53 Equity","PX_LAST,PX_VOLUME","1/1/2020","6/10/2026")</f>
        <v/>
      </c>
      <c r="QO3">
        <f>BDH("BBG01QCXYDX3 Equity","PX_LAST,PX_VOLUME","1/1/2020","6/10/2026")</f>
        <v/>
      </c>
      <c r="QS3">
        <f>BDH("BBG01QCXYRW3 Equity","PX_LAST,PX_VOLUME","1/1/2020","6/10/2026")</f>
        <v/>
      </c>
      <c r="QW3">
        <f>BDH("BBG01QCXYZK8 Equity","PX_LAST,PX_VOLUME","1/1/2020","6/10/2026")</f>
        <v/>
      </c>
      <c r="RA3">
        <f>BDH("BBG01QCXYPX6 Equity","PX_LAST,PX_VOLUME","1/1/2020","6/10/2026")</f>
        <v/>
      </c>
      <c r="RE3">
        <f>BDH("BBG01QCXYYY6 Equity","PX_LAST,PX_VOLUME","1/1/2020","6/10/2026")</f>
        <v/>
      </c>
      <c r="RI3">
        <f>BDH("BBG01QCXXMK8 Equity","PX_LAST,PX_VOLUME","1/1/2020","6/10/2026")</f>
        <v/>
      </c>
      <c r="RM3">
        <f>BDH("BBG01QCXZ9S7 Equity","PX_LAST,PX_VOLUME","1/1/2020","6/10/2026")</f>
        <v/>
      </c>
      <c r="RQ3">
        <f>BDH("BBG01QCXZ952 Equity","PX_LAST,PX_VOLUME","1/1/2020","6/10/2026")</f>
        <v/>
      </c>
      <c r="RU3">
        <f>BDH("BBG01QCXZ1D0 Equity","PX_LAST,PX_VOLUME","1/1/2020","6/10/2026")</f>
        <v/>
      </c>
      <c r="RY3">
        <f>BDH("BBG01QCXYFJ4 Equity","PX_LAST,PX_VOLUME","1/1/2020","6/10/2026")</f>
        <v/>
      </c>
      <c r="SC3">
        <f>BDH("BBG01QCXYD90 Equity","PX_LAST,PX_VOLUME","1/1/2020","6/10/2026")</f>
        <v/>
      </c>
      <c r="SG3">
        <f>BDH("BBG01QCXZ051 Equity","PX_LAST,PX_VOLUME","1/1/2020","6/10/2026")</f>
        <v/>
      </c>
      <c r="SK3">
        <f>BDH("BBG01QJ2L2Z0 Equity","PX_LAST,PX_VOLUME","1/1/2020","6/10/2026")</f>
        <v/>
      </c>
      <c r="SO3">
        <f>BDH("BBG01QJ2L8P8 Equity","PX_LAST,PX_VOLUME","1/1/2020","6/10/2026")</f>
        <v/>
      </c>
      <c r="SS3">
        <f>BDH("BBG01QJ2L2C5 Equity","PX_LAST,PX_VOLUME","1/1/2020","6/10/2026")</f>
        <v/>
      </c>
      <c r="SW3">
        <f>BDH("BBG01QJ2M573 Equity","PX_LAST,PX_VOLUME","1/1/2020","6/10/2026")</f>
        <v/>
      </c>
      <c r="TA3">
        <f>BDH("BBG01QJ2L1R1 Equity","PX_LAST,PX_VOLUME","1/1/2020","6/10/2026")</f>
        <v/>
      </c>
      <c r="TE3">
        <f>BDH("BBG01QJ2L823 Equity","PX_LAST,PX_VOLUME","1/1/2020","6/10/2026")</f>
        <v/>
      </c>
      <c r="TI3">
        <f>BDH("BBG01QJ2M5V6 Equity","PX_LAST,PX_VOLUME","1/1/2020","6/10/2026")</f>
        <v/>
      </c>
      <c r="TM3">
        <f>BDH("BBG01QRV52G6 Equity","PX_LAST,PX_VOLUME","1/1/2020","6/10/2026")</f>
        <v/>
      </c>
      <c r="TQ3">
        <f>BDH("BBG01QRV46V1 Equity","PX_LAST,PX_VOLUME","1/1/2020","6/10/2026")</f>
        <v/>
      </c>
      <c r="TU3">
        <f>BDH("BBG01QRV5MV5 Equity","PX_LAST,PX_VOLUME","1/1/2020","6/10/2026")</f>
        <v/>
      </c>
      <c r="TY3">
        <f>BDH("BBG01QQR7407 Equity","PX_LAST,PX_VOLUME","1/1/2020","6/10/2026")</f>
        <v/>
      </c>
      <c r="UC3">
        <f>BDH("BBG01QRV47G6 Equity","PX_LAST,PX_VOLUME","1/1/2020","6/10/2026")</f>
        <v/>
      </c>
      <c r="UG3">
        <f>BDH("BBG01QRV5M72 Equity","PX_LAST,PX_VOLUME","1/1/2020","6/10/2026")</f>
        <v/>
      </c>
      <c r="UK3">
        <f>BDH("BBG01QRV4678 Equity","PX_LAST,PX_VOLUME","1/1/2020","6/10/2026")</f>
        <v/>
      </c>
      <c r="UO3">
        <f>BDH("BBG01QRV51V1 Equity","PX_LAST,PX_VOLUME","1/1/2020","6/10/2026")</f>
        <v/>
      </c>
      <c r="US3">
        <f>BDH("BBG01QRV5NG0 Equity","PX_LAST,PX_VOLUME","1/1/2020","6/10/2026")</f>
        <v/>
      </c>
      <c r="UW3">
        <f>BDH("BBG01R6BN618 Equity","PX_LAST,PX_VOLUME","1/1/2020","6/10/2026")</f>
        <v/>
      </c>
      <c r="VA3">
        <f>BDH("BBG01R6BLFY4 Equity","PX_LAST,PX_VOLUME","1/1/2020","6/10/2026")</f>
        <v/>
      </c>
      <c r="VE3">
        <f>BDH("BBG01R6BN5F5 Equity","PX_LAST,PX_VOLUME","1/1/2020","6/10/2026")</f>
        <v/>
      </c>
      <c r="VI3">
        <f>BDH("BBG01R6BN468 Equity","PX_LAST,PX_VOLUME","1/1/2020","6/10/2026")</f>
        <v/>
      </c>
      <c r="VM3">
        <f>BDH("BBG01R6BN4T3 Equity","PX_LAST,PX_VOLUME","1/1/2020","6/10/2026")</f>
        <v/>
      </c>
      <c r="VQ3">
        <f>BDH("BBG01R8RVC37 Equity","PX_LAST,PX_VOLUME","1/1/2020","6/10/2026")</f>
        <v/>
      </c>
      <c r="VU3">
        <f>BDH("BBG01R8RVGZ3 Equity","PX_LAST,PX_VOLUME","1/1/2020","6/10/2026")</f>
        <v/>
      </c>
      <c r="VY3">
        <f>BDH("BBG01R8RVCQ2 Equity","PX_LAST,PX_VOLUME","1/1/2020","6/10/2026")</f>
        <v/>
      </c>
      <c r="WC3">
        <f>BDH("BBG01R8RVGC8 Equity","PX_LAST,PX_VOLUME","1/1/2020","6/10/2026")</f>
        <v/>
      </c>
      <c r="WG3">
        <f>BDH("BBG01R8RTT97 Equity","PX_LAST,PX_VOLUME","1/1/2020","6/10/2026")</f>
        <v/>
      </c>
      <c r="WK3">
        <f>BDH("BBG01R8RT5C5 Equity","PX_LAST,PX_VOLUME","1/1/2020","6/10/2026")</f>
        <v/>
      </c>
      <c r="WO3">
        <f>BDH("BBG01R8RTSP1 Equity","PX_LAST,PX_VOLUME","1/1/2020","6/10/2026")</f>
        <v/>
      </c>
      <c r="WS3">
        <f>BDH("BBG01R8RTS26 Equity","PX_LAST,PX_VOLUME","1/1/2020","6/10/2026")</f>
        <v/>
      </c>
      <c r="WW3">
        <f>BDH("BBG01R8RT5Z0 Equity","PX_LAST,PX_VOLUME","1/1/2020","6/10/2026")</f>
        <v/>
      </c>
      <c r="XA3">
        <f>BDH("BBG01R97QML4 Equity","PX_LAST,PX_VOLUME","1/1/2020","6/10/2026")</f>
        <v/>
      </c>
      <c r="XE3">
        <f>BDH("BBG01R9PV2N0 Equity","PX_LAST,PX_VOLUME","1/1/2020","6/10/2026")</f>
        <v/>
      </c>
      <c r="XI3">
        <f>BDH("BBG01R9PV517 Equity","PX_LAST,PX_VOLUME","1/1/2020","6/10/2026")</f>
        <v/>
      </c>
      <c r="XM3">
        <f>BDH("BBG01R9PVKF9 Equity","PX_LAST,PX_VOLUME","1/1/2020","6/10/2026")</f>
        <v/>
      </c>
      <c r="XQ3">
        <f>BDH("BBG01R9PV385 Equity","PX_LAST,PX_VOLUME","1/1/2020","6/10/2026")</f>
        <v/>
      </c>
      <c r="XU3">
        <f>BDH("BBG01R9PVJT7 Equity","PX_LAST,PX_VOLUME","1/1/2020","6/10/2026")</f>
        <v/>
      </c>
      <c r="XY3">
        <f>BDH("BBG01R9PV4F5 Equity","PX_LAST,PX_VOLUME","1/1/2020","6/10/2026")</f>
        <v/>
      </c>
      <c r="YC3">
        <f>BDH("BBG01R9PV214 Equity","PX_LAST,PX_VOLUME","1/1/2020","6/10/2026")</f>
        <v/>
      </c>
      <c r="YG3">
        <f>BDH("BBG01RB3BT13 Equity","PX_LAST,PX_VOLUME","1/1/2020","6/10/2026")</f>
        <v/>
      </c>
      <c r="YK3">
        <f>BDH("BBG01RB3BSF0 Equity","PX_LAST,PX_VOLUME","1/1/2020","6/10/2026")</f>
        <v/>
      </c>
      <c r="YO3">
        <f>BDH("BBG01RB39S36 Equity","PX_LAST,PX_VOLUME","1/1/2020","6/10/2026")</f>
        <v/>
      </c>
      <c r="YS3">
        <f>BDH("BBG01RB3BR62 Equity","PX_LAST,PX_VOLUME","1/1/2020","6/10/2026")</f>
        <v/>
      </c>
      <c r="YW3">
        <f>BDH("BBG01RB3BRT7 Equity","PX_LAST,PX_VOLUME","1/1/2020","6/10/2026")</f>
        <v/>
      </c>
      <c r="ZA3">
        <f>BDH("BBG01VFKR0Q1 Equity","PX_LAST,PX_VOLUME","1/1/2020","6/10/2026")</f>
        <v/>
      </c>
      <c r="ZE3">
        <f>BDH("BBG01VFKR1B5 Equity","PX_LAST,PX_VOLUME","1/1/2020","6/10/2026")</f>
        <v/>
      </c>
      <c r="ZI3">
        <f>BDH("BBG01VFKR036 Equity","PX_LAST,PX_VOLUME","1/1/2020","6/10/2026")</f>
        <v/>
      </c>
      <c r="ZM3">
        <f>BDH("BBG01V1T0PF3 Equity","PX_LAST,PX_VOLUME","1/1/2020","6/10/2026")</f>
        <v/>
      </c>
      <c r="ZQ3">
        <f>BDH("BBG01V1T1SF6 Equity","PX_LAST,PX_VOLUME","1/1/2020","6/10/2026")</f>
        <v/>
      </c>
      <c r="ZU3">
        <f>BDH("BBG01V1T1RT3 Equity","PX_LAST,PX_VOLUME","1/1/2020","6/10/2026")</f>
        <v/>
      </c>
      <c r="ZY3">
        <f>BDH("BBG01VQKK4S6 Equity","PX_LAST,PX_VOLUME","1/1/2020","6/10/2026")</f>
        <v/>
      </c>
      <c r="AAC3">
        <f>BDH("BBG01V1T1TN5 Equity","PX_LAST,PX_VOLUME","1/1/2020","6/10/2026")</f>
        <v/>
      </c>
      <c r="AAG3">
        <f>BDH("BBG01VQKKSJ3 Equity","PX_LAST,PX_VOLUME","1/1/2020","6/10/2026")</f>
        <v/>
      </c>
      <c r="AAK3">
        <f>BDH("BBG01V1T2565 Equity","PX_LAST,PX_VOLUME","1/1/2020","6/10/2026")</f>
        <v/>
      </c>
      <c r="AAO3">
        <f>BDH("BBG01VQKKDP9 Equity","PX_LAST,PX_VOLUME","1/1/2020","6/10/2026")</f>
        <v/>
      </c>
      <c r="AAS3">
        <f>BDH("BBG01V1T1ZH8 Equity","PX_LAST,PX_VOLUME","1/1/2020","6/10/2026")</f>
        <v/>
      </c>
      <c r="AAW3">
        <f>BDH("BBG01VQKKN59 Equity","PX_LAST,PX_VOLUME","1/1/2020","6/10/2026")</f>
        <v/>
      </c>
      <c r="ABA3">
        <f>BDH("BBG01V1T29P6 Equity","PX_LAST,PX_VOLUME","1/1/2020","6/10/2026")</f>
        <v/>
      </c>
      <c r="ABE3">
        <f>BDH("BBG01VQKKLB6 Equity","PX_LAST,PX_VOLUME","1/1/2020","6/10/2026")</f>
        <v/>
      </c>
      <c r="ABI3">
        <f>BDH("BBG01V1T25T0 Equity","PX_LAST,PX_VOLUME","1/1/2020","6/10/2026")</f>
        <v/>
      </c>
      <c r="ABM3">
        <f>BDH("BBG01VQKKMK4 Equity","PX_LAST,PX_VOLUME","1/1/2020","6/10/2026")</f>
        <v/>
      </c>
      <c r="ABQ3">
        <f>BDH("BBG01V1T0H25 Equity","PX_LAST,PX_VOLUME","1/1/2020","6/10/2026")</f>
        <v/>
      </c>
      <c r="ABU3">
        <f>BDH("BBG01VQKJYJ2 Equity","PX_LAST,PX_VOLUME","1/1/2020","6/10/2026")</f>
        <v/>
      </c>
      <c r="ABY3">
        <f>BDH("BBG01V1SZYT3 Equity","PX_LAST,PX_VOLUME","1/1/2020","6/10/2026")</f>
        <v/>
      </c>
      <c r="ACC3">
        <f>BDH("BBG01VQKKLY1 Equity","PX_LAST,PX_VOLUME","1/1/2020","6/10/2026")</f>
        <v/>
      </c>
      <c r="ACG3">
        <f>BDH("BBG01V1T2B99 Equity","PX_LAST,PX_VOLUME","1/1/2020","6/10/2026")</f>
        <v/>
      </c>
      <c r="ACK3">
        <f>BDH("BBG01VQKKD24 Equity","PX_LAST,PX_VOLUME","1/1/2020","6/10/2026")</f>
        <v/>
      </c>
      <c r="ACO3">
        <f>BDH("BBG01V1T1R68 Equity","PX_LAST,PX_VOLUME","1/1/2020","6/10/2026")</f>
        <v/>
      </c>
      <c r="ACS3">
        <f>BDH("BBG01VQKJXX8 Equity","PX_LAST,PX_VOLUME","1/1/2020","6/10/2026")</f>
        <v/>
      </c>
      <c r="ACW3">
        <f>BDH("BBG01V1T0GG2 Equity","PX_LAST,PX_VOLUME","1/1/2020","6/10/2026")</f>
        <v/>
      </c>
      <c r="ADA3">
        <f>BDH("BBG01VQKKF92 Equity","PX_LAST,PX_VOLUME","1/1/2020","6/10/2026")</f>
        <v/>
      </c>
      <c r="ADE3">
        <f>BDH("BBG01V1T1T19 Equity","PX_LAST,PX_VOLUME","1/1/2020","6/10/2026")</f>
        <v/>
      </c>
      <c r="ADI3">
        <f>BDH("BBG01VQKKT47 Equity","PX_LAST,PX_VOLUME","1/1/2020","6/10/2026")</f>
        <v/>
      </c>
      <c r="ADM3">
        <f>BDH("BBG01V1T2039 Equity","PX_LAST,PX_VOLUME","1/1/2020","6/10/2026")</f>
        <v/>
      </c>
      <c r="ADQ3">
        <f>BDH("BBG01V1T28G8 Equity","PX_LAST,PX_VOLUME","1/1/2020","6/10/2026")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DS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BBG01V1T0NT3 Equity (TSLL US 07/18/25 P20)</t>
        </is>
      </c>
      <c r="E1" t="inlineStr">
        <is>
          <t>BBG01V1SZY68 Equity (TSLL US 07/18/25 P21)</t>
        </is>
      </c>
      <c r="I1" t="inlineStr">
        <is>
          <t>BBG01V1T1YW4 Equity (TSLL US 07/18/25 P22)</t>
        </is>
      </c>
      <c r="M1" t="inlineStr">
        <is>
          <t>BBG01V1T26F3 Equity (TSLL US 07/18/25 P23)</t>
        </is>
      </c>
      <c r="Q1" t="inlineStr">
        <is>
          <t>BBG01V1T2921 Equity (TSLL US 07/18/25 P24)</t>
        </is>
      </c>
      <c r="U1" t="inlineStr">
        <is>
          <t>BBG01V4PTVD6 Equity (TSLL US 07/18/25 P25)</t>
        </is>
      </c>
      <c r="Y1" t="inlineStr">
        <is>
          <t>BBG01V55GXZ5 Equity (TSLL US 07/18/25 P26)</t>
        </is>
      </c>
      <c r="AC1" t="inlineStr">
        <is>
          <t>BBG01V55GZR9 Equity (TSLL US 07/18/25 P27)</t>
        </is>
      </c>
      <c r="AG1" t="inlineStr">
        <is>
          <t>BBG01V55FJ05 Equity (TSLL US 07/18/25 P28)</t>
        </is>
      </c>
      <c r="AK1" t="inlineStr">
        <is>
          <t>BBG01V55GYL8 Equity (TSLL US 07/18/25 P29)</t>
        </is>
      </c>
      <c r="AO1" t="inlineStr">
        <is>
          <t>BBG01V55GXC0 Equity (TSLL US 07/18/25 P30)</t>
        </is>
      </c>
      <c r="AS1" t="inlineStr">
        <is>
          <t>BBG01V55GWR6 Equity (TSLL US 07/18/25 P31)</t>
        </is>
      </c>
      <c r="AW1" t="inlineStr">
        <is>
          <t>BBG01V8NFW40 Equity (TSLL US 07/18/25 P32)</t>
        </is>
      </c>
      <c r="BA1" t="inlineStr">
        <is>
          <t>BBG01V8NFVJ6 Equity (TSLL US 07/18/25 P33)</t>
        </is>
      </c>
      <c r="BE1" t="inlineStr">
        <is>
          <t>BBG01VNBJ820 Equity (TSLL US 08/15/25 P2)</t>
        </is>
      </c>
      <c r="BI1" t="inlineStr">
        <is>
          <t>BBG01VNBHWJ1 Equity (TSLL US 08/15/25 P3)</t>
        </is>
      </c>
      <c r="BM1" t="inlineStr">
        <is>
          <t>BBG01VNBJ6D2 Equity (TSLL US 08/15/25 P4)</t>
        </is>
      </c>
      <c r="BQ1" t="inlineStr">
        <is>
          <t>BBG01VNBJC03 Equity (TSLL US 08/15/25 P5)</t>
        </is>
      </c>
      <c r="BU1" t="inlineStr">
        <is>
          <t>BBG01VNBJFT5 Equity (TSLL US 08/15/25 P6)</t>
        </is>
      </c>
      <c r="BY1" t="inlineStr">
        <is>
          <t>BBG01VNBJBD1 Equity (TSLL US 08/15/25 P7)</t>
        </is>
      </c>
      <c r="CC1" t="inlineStr">
        <is>
          <t>BBG01VNBHNM7 Equity (TSLL US 08/15/25 P8)</t>
        </is>
      </c>
      <c r="CG1" t="inlineStr">
        <is>
          <t>BBG01VNBHX45 Equity (TSLL US 08/15/25 P9)</t>
        </is>
      </c>
      <c r="CK1" t="inlineStr">
        <is>
          <t>BBG01VNBJ7M0 Equity (TSLL US 08/15/25 P10)</t>
        </is>
      </c>
      <c r="CO1" t="inlineStr">
        <is>
          <t>BBG01VNBJ8P5 Equity (TSLL US 08/15/25 P11)</t>
        </is>
      </c>
      <c r="CS1" t="inlineStr">
        <is>
          <t>BBG01VNBJF60 Equity (TSLL US 08/15/25 P12)</t>
        </is>
      </c>
      <c r="CW1" t="inlineStr">
        <is>
          <t>BBG01VNBHXR0 Equity (TSLL US 08/15/25 P13)</t>
        </is>
      </c>
      <c r="DA1" t="inlineStr">
        <is>
          <t>BBG01VNBHN01 Equity (TSLL US 08/15/25 P14)</t>
        </is>
      </c>
      <c r="DE1" t="inlineStr">
        <is>
          <t>BBG01VNBHZF8 Equity (TSLL US 08/15/25 P15)</t>
        </is>
      </c>
      <c r="DI1" t="inlineStr">
        <is>
          <t>BBG01VNBJGF8 Equity (TSLL US 08/15/25 P16)</t>
        </is>
      </c>
      <c r="DM1" t="inlineStr">
        <is>
          <t>BBG01VNBJCM9 Equity (TSLL US 08/15/25 P17)</t>
        </is>
      </c>
      <c r="DQ1" t="inlineStr">
        <is>
          <t>BBG01VNBJ704 Equity (TSLL US 08/15/25 P18)</t>
        </is>
      </c>
      <c r="DU1" t="inlineStr">
        <is>
          <t>BBG01VNBHYC4 Equity (TSLL US 08/15/25 P19)</t>
        </is>
      </c>
      <c r="DY1" t="inlineStr">
        <is>
          <t>BBG01VNBJ9S0 Equity (TSLL US 08/15/25 P20)</t>
        </is>
      </c>
      <c r="EC1" t="inlineStr">
        <is>
          <t>BBG01VNBJDL8 Equity (TSLL US 08/15/25 P21)</t>
        </is>
      </c>
      <c r="EG1" t="inlineStr">
        <is>
          <t>BBG01VNBHYZ9 Equity (TSLL US 08/15/25 P22)</t>
        </is>
      </c>
      <c r="EK1" t="inlineStr">
        <is>
          <t>BBG01VRH9RP7 Equity (TSLL US 08/15/25 P23)</t>
        </is>
      </c>
      <c r="EO1" t="inlineStr">
        <is>
          <t>BBG01VRH9SX6 Equity (TSLL US 08/15/25 P24)</t>
        </is>
      </c>
      <c r="ES1" t="inlineStr">
        <is>
          <t>BBG01VPGRBS3 Equity (TSLL US 08/15/25 P25)</t>
        </is>
      </c>
      <c r="EW1" t="inlineStr">
        <is>
          <t>BBG01VRH9V41 Equity (TSLL US 08/15/25 P26)</t>
        </is>
      </c>
      <c r="FA1" t="inlineStr">
        <is>
          <t>BBG01VRH9S93 Equity (TSLL US 08/15/25 P27)</t>
        </is>
      </c>
      <c r="FE1" t="inlineStr">
        <is>
          <t>BBG01VRH9TJ0 Equity (TSLL US 08/15/25 P28)</t>
        </is>
      </c>
      <c r="FI1" t="inlineStr">
        <is>
          <t>BBG01SP0DR41 Equity (TSLL US 09/19/25 P1)</t>
        </is>
      </c>
      <c r="FM1" t="inlineStr">
        <is>
          <t>BBG01SP0DSC0 Equity (TSLL US 09/19/25 P2)</t>
        </is>
      </c>
      <c r="FQ1" t="inlineStr">
        <is>
          <t>BBG01SP0DRR6 Equity (TSLL US 09/19/25 P3)</t>
        </is>
      </c>
      <c r="FU1" t="inlineStr">
        <is>
          <t>BBG01SP0FVB2 Equity (TSLL US 09/19/25 P4)</t>
        </is>
      </c>
      <c r="FY1" t="inlineStr">
        <is>
          <t>BBG01S896B62 Equity (TSLL US 09/19/25 P5)</t>
        </is>
      </c>
      <c r="GC1" t="inlineStr">
        <is>
          <t>BBG01S896HP8 Equity (TSLL US 09/19/25 P6)</t>
        </is>
      </c>
      <c r="GG1" t="inlineStr">
        <is>
          <t>BBG01S896SF5 Equity (TSLL US 09/19/25 P7)</t>
        </is>
      </c>
      <c r="GK1" t="inlineStr">
        <is>
          <t>BBG01S896BT7 Equity (TSLL US 09/19/25 P8)</t>
        </is>
      </c>
      <c r="GO1" t="inlineStr">
        <is>
          <t>BBG01S896CF0 Equity (TSLL US 09/19/25 P9)</t>
        </is>
      </c>
      <c r="GS1" t="inlineStr">
        <is>
          <t>BBG01S896R67 Equity (TSLL US 09/19/25 P10)</t>
        </is>
      </c>
      <c r="GW1" t="inlineStr">
        <is>
          <t>BBG01S8974C0 Equity (TSLL US 09/19/25 P11)</t>
        </is>
      </c>
      <c r="HA1" t="inlineStr">
        <is>
          <t>BBG01S896J92 Equity (TSLL US 09/19/25 P12)</t>
        </is>
      </c>
      <c r="HE1" t="inlineStr">
        <is>
          <t>BBG01S8969L0 Equity (TSLL US 09/19/25 P13)</t>
        </is>
      </c>
      <c r="HI1" t="inlineStr">
        <is>
          <t>BBG01S8976W3 Equity (TSLL US 09/19/25 P14)</t>
        </is>
      </c>
      <c r="HM1" t="inlineStr">
        <is>
          <t>BBG01RVVHSR7 Equity (TSLL US 09/19/25 P15)</t>
        </is>
      </c>
      <c r="HQ1" t="inlineStr">
        <is>
          <t>BBG01S896RT2 Equity (TSLL US 09/19/25 P16)</t>
        </is>
      </c>
      <c r="HU1" t="inlineStr">
        <is>
          <t>BBG01S8973R6 Equity (TSLL US 09/19/25 P17)</t>
        </is>
      </c>
      <c r="HY1" t="inlineStr">
        <is>
          <t>BBG01RTV0GF7 Equity (TSLL US 09/19/25 P18)</t>
        </is>
      </c>
      <c r="IC1" t="inlineStr">
        <is>
          <t>BBG01RTV0696 Equity (TSLL US 09/19/25 P19)</t>
        </is>
      </c>
      <c r="IG1" t="inlineStr">
        <is>
          <t>BBG01RTTZWF9 Equity (TSLL US 09/19/25 P20)</t>
        </is>
      </c>
      <c r="IK1" t="inlineStr">
        <is>
          <t>BBG01RTV0WJ8 Equity (TSLL US 09/19/25 P21)</t>
        </is>
      </c>
      <c r="IO1" t="inlineStr">
        <is>
          <t>BBG01RTV10K5 Equity (TSLL US 09/19/25 P22)</t>
        </is>
      </c>
      <c r="IS1" t="inlineStr">
        <is>
          <t>BBG01RTV0VX4 Equity (TSLL US 09/19/25 P23)</t>
        </is>
      </c>
      <c r="IW1" t="inlineStr">
        <is>
          <t>BBG01RTTZQ62 Equity (TSLL US 09/19/25 P24)</t>
        </is>
      </c>
      <c r="JA1" t="inlineStr">
        <is>
          <t>BBG01RTTZX12 Equity (TSLL US 09/19/25 P25)</t>
        </is>
      </c>
      <c r="JE1" t="inlineStr">
        <is>
          <t>BBG01RTTZVT6 Equity (TSLL US 09/19/25 P26)</t>
        </is>
      </c>
      <c r="JI1" t="inlineStr">
        <is>
          <t>BBG01RTV0ZY4 Equity (TSLL US 09/19/25 P27)</t>
        </is>
      </c>
      <c r="JM1" t="inlineStr">
        <is>
          <t>BBG01RTTZPL7 Equity (TSLL US 09/19/25 P28)</t>
        </is>
      </c>
      <c r="JQ1" t="inlineStr">
        <is>
          <t>BBG01RTV05P0 Equity (TSLL US 09/19/25 P29)</t>
        </is>
      </c>
      <c r="JU1" t="inlineStr">
        <is>
          <t>BBG01RTTZNZ7 Equity (TSLL US 09/19/25 P30)</t>
        </is>
      </c>
      <c r="JY1" t="inlineStr">
        <is>
          <t>BBG01RTV03W7 Equity (TSLL US 09/19/25 P31)</t>
        </is>
      </c>
      <c r="KC1" t="inlineStr">
        <is>
          <t>BBG01RTV11S5 Equity (TSLL US 09/19/25 P32)</t>
        </is>
      </c>
      <c r="KG1" t="inlineStr">
        <is>
          <t>BBG01RTV06X9 Equity (TSLL US 09/19/25 P33)</t>
        </is>
      </c>
      <c r="KK1" t="inlineStr">
        <is>
          <t>BBG01RTV0NW3 Equity (TSLL US 09/19/25 P34)</t>
        </is>
      </c>
      <c r="KO1" t="inlineStr">
        <is>
          <t>BBG01RTTZXN8 Equity (TSLL US 09/19/25 P35)</t>
        </is>
      </c>
      <c r="KS1" t="inlineStr">
        <is>
          <t>BBG01RTV1150 Equity (TSLL US 09/19/25 P36)</t>
        </is>
      </c>
      <c r="KW1" t="inlineStr">
        <is>
          <t>BBG01RTV0ZB9 Equity (TSLL US 09/19/25 P37)</t>
        </is>
      </c>
      <c r="LA1" t="inlineStr">
        <is>
          <t>BBG01RTV0PH5 Equity (TSLL US 09/19/25 P38)</t>
        </is>
      </c>
      <c r="LE1" t="inlineStr">
        <is>
          <t>BBG01RVVLMR5 Equity (TSLL US 09/19/25 P40)</t>
        </is>
      </c>
      <c r="LI1" t="inlineStr">
        <is>
          <t>BBG01WQQ0B16 Equity (TSLL US 10/17/25 P3)</t>
        </is>
      </c>
      <c r="LM1" t="inlineStr">
        <is>
          <t>BBG01WQPZQ17 Equity (TSLL US 10/17/25 P4)</t>
        </is>
      </c>
      <c r="LQ1" t="inlineStr">
        <is>
          <t>BBG01WQPW598 Equity (TSLL US 10/17/25 P5)</t>
        </is>
      </c>
      <c r="LU1" t="inlineStr">
        <is>
          <t>BBG01WQPVMQ3 Equity (TSLL US 10/17/25 P6)</t>
        </is>
      </c>
      <c r="LY1" t="inlineStr">
        <is>
          <t>BBG01WQPW6J5 Equity (TSLL US 10/17/25 P7)</t>
        </is>
      </c>
      <c r="MC1" t="inlineStr">
        <is>
          <t>BBG01WQPWY13 Equity (TSLL US 10/17/25 P8)</t>
        </is>
      </c>
      <c r="MG1" t="inlineStr">
        <is>
          <t>BBG01WQPZQN3 Equity (TSLL US 10/17/25 P9)</t>
        </is>
      </c>
      <c r="MK1" t="inlineStr">
        <is>
          <t>BBG01WQPWW62 Equity (TSLL US 10/17/25 P10)</t>
        </is>
      </c>
      <c r="MO1" t="inlineStr">
        <is>
          <t>BBG01WQPWVL7 Equity (TSLL US 10/17/25 P11)</t>
        </is>
      </c>
      <c r="MS1" t="inlineStr">
        <is>
          <t>BBG01WQPVNB7 Equity (TSLL US 10/17/25 P12)</t>
        </is>
      </c>
      <c r="MW1" t="inlineStr">
        <is>
          <t>BBG01WQQ09F6 Equity (TSLL US 10/17/25 P13)</t>
        </is>
      </c>
      <c r="NA1" t="inlineStr">
        <is>
          <t>BBG01WQPZPF4 Equity (TSLL US 10/17/25 P14)</t>
        </is>
      </c>
      <c r="NE1" t="inlineStr">
        <is>
          <t>BBG01XGXP366 Equity (TSLL US 10/17/25 P14.5)</t>
        </is>
      </c>
      <c r="NI1" t="inlineStr">
        <is>
          <t>BBG01WQPW4P3 Equity (TSLL US 10/17/25 P15)</t>
        </is>
      </c>
      <c r="NM1" t="inlineStr">
        <is>
          <t>BBG01XGXP4F4 Equity (TSLL US 10/17/25 P15.5)</t>
        </is>
      </c>
      <c r="NQ1" t="inlineStr">
        <is>
          <t>BBG01WQPWXF0 Equity (TSLL US 10/17/25 P16)</t>
        </is>
      </c>
      <c r="NU1" t="inlineStr">
        <is>
          <t>BBG01XGXP2L1 Equity (TSLL US 10/17/25 P16.5)</t>
        </is>
      </c>
      <c r="NY1" t="inlineStr">
        <is>
          <t>BBG01WQPW5X1 Equity (TSLL US 10/17/25 P17)</t>
        </is>
      </c>
      <c r="OC1" t="inlineStr">
        <is>
          <t>BBG01XGXP3T1 Equity (TSLL US 10/17/25 P17.5)</t>
        </is>
      </c>
      <c r="OG1" t="inlineStr">
        <is>
          <t>BBG01WQPVPK2 Equity (TSLL US 10/17/25 P18)</t>
        </is>
      </c>
      <c r="OK1" t="inlineStr">
        <is>
          <t>BBG01XGXP516 Equity (TSLL US 10/17/25 P18.5)</t>
        </is>
      </c>
      <c r="OO1" t="inlineStr">
        <is>
          <t>BBG01WQPW428 Equity (TSLL US 10/17/25 P19)</t>
        </is>
      </c>
      <c r="OS1" t="inlineStr">
        <is>
          <t>BBG01WQPWWT7 Equity (TSLL US 10/17/25 P20)</t>
        </is>
      </c>
      <c r="OW1" t="inlineStr">
        <is>
          <t>BBG01WQPZR88 Equity (TSLL US 10/17/25 P21)</t>
        </is>
      </c>
      <c r="PA1" t="inlineStr">
        <is>
          <t>BBG01WQPVNY2 Equity (TSLL US 10/17/25 P22)</t>
        </is>
      </c>
      <c r="PE1" t="inlineStr">
        <is>
          <t>BBG01WQPZNT4 Equity (TSLL US 10/17/25 P23)</t>
        </is>
      </c>
      <c r="PI1" t="inlineStr">
        <is>
          <t>BBG01WTJGCT0 Equity (TSLL US 10/17/25 P24)</t>
        </is>
      </c>
      <c r="PM1" t="inlineStr">
        <is>
          <t>BBG01WY3W3K0 Equity (TSLL US 10/17/25 P25)</t>
        </is>
      </c>
      <c r="PQ1" t="inlineStr">
        <is>
          <t>BBG01X7JMS74 Equity (TSLL US 10/17/25 P26)</t>
        </is>
      </c>
      <c r="PU1" t="inlineStr">
        <is>
          <t>BBG01X7JMTG2 Equity (TSLL US 10/17/25 P27)</t>
        </is>
      </c>
      <c r="PY1" t="inlineStr">
        <is>
          <t>BBG01X7JMSV7 Equity (TSLL US 10/17/25 P28)</t>
        </is>
      </c>
      <c r="QC1" t="inlineStr">
        <is>
          <t>BBG01X7JMRM9 Equity (TSLL US 10/17/25 P29)</t>
        </is>
      </c>
      <c r="QG1" t="inlineStr">
        <is>
          <t>BBG01X8X3555 Equity (TSLL US 10/17/25 P30)</t>
        </is>
      </c>
      <c r="QK1" t="inlineStr">
        <is>
          <t>BBG01X8X3706 Equity (TSLL US 10/17/25 P31)</t>
        </is>
      </c>
      <c r="QO1" t="inlineStr">
        <is>
          <t>BBG01X8X35S0 Equity (TSLL US 10/17/25 P32)</t>
        </is>
      </c>
      <c r="QS1" t="inlineStr">
        <is>
          <t>BBG01X8X0YS0 Equity (TSLL US 10/17/25 P33)</t>
        </is>
      </c>
      <c r="QW1" t="inlineStr">
        <is>
          <t>BBG01X8X36D4 Equity (TSLL US 10/17/25 P34)</t>
        </is>
      </c>
      <c r="RA1" t="inlineStr">
        <is>
          <t>BBG01XF0TVX3 Equity (TSLL US 11/21/25 P9)</t>
        </is>
      </c>
      <c r="RE1" t="inlineStr">
        <is>
          <t>BBG01XF0TS88 Equity (TSLL US 11/21/25 P10)</t>
        </is>
      </c>
      <c r="RI1" t="inlineStr">
        <is>
          <t>BBG01XF0QZP6 Equity (TSLL US 11/21/25 P11)</t>
        </is>
      </c>
      <c r="RM1" t="inlineStr">
        <is>
          <t>BBG01XF0R3J3 Equity (TSLL US 11/21/25 P12)</t>
        </is>
      </c>
      <c r="RQ1" t="inlineStr">
        <is>
          <t>BBG01XF0V2K8 Equity (TSLL US 11/21/25 P13)</t>
        </is>
      </c>
      <c r="RU1" t="inlineStr">
        <is>
          <t>BBG01XF0TYT2 Equity (TSLL US 11/21/25 P14)</t>
        </is>
      </c>
      <c r="RY1" t="inlineStr">
        <is>
          <t>BBG01XF0R6F0 Equity (TSLL US 11/21/25 P15)</t>
        </is>
      </c>
      <c r="SC1" t="inlineStr">
        <is>
          <t>BBG01XF0R562 Equity (TSLL US 11/21/25 P16)</t>
        </is>
      </c>
      <c r="SG1" t="inlineStr">
        <is>
          <t>BBG01XF0R090 Equity (TSLL US 11/21/25 P17)</t>
        </is>
      </c>
      <c r="SK1" t="inlineStr">
        <is>
          <t>BBG01XF0V1Y5 Equity (TSLL US 11/21/25 P18)</t>
        </is>
      </c>
      <c r="SO1" t="inlineStr">
        <is>
          <t>BBG01XF0R5T7 Equity (TSLL US 11/21/25 P19)</t>
        </is>
      </c>
      <c r="SS1" t="inlineStr">
        <is>
          <t>BBG01XF0R2X9 Equity (TSLL US 11/21/25 P20)</t>
        </is>
      </c>
      <c r="SW1" t="inlineStr">
        <is>
          <t>BBG01XF0TY67 Equity (TSLL US 11/21/25 P21)</t>
        </is>
      </c>
      <c r="TA1" t="inlineStr">
        <is>
          <t>BBG01XF0TV90 Equity (TSLL US 11/21/25 P22)</t>
        </is>
      </c>
      <c r="TE1" t="inlineStr">
        <is>
          <t>BBG01XF0L979 Equity (TSLL US 11/21/25 P23)</t>
        </is>
      </c>
      <c r="TI1" t="inlineStr">
        <is>
          <t>BBG01XF0L808 Equity (TSLL US 11/21/25 P24)</t>
        </is>
      </c>
      <c r="TM1" t="inlineStr">
        <is>
          <t>BBG01XF0TWJ7 Equity (TSLL US 11/21/25 P25)</t>
        </is>
      </c>
      <c r="TQ1" t="inlineStr">
        <is>
          <t>BBG01XF0TRN3 Equity (TSLL US 11/21/25 P26)</t>
        </is>
      </c>
      <c r="TU1" t="inlineStr">
        <is>
          <t>BBG01XF0TR17 Equity (TSLL US 11/21/25 P27)</t>
        </is>
      </c>
      <c r="TY1" t="inlineStr">
        <is>
          <t>BBG01XF0L8M4 Equity (TSLL US 11/21/25 P28)</t>
        </is>
      </c>
      <c r="UC1" t="inlineStr">
        <is>
          <t>BBG01XF0L7D6 Equity (TSLL US 11/21/25 P29)</t>
        </is>
      </c>
      <c r="UG1" t="inlineStr">
        <is>
          <t>BBG01XJXB6P0 Equity (TSLL US 11/21/25 P30)</t>
        </is>
      </c>
      <c r="UK1" t="inlineStr">
        <is>
          <t>BBG01TL3ZTK1 Equity (TSLL1 US 12/19/25 P1)</t>
        </is>
      </c>
      <c r="UO1" t="inlineStr">
        <is>
          <t>BBG01TL405P4 Equity (TSLL1 US 12/19/25 P2)</t>
        </is>
      </c>
      <c r="US1" t="inlineStr">
        <is>
          <t>BBG01TL3ZV53 Equity (TSLL1 US 12/19/25 P3)</t>
        </is>
      </c>
      <c r="UW1" t="inlineStr">
        <is>
          <t>BBG01TL41243 Equity (TSLL1 US 12/19/25 P4)</t>
        </is>
      </c>
      <c r="VA1" t="inlineStr">
        <is>
          <t>BBG01TL3Z9T6 Equity (TSLL1 US 12/19/25 P5)</t>
        </is>
      </c>
      <c r="VE1" t="inlineStr">
        <is>
          <t>BBG01TL40FM5 Equity (TSLL1 US 12/19/25 P6)</t>
        </is>
      </c>
      <c r="VI1" t="inlineStr">
        <is>
          <t>BBG01TL40F09 Equity (TSLL1 US 12/19/25 P7)</t>
        </is>
      </c>
      <c r="VM1" t="inlineStr">
        <is>
          <t>BBG01TL40M77 Equity (TSLL1 US 12/19/25 P8)</t>
        </is>
      </c>
      <c r="VQ1" t="inlineStr">
        <is>
          <t>BBG01TL411J9 Equity (TSLL1 US 12/19/25 P9)</t>
        </is>
      </c>
      <c r="VU1" t="inlineStr">
        <is>
          <t>BBG01TL410X5 Equity (TSLL1 US 12/19/25 P10)</t>
        </is>
      </c>
      <c r="VY1" t="inlineStr">
        <is>
          <t>BBG01TL40NB0 Equity (TSLL1 US 12/19/25 P11)</t>
        </is>
      </c>
      <c r="WC1" t="inlineStr">
        <is>
          <t>BBG01TL40529 Equity (TSLL1 US 12/19/25 P12)</t>
        </is>
      </c>
      <c r="WG1" t="inlineStr">
        <is>
          <t>BBG01TL3ZVS8 Equity (TSLL1 US 12/19/25 P13)</t>
        </is>
      </c>
      <c r="WK1" t="inlineStr">
        <is>
          <t>BBG01TL41BR8 Equity (TSLL1 US 12/19/25 P14)</t>
        </is>
      </c>
      <c r="WO1" t="inlineStr">
        <is>
          <t>BBG01TL3ZBF6 Equity (TSLL1 US 12/19/25 P15)</t>
        </is>
      </c>
      <c r="WS1" t="inlineStr">
        <is>
          <t>BBG01TL40DD0 Equity (TSLL1 US 12/19/25 P16)</t>
        </is>
      </c>
      <c r="WW1" t="inlineStr">
        <is>
          <t>BBG01TL40MQ6 Equity (TSLL1 US 12/19/25 P17)</t>
        </is>
      </c>
      <c r="XA1" t="inlineStr">
        <is>
          <t>BBG01TQYS5P3 Equity (TSLL1 US 12/19/25 P18)</t>
        </is>
      </c>
      <c r="XE1" t="inlineStr">
        <is>
          <t>BBG01TQYS6X2 Equity (TSLL1 US 12/19/25 P19)</t>
        </is>
      </c>
      <c r="XI1" t="inlineStr">
        <is>
          <t>BBG01TQYS699 Equity (TSLL1 US 12/19/25 P20)</t>
        </is>
      </c>
      <c r="XM1" t="inlineStr">
        <is>
          <t>BBG01TQYS528 Equity (TSLL1 US 12/19/25 P21)</t>
        </is>
      </c>
      <c r="XQ1" t="inlineStr">
        <is>
          <t>BBG01TYSWRV7 Equity (TSLL1 US 12/19/25 P22)</t>
        </is>
      </c>
      <c r="XU1" t="inlineStr">
        <is>
          <t>BBG01TYSWR74 Equity (TSLL1 US 12/19/25 P23)</t>
        </is>
      </c>
      <c r="XY1" t="inlineStr">
        <is>
          <t>BBG01TYSWSG2 Equity (TSLL1 US 12/19/25 P24)</t>
        </is>
      </c>
      <c r="YC1" t="inlineStr">
        <is>
          <t>BBG01TYSWQM9 Equity (TSLL1 US 12/19/25 P25)</t>
        </is>
      </c>
      <c r="YG1" t="inlineStr">
        <is>
          <t>BBG01TZ9PFK4 Equity (TSLL1 US 12/19/25 P26)</t>
        </is>
      </c>
      <c r="YK1" t="inlineStr">
        <is>
          <t>BBG01TZ9PDY4 Equity (TSLL1 US 12/19/25 P27)</t>
        </is>
      </c>
      <c r="YO1" t="inlineStr">
        <is>
          <t>BBG01TZ9PG59 Equity (TSLL1 US 12/19/25 P28)</t>
        </is>
      </c>
      <c r="YS1" t="inlineStr">
        <is>
          <t>BBG01V55H745 Equity (TSLL1 US 12/19/25 P29)</t>
        </is>
      </c>
      <c r="YW1" t="inlineStr">
        <is>
          <t>BBG01V1T19S4 Equity (TSLL1 US 12/19/25 P30)</t>
        </is>
      </c>
      <c r="ZA1" t="inlineStr">
        <is>
          <t>BBG01V55H6J1 Equity (TSLL1 US 12/19/25 P31)</t>
        </is>
      </c>
      <c r="ZE1" t="inlineStr">
        <is>
          <t>BBG01V8NGCG0 Equity (TSLL1 US 12/19/25 P32)</t>
        </is>
      </c>
      <c r="ZI1" t="inlineStr">
        <is>
          <t>BBG01V8NG129 Equity (TSLL1 US 12/19/25 P33)</t>
        </is>
      </c>
      <c r="ZM1" t="inlineStr">
        <is>
          <t>BBG01X8WZXK4 Equity (TSLL1 US 12/19/25 P34)</t>
        </is>
      </c>
      <c r="ZQ1" t="inlineStr">
        <is>
          <t>BBG01JWHKL78 Equity (TSLL1 US 01/16/26 P0.43)</t>
        </is>
      </c>
      <c r="ZU1" t="inlineStr">
        <is>
          <t>BBG01JWHKM67 Equity (TSLL1 US 01/16/26 P1.43)</t>
        </is>
      </c>
      <c r="ZY1" t="inlineStr">
        <is>
          <t>BBG01JWHKN65 Equity (TSLL1 US 01/16/26 P2.43)</t>
        </is>
      </c>
      <c r="AAC1" t="inlineStr">
        <is>
          <t>BBG01JWHKP51 Equity (TSLL1 US 01/16/26 P3.43)</t>
        </is>
      </c>
      <c r="AAG1" t="inlineStr">
        <is>
          <t>BBG01J9FL420 Equity (TSLL1 US 01/16/26 P4.43)</t>
        </is>
      </c>
      <c r="AAK1" t="inlineStr">
        <is>
          <t>BBG01Z0JYXS9 Equity (TSLL US 01/16/26 P5)</t>
        </is>
      </c>
      <c r="AAO1" t="inlineStr">
        <is>
          <t>BBG01JWHKQ40 Equity (TSLL1 US 01/16/26 P5.43)</t>
        </is>
      </c>
      <c r="AAS1" t="inlineStr">
        <is>
          <t>BBG01JWHKR39 Equity (TSLL1 US 01/16/26 P6.43)</t>
        </is>
      </c>
      <c r="AAW1" t="inlineStr">
        <is>
          <t>BBG01JWHKS37 Equity (TSLL1 US 01/16/26 P7.43)</t>
        </is>
      </c>
      <c r="ABA1" t="inlineStr">
        <is>
          <t>BBG01JWHKT26 Equity (TSLL1 US 01/16/26 P8.43)</t>
        </is>
      </c>
      <c r="ABE1" t="inlineStr">
        <is>
          <t>BBG01J9FL518 Equity (TSLL1 US 01/16/26 P9.43)</t>
        </is>
      </c>
      <c r="ABI1" t="inlineStr">
        <is>
          <t>BBG01Z0JXQZ7 Equity (TSLL US 01/16/26 P10)</t>
        </is>
      </c>
      <c r="ABM1" t="inlineStr">
        <is>
          <t>BBG01JWHKV12 Equity (TSLL1 US 01/16/26 P10.43)</t>
        </is>
      </c>
      <c r="ABQ1" t="inlineStr">
        <is>
          <t>BBG01Z0K2CX1 Equity (TSLL US 01/16/26 P11)</t>
        </is>
      </c>
      <c r="ABU1" t="inlineStr">
        <is>
          <t>BBG01JWHKW10 Equity (TSLL1 US 01/16/26 P11.43)</t>
        </is>
      </c>
      <c r="ABY1" t="inlineStr">
        <is>
          <t>BBG01Z0K2F46 Equity (TSLL US 01/16/26 P12)</t>
        </is>
      </c>
      <c r="ACC1" t="inlineStr">
        <is>
          <t>BBG01JWHKX09 Equity (TSLL1 US 01/16/26 P12.43)</t>
        </is>
      </c>
      <c r="ACG1" t="inlineStr">
        <is>
          <t>BBG01Z0K1BK8 Equity (TSLL US 01/16/26 P13)</t>
        </is>
      </c>
      <c r="ACK1" t="inlineStr">
        <is>
          <t>BBG01J8XCZ32 Equity (TSLL1 US 01/16/26 P13.43)</t>
        </is>
      </c>
      <c r="ACO1" t="inlineStr">
        <is>
          <t>BBG01Z0K1C53 Equity (TSLL US 01/16/26 P14)</t>
        </is>
      </c>
      <c r="ACS1" t="inlineStr">
        <is>
          <t>BBG01J8XCZM1 Equity (TSLL1 US 01/16/26 P14.43)</t>
        </is>
      </c>
      <c r="ACW1" t="inlineStr">
        <is>
          <t>BBG01Z0K1SS3 Equity (TSLL US 01/16/26 P15)</t>
        </is>
      </c>
      <c r="ADA1" t="inlineStr">
        <is>
          <t>BBG01J8XD047 Equity (TSLL1 US 01/16/26 P15.43)</t>
        </is>
      </c>
      <c r="ADE1" t="inlineStr">
        <is>
          <t>BBG01Z0JV4T5 Equity (TSLL US 01/16/26 P16)</t>
        </is>
      </c>
      <c r="ADI1" t="inlineStr">
        <is>
          <t>BBG01J8XD0P4 Equity (TSLL1 US 01/16/26 P16.43)</t>
        </is>
      </c>
      <c r="ADM1" t="inlineStr">
        <is>
          <t>BBG01Z76VKL8 Equity (TSLL US 01/16/26 P16.5)</t>
        </is>
      </c>
      <c r="ADQ1" t="inlineStr">
        <is>
          <t>BBG01Z0K2FR1 Equity (TSLL US 01/16/26 P17)</t>
        </is>
      </c>
    </row>
    <row r="2">
      <c r="A2" t="inlineStr">
        <is>
          <t>Date</t>
        </is>
      </c>
      <c r="B2" t="inlineStr">
        <is>
          <t>PX_LAST</t>
        </is>
      </c>
      <c r="C2" t="inlineStr">
        <is>
          <t>PX_VOLUME</t>
        </is>
      </c>
      <c r="E2" t="inlineStr">
        <is>
          <t>Date</t>
        </is>
      </c>
      <c r="F2" t="inlineStr">
        <is>
          <t>PX_LAST</t>
        </is>
      </c>
      <c r="G2" t="inlineStr">
        <is>
          <t>PX_VOLUME</t>
        </is>
      </c>
      <c r="I2" t="inlineStr">
        <is>
          <t>Date</t>
        </is>
      </c>
      <c r="J2" t="inlineStr">
        <is>
          <t>PX_LAST</t>
        </is>
      </c>
      <c r="K2" t="inlineStr">
        <is>
          <t>PX_VOLUME</t>
        </is>
      </c>
      <c r="M2" t="inlineStr">
        <is>
          <t>Date</t>
        </is>
      </c>
      <c r="N2" t="inlineStr">
        <is>
          <t>PX_LAST</t>
        </is>
      </c>
      <c r="O2" t="inlineStr">
        <is>
          <t>PX_VOLUME</t>
        </is>
      </c>
      <c r="Q2" t="inlineStr">
        <is>
          <t>Date</t>
        </is>
      </c>
      <c r="R2" t="inlineStr">
        <is>
          <t>PX_LAST</t>
        </is>
      </c>
      <c r="S2" t="inlineStr">
        <is>
          <t>PX_VOLUME</t>
        </is>
      </c>
      <c r="U2" t="inlineStr">
        <is>
          <t>Date</t>
        </is>
      </c>
      <c r="V2" t="inlineStr">
        <is>
          <t>PX_LAST</t>
        </is>
      </c>
      <c r="W2" t="inlineStr">
        <is>
          <t>PX_VOLUME</t>
        </is>
      </c>
      <c r="Y2" t="inlineStr">
        <is>
          <t>Date</t>
        </is>
      </c>
      <c r="Z2" t="inlineStr">
        <is>
          <t>PX_LAST</t>
        </is>
      </c>
      <c r="AA2" t="inlineStr">
        <is>
          <t>PX_VOLUME</t>
        </is>
      </c>
      <c r="AC2" t="inlineStr">
        <is>
          <t>Date</t>
        </is>
      </c>
      <c r="AD2" t="inlineStr">
        <is>
          <t>PX_LAST</t>
        </is>
      </c>
      <c r="AE2" t="inlineStr">
        <is>
          <t>PX_VOLUME</t>
        </is>
      </c>
      <c r="AG2" t="inlineStr">
        <is>
          <t>Date</t>
        </is>
      </c>
      <c r="AH2" t="inlineStr">
        <is>
          <t>PX_LAST</t>
        </is>
      </c>
      <c r="AI2" t="inlineStr">
        <is>
          <t>PX_VOLUME</t>
        </is>
      </c>
      <c r="AK2" t="inlineStr">
        <is>
          <t>Date</t>
        </is>
      </c>
      <c r="AL2" t="inlineStr">
        <is>
          <t>PX_LAST</t>
        </is>
      </c>
      <c r="AM2" t="inlineStr">
        <is>
          <t>PX_VOLUME</t>
        </is>
      </c>
      <c r="AO2" t="inlineStr">
        <is>
          <t>Date</t>
        </is>
      </c>
      <c r="AP2" t="inlineStr">
        <is>
          <t>PX_LAST</t>
        </is>
      </c>
      <c r="AQ2" t="inlineStr">
        <is>
          <t>PX_VOLUME</t>
        </is>
      </c>
      <c r="AS2" t="inlineStr">
        <is>
          <t>Date</t>
        </is>
      </c>
      <c r="AT2" t="inlineStr">
        <is>
          <t>PX_LAST</t>
        </is>
      </c>
      <c r="AU2" t="inlineStr">
        <is>
          <t>PX_VOLUME</t>
        </is>
      </c>
      <c r="AW2" t="inlineStr">
        <is>
          <t>Date</t>
        </is>
      </c>
      <c r="AX2" t="inlineStr">
        <is>
          <t>PX_LAST</t>
        </is>
      </c>
      <c r="AY2" t="inlineStr">
        <is>
          <t>PX_VOLUME</t>
        </is>
      </c>
      <c r="BA2" t="inlineStr">
        <is>
          <t>Date</t>
        </is>
      </c>
      <c r="BB2" t="inlineStr">
        <is>
          <t>PX_LAST</t>
        </is>
      </c>
      <c r="BC2" t="inlineStr">
        <is>
          <t>PX_VOLUME</t>
        </is>
      </c>
      <c r="BE2" t="inlineStr">
        <is>
          <t>Date</t>
        </is>
      </c>
      <c r="BF2" t="inlineStr">
        <is>
          <t>PX_LAST</t>
        </is>
      </c>
      <c r="BG2" t="inlineStr">
        <is>
          <t>PX_VOLUME</t>
        </is>
      </c>
      <c r="BI2" t="inlineStr">
        <is>
          <t>Date</t>
        </is>
      </c>
      <c r="BJ2" t="inlineStr">
        <is>
          <t>PX_LAST</t>
        </is>
      </c>
      <c r="BK2" t="inlineStr">
        <is>
          <t>PX_VOLUME</t>
        </is>
      </c>
      <c r="BM2" t="inlineStr">
        <is>
          <t>Date</t>
        </is>
      </c>
      <c r="BN2" t="inlineStr">
        <is>
          <t>PX_LAST</t>
        </is>
      </c>
      <c r="BO2" t="inlineStr">
        <is>
          <t>PX_VOLUME</t>
        </is>
      </c>
      <c r="BQ2" t="inlineStr">
        <is>
          <t>Date</t>
        </is>
      </c>
      <c r="BR2" t="inlineStr">
        <is>
          <t>PX_LAST</t>
        </is>
      </c>
      <c r="BS2" t="inlineStr">
        <is>
          <t>PX_VOLUME</t>
        </is>
      </c>
      <c r="BU2" t="inlineStr">
        <is>
          <t>Date</t>
        </is>
      </c>
      <c r="BV2" t="inlineStr">
        <is>
          <t>PX_LAST</t>
        </is>
      </c>
      <c r="BW2" t="inlineStr">
        <is>
          <t>PX_VOLUME</t>
        </is>
      </c>
      <c r="BY2" t="inlineStr">
        <is>
          <t>Date</t>
        </is>
      </c>
      <c r="BZ2" t="inlineStr">
        <is>
          <t>PX_LAST</t>
        </is>
      </c>
      <c r="CA2" t="inlineStr">
        <is>
          <t>PX_VOLUME</t>
        </is>
      </c>
      <c r="CC2" t="inlineStr">
        <is>
          <t>Date</t>
        </is>
      </c>
      <c r="CD2" t="inlineStr">
        <is>
          <t>PX_LAST</t>
        </is>
      </c>
      <c r="CE2" t="inlineStr">
        <is>
          <t>PX_VOLUME</t>
        </is>
      </c>
      <c r="CG2" t="inlineStr">
        <is>
          <t>Date</t>
        </is>
      </c>
      <c r="CH2" t="inlineStr">
        <is>
          <t>PX_LAST</t>
        </is>
      </c>
      <c r="CI2" t="inlineStr">
        <is>
          <t>PX_VOLUME</t>
        </is>
      </c>
      <c r="CK2" t="inlineStr">
        <is>
          <t>Date</t>
        </is>
      </c>
      <c r="CL2" t="inlineStr">
        <is>
          <t>PX_LAST</t>
        </is>
      </c>
      <c r="CM2" t="inlineStr">
        <is>
          <t>PX_VOLUME</t>
        </is>
      </c>
      <c r="CO2" t="inlineStr">
        <is>
          <t>Date</t>
        </is>
      </c>
      <c r="CP2" t="inlineStr">
        <is>
          <t>PX_LAST</t>
        </is>
      </c>
      <c r="CQ2" t="inlineStr">
        <is>
          <t>PX_VOLUME</t>
        </is>
      </c>
      <c r="CS2" t="inlineStr">
        <is>
          <t>Date</t>
        </is>
      </c>
      <c r="CT2" t="inlineStr">
        <is>
          <t>PX_LAST</t>
        </is>
      </c>
      <c r="CU2" t="inlineStr">
        <is>
          <t>PX_VOLUME</t>
        </is>
      </c>
      <c r="CW2" t="inlineStr">
        <is>
          <t>Date</t>
        </is>
      </c>
      <c r="CX2" t="inlineStr">
        <is>
          <t>PX_LAST</t>
        </is>
      </c>
      <c r="CY2" t="inlineStr">
        <is>
          <t>PX_VOLUME</t>
        </is>
      </c>
      <c r="DA2" t="inlineStr">
        <is>
          <t>Date</t>
        </is>
      </c>
      <c r="DB2" t="inlineStr">
        <is>
          <t>PX_LAST</t>
        </is>
      </c>
      <c r="DC2" t="inlineStr">
        <is>
          <t>PX_VOLUME</t>
        </is>
      </c>
      <c r="DE2" t="inlineStr">
        <is>
          <t>Date</t>
        </is>
      </c>
      <c r="DF2" t="inlineStr">
        <is>
          <t>PX_LAST</t>
        </is>
      </c>
      <c r="DG2" t="inlineStr">
        <is>
          <t>PX_VOLUME</t>
        </is>
      </c>
      <c r="DI2" t="inlineStr">
        <is>
          <t>Date</t>
        </is>
      </c>
      <c r="DJ2" t="inlineStr">
        <is>
          <t>PX_LAST</t>
        </is>
      </c>
      <c r="DK2" t="inlineStr">
        <is>
          <t>PX_VOLUME</t>
        </is>
      </c>
      <c r="DM2" t="inlineStr">
        <is>
          <t>Date</t>
        </is>
      </c>
      <c r="DN2" t="inlineStr">
        <is>
          <t>PX_LAST</t>
        </is>
      </c>
      <c r="DO2" t="inlineStr">
        <is>
          <t>PX_VOLUME</t>
        </is>
      </c>
      <c r="DQ2" t="inlineStr">
        <is>
          <t>Date</t>
        </is>
      </c>
      <c r="DR2" t="inlineStr">
        <is>
          <t>PX_LAST</t>
        </is>
      </c>
      <c r="DS2" t="inlineStr">
        <is>
          <t>PX_VOLUME</t>
        </is>
      </c>
      <c r="DU2" t="inlineStr">
        <is>
          <t>Date</t>
        </is>
      </c>
      <c r="DV2" t="inlineStr">
        <is>
          <t>PX_LAST</t>
        </is>
      </c>
      <c r="DW2" t="inlineStr">
        <is>
          <t>PX_VOLUME</t>
        </is>
      </c>
      <c r="DY2" t="inlineStr">
        <is>
          <t>Date</t>
        </is>
      </c>
      <c r="DZ2" t="inlineStr">
        <is>
          <t>PX_LAST</t>
        </is>
      </c>
      <c r="EA2" t="inlineStr">
        <is>
          <t>PX_VOLUME</t>
        </is>
      </c>
      <c r="EC2" t="inlineStr">
        <is>
          <t>Date</t>
        </is>
      </c>
      <c r="ED2" t="inlineStr">
        <is>
          <t>PX_LAST</t>
        </is>
      </c>
      <c r="EE2" t="inlineStr">
        <is>
          <t>PX_VOLUME</t>
        </is>
      </c>
      <c r="EG2" t="inlineStr">
        <is>
          <t>Date</t>
        </is>
      </c>
      <c r="EH2" t="inlineStr">
        <is>
          <t>PX_LAST</t>
        </is>
      </c>
      <c r="EI2" t="inlineStr">
        <is>
          <t>PX_VOLUME</t>
        </is>
      </c>
      <c r="EK2" t="inlineStr">
        <is>
          <t>Date</t>
        </is>
      </c>
      <c r="EL2" t="inlineStr">
        <is>
          <t>PX_LAST</t>
        </is>
      </c>
      <c r="EM2" t="inlineStr">
        <is>
          <t>PX_VOLUME</t>
        </is>
      </c>
      <c r="EO2" t="inlineStr">
        <is>
          <t>Date</t>
        </is>
      </c>
      <c r="EP2" t="inlineStr">
        <is>
          <t>PX_LAST</t>
        </is>
      </c>
      <c r="EQ2" t="inlineStr">
        <is>
          <t>PX_VOLUME</t>
        </is>
      </c>
      <c r="ES2" t="inlineStr">
        <is>
          <t>Date</t>
        </is>
      </c>
      <c r="ET2" t="inlineStr">
        <is>
          <t>PX_LAST</t>
        </is>
      </c>
      <c r="EU2" t="inlineStr">
        <is>
          <t>PX_VOLUME</t>
        </is>
      </c>
      <c r="EW2" t="inlineStr">
        <is>
          <t>Date</t>
        </is>
      </c>
      <c r="EX2" t="inlineStr">
        <is>
          <t>PX_LAST</t>
        </is>
      </c>
      <c r="EY2" t="inlineStr">
        <is>
          <t>PX_VOLUME</t>
        </is>
      </c>
      <c r="FA2" t="inlineStr">
        <is>
          <t>Date</t>
        </is>
      </c>
      <c r="FB2" t="inlineStr">
        <is>
          <t>PX_LAST</t>
        </is>
      </c>
      <c r="FC2" t="inlineStr">
        <is>
          <t>PX_VOLUME</t>
        </is>
      </c>
      <c r="FE2" t="inlineStr">
        <is>
          <t>Date</t>
        </is>
      </c>
      <c r="FF2" t="inlineStr">
        <is>
          <t>PX_LAST</t>
        </is>
      </c>
      <c r="FG2" t="inlineStr">
        <is>
          <t>PX_VOLUME</t>
        </is>
      </c>
      <c r="FI2" t="inlineStr">
        <is>
          <t>Date</t>
        </is>
      </c>
      <c r="FJ2" t="inlineStr">
        <is>
          <t>PX_LAST</t>
        </is>
      </c>
      <c r="FK2" t="inlineStr">
        <is>
          <t>PX_VOLUME</t>
        </is>
      </c>
      <c r="FM2" t="inlineStr">
        <is>
          <t>Date</t>
        </is>
      </c>
      <c r="FN2" t="inlineStr">
        <is>
          <t>PX_LAST</t>
        </is>
      </c>
      <c r="FO2" t="inlineStr">
        <is>
          <t>PX_VOLUME</t>
        </is>
      </c>
      <c r="FQ2" t="inlineStr">
        <is>
          <t>Date</t>
        </is>
      </c>
      <c r="FR2" t="inlineStr">
        <is>
          <t>PX_LAST</t>
        </is>
      </c>
      <c r="FS2" t="inlineStr">
        <is>
          <t>PX_VOLUME</t>
        </is>
      </c>
      <c r="FU2" t="inlineStr">
        <is>
          <t>Date</t>
        </is>
      </c>
      <c r="FV2" t="inlineStr">
        <is>
          <t>PX_LAST</t>
        </is>
      </c>
      <c r="FW2" t="inlineStr">
        <is>
          <t>PX_VOLUME</t>
        </is>
      </c>
      <c r="FY2" t="inlineStr">
        <is>
          <t>Date</t>
        </is>
      </c>
      <c r="FZ2" t="inlineStr">
        <is>
          <t>PX_LAST</t>
        </is>
      </c>
      <c r="GA2" t="inlineStr">
        <is>
          <t>PX_VOLUME</t>
        </is>
      </c>
      <c r="GC2" t="inlineStr">
        <is>
          <t>Date</t>
        </is>
      </c>
      <c r="GD2" t="inlineStr">
        <is>
          <t>PX_LAST</t>
        </is>
      </c>
      <c r="GE2" t="inlineStr">
        <is>
          <t>PX_VOLUME</t>
        </is>
      </c>
      <c r="GG2" t="inlineStr">
        <is>
          <t>Date</t>
        </is>
      </c>
      <c r="GH2" t="inlineStr">
        <is>
          <t>PX_LAST</t>
        </is>
      </c>
      <c r="GI2" t="inlineStr">
        <is>
          <t>PX_VOLUME</t>
        </is>
      </c>
      <c r="GK2" t="inlineStr">
        <is>
          <t>Date</t>
        </is>
      </c>
      <c r="GL2" t="inlineStr">
        <is>
          <t>PX_LAST</t>
        </is>
      </c>
      <c r="GM2" t="inlineStr">
        <is>
          <t>PX_VOLUME</t>
        </is>
      </c>
      <c r="GO2" t="inlineStr">
        <is>
          <t>Date</t>
        </is>
      </c>
      <c r="GP2" t="inlineStr">
        <is>
          <t>PX_LAST</t>
        </is>
      </c>
      <c r="GQ2" t="inlineStr">
        <is>
          <t>PX_VOLUME</t>
        </is>
      </c>
      <c r="GS2" t="inlineStr">
        <is>
          <t>Date</t>
        </is>
      </c>
      <c r="GT2" t="inlineStr">
        <is>
          <t>PX_LAST</t>
        </is>
      </c>
      <c r="GU2" t="inlineStr">
        <is>
          <t>PX_VOLUME</t>
        </is>
      </c>
      <c r="GW2" t="inlineStr">
        <is>
          <t>Date</t>
        </is>
      </c>
      <c r="GX2" t="inlineStr">
        <is>
          <t>PX_LAST</t>
        </is>
      </c>
      <c r="GY2" t="inlineStr">
        <is>
          <t>PX_VOLUME</t>
        </is>
      </c>
      <c r="HA2" t="inlineStr">
        <is>
          <t>Date</t>
        </is>
      </c>
      <c r="HB2" t="inlineStr">
        <is>
          <t>PX_LAST</t>
        </is>
      </c>
      <c r="HC2" t="inlineStr">
        <is>
          <t>PX_VOLUME</t>
        </is>
      </c>
      <c r="HE2" t="inlineStr">
        <is>
          <t>Date</t>
        </is>
      </c>
      <c r="HF2" t="inlineStr">
        <is>
          <t>PX_LAST</t>
        </is>
      </c>
      <c r="HG2" t="inlineStr">
        <is>
          <t>PX_VOLUME</t>
        </is>
      </c>
      <c r="HI2" t="inlineStr">
        <is>
          <t>Date</t>
        </is>
      </c>
      <c r="HJ2" t="inlineStr">
        <is>
          <t>PX_LAST</t>
        </is>
      </c>
      <c r="HK2" t="inlineStr">
        <is>
          <t>PX_VOLUME</t>
        </is>
      </c>
      <c r="HM2" t="inlineStr">
        <is>
          <t>Date</t>
        </is>
      </c>
      <c r="HN2" t="inlineStr">
        <is>
          <t>PX_LAST</t>
        </is>
      </c>
      <c r="HO2" t="inlineStr">
        <is>
          <t>PX_VOLUME</t>
        </is>
      </c>
      <c r="HQ2" t="inlineStr">
        <is>
          <t>Date</t>
        </is>
      </c>
      <c r="HR2" t="inlineStr">
        <is>
          <t>PX_LAST</t>
        </is>
      </c>
      <c r="HS2" t="inlineStr">
        <is>
          <t>PX_VOLUME</t>
        </is>
      </c>
      <c r="HU2" t="inlineStr">
        <is>
          <t>Date</t>
        </is>
      </c>
      <c r="HV2" t="inlineStr">
        <is>
          <t>PX_LAST</t>
        </is>
      </c>
      <c r="HW2" t="inlineStr">
        <is>
          <t>PX_VOLUME</t>
        </is>
      </c>
      <c r="HY2" t="inlineStr">
        <is>
          <t>Date</t>
        </is>
      </c>
      <c r="HZ2" t="inlineStr">
        <is>
          <t>PX_LAST</t>
        </is>
      </c>
      <c r="IA2" t="inlineStr">
        <is>
          <t>PX_VOLUME</t>
        </is>
      </c>
      <c r="IC2" t="inlineStr">
        <is>
          <t>Date</t>
        </is>
      </c>
      <c r="ID2" t="inlineStr">
        <is>
          <t>PX_LAST</t>
        </is>
      </c>
      <c r="IE2" t="inlineStr">
        <is>
          <t>PX_VOLUME</t>
        </is>
      </c>
      <c r="IG2" t="inlineStr">
        <is>
          <t>Date</t>
        </is>
      </c>
      <c r="IH2" t="inlineStr">
        <is>
          <t>PX_LAST</t>
        </is>
      </c>
      <c r="II2" t="inlineStr">
        <is>
          <t>PX_VOLUME</t>
        </is>
      </c>
      <c r="IK2" t="inlineStr">
        <is>
          <t>Date</t>
        </is>
      </c>
      <c r="IL2" t="inlineStr">
        <is>
          <t>PX_LAST</t>
        </is>
      </c>
      <c r="IM2" t="inlineStr">
        <is>
          <t>PX_VOLUME</t>
        </is>
      </c>
      <c r="IO2" t="inlineStr">
        <is>
          <t>Date</t>
        </is>
      </c>
      <c r="IP2" t="inlineStr">
        <is>
          <t>PX_LAST</t>
        </is>
      </c>
      <c r="IQ2" t="inlineStr">
        <is>
          <t>PX_VOLUME</t>
        </is>
      </c>
      <c r="IS2" t="inlineStr">
        <is>
          <t>Date</t>
        </is>
      </c>
      <c r="IT2" t="inlineStr">
        <is>
          <t>PX_LAST</t>
        </is>
      </c>
      <c r="IU2" t="inlineStr">
        <is>
          <t>PX_VOLUME</t>
        </is>
      </c>
      <c r="IW2" t="inlineStr">
        <is>
          <t>Date</t>
        </is>
      </c>
      <c r="IX2" t="inlineStr">
        <is>
          <t>PX_LAST</t>
        </is>
      </c>
      <c r="IY2" t="inlineStr">
        <is>
          <t>PX_VOLUME</t>
        </is>
      </c>
      <c r="JA2" t="inlineStr">
        <is>
          <t>Date</t>
        </is>
      </c>
      <c r="JB2" t="inlineStr">
        <is>
          <t>PX_LAST</t>
        </is>
      </c>
      <c r="JC2" t="inlineStr">
        <is>
          <t>PX_VOLUME</t>
        </is>
      </c>
      <c r="JE2" t="inlineStr">
        <is>
          <t>Date</t>
        </is>
      </c>
      <c r="JF2" t="inlineStr">
        <is>
          <t>PX_LAST</t>
        </is>
      </c>
      <c r="JG2" t="inlineStr">
        <is>
          <t>PX_VOLUME</t>
        </is>
      </c>
      <c r="JI2" t="inlineStr">
        <is>
          <t>Date</t>
        </is>
      </c>
      <c r="JJ2" t="inlineStr">
        <is>
          <t>PX_LAST</t>
        </is>
      </c>
      <c r="JK2" t="inlineStr">
        <is>
          <t>PX_VOLUME</t>
        </is>
      </c>
      <c r="JM2" t="inlineStr">
        <is>
          <t>Date</t>
        </is>
      </c>
      <c r="JN2" t="inlineStr">
        <is>
          <t>PX_LAST</t>
        </is>
      </c>
      <c r="JO2" t="inlineStr">
        <is>
          <t>PX_VOLUME</t>
        </is>
      </c>
      <c r="JQ2" t="inlineStr">
        <is>
          <t>Date</t>
        </is>
      </c>
      <c r="JR2" t="inlineStr">
        <is>
          <t>PX_LAST</t>
        </is>
      </c>
      <c r="JS2" t="inlineStr">
        <is>
          <t>PX_VOLUME</t>
        </is>
      </c>
      <c r="JU2" t="inlineStr">
        <is>
          <t>Date</t>
        </is>
      </c>
      <c r="JV2" t="inlineStr">
        <is>
          <t>PX_LAST</t>
        </is>
      </c>
      <c r="JW2" t="inlineStr">
        <is>
          <t>PX_VOLUME</t>
        </is>
      </c>
      <c r="JY2" t="inlineStr">
        <is>
          <t>Date</t>
        </is>
      </c>
      <c r="JZ2" t="inlineStr">
        <is>
          <t>PX_LAST</t>
        </is>
      </c>
      <c r="KA2" t="inlineStr">
        <is>
          <t>PX_VOLUME</t>
        </is>
      </c>
      <c r="KC2" t="inlineStr">
        <is>
          <t>Date</t>
        </is>
      </c>
      <c r="KD2" t="inlineStr">
        <is>
          <t>PX_LAST</t>
        </is>
      </c>
      <c r="KE2" t="inlineStr">
        <is>
          <t>PX_VOLUME</t>
        </is>
      </c>
      <c r="KG2" t="inlineStr">
        <is>
          <t>Date</t>
        </is>
      </c>
      <c r="KH2" t="inlineStr">
        <is>
          <t>PX_LAST</t>
        </is>
      </c>
      <c r="KI2" t="inlineStr">
        <is>
          <t>PX_VOLUME</t>
        </is>
      </c>
      <c r="KK2" t="inlineStr">
        <is>
          <t>Date</t>
        </is>
      </c>
      <c r="KL2" t="inlineStr">
        <is>
          <t>PX_LAST</t>
        </is>
      </c>
      <c r="KM2" t="inlineStr">
        <is>
          <t>PX_VOLUME</t>
        </is>
      </c>
      <c r="KO2" t="inlineStr">
        <is>
          <t>Date</t>
        </is>
      </c>
      <c r="KP2" t="inlineStr">
        <is>
          <t>PX_LAST</t>
        </is>
      </c>
      <c r="KQ2" t="inlineStr">
        <is>
          <t>PX_VOLUME</t>
        </is>
      </c>
      <c r="KS2" t="inlineStr">
        <is>
          <t>Date</t>
        </is>
      </c>
      <c r="KT2" t="inlineStr">
        <is>
          <t>PX_LAST</t>
        </is>
      </c>
      <c r="KU2" t="inlineStr">
        <is>
          <t>PX_VOLUME</t>
        </is>
      </c>
      <c r="KW2" t="inlineStr">
        <is>
          <t>Date</t>
        </is>
      </c>
      <c r="KX2" t="inlineStr">
        <is>
          <t>PX_LAST</t>
        </is>
      </c>
      <c r="KY2" t="inlineStr">
        <is>
          <t>PX_VOLUME</t>
        </is>
      </c>
      <c r="LA2" t="inlineStr">
        <is>
          <t>Date</t>
        </is>
      </c>
      <c r="LB2" t="inlineStr">
        <is>
          <t>PX_LAST</t>
        </is>
      </c>
      <c r="LC2" t="inlineStr">
        <is>
          <t>PX_VOLUME</t>
        </is>
      </c>
      <c r="LE2" t="inlineStr">
        <is>
          <t>Date</t>
        </is>
      </c>
      <c r="LF2" t="inlineStr">
        <is>
          <t>PX_LAST</t>
        </is>
      </c>
      <c r="LG2" t="inlineStr">
        <is>
          <t>PX_VOLUME</t>
        </is>
      </c>
      <c r="LI2" t="inlineStr">
        <is>
          <t>Date</t>
        </is>
      </c>
      <c r="LJ2" t="inlineStr">
        <is>
          <t>PX_LAST</t>
        </is>
      </c>
      <c r="LK2" t="inlineStr">
        <is>
          <t>PX_VOLUME</t>
        </is>
      </c>
      <c r="LM2" t="inlineStr">
        <is>
          <t>Date</t>
        </is>
      </c>
      <c r="LN2" t="inlineStr">
        <is>
          <t>PX_LAST</t>
        </is>
      </c>
      <c r="LO2" t="inlineStr">
        <is>
          <t>PX_VOLUME</t>
        </is>
      </c>
      <c r="LQ2" t="inlineStr">
        <is>
          <t>Date</t>
        </is>
      </c>
      <c r="LR2" t="inlineStr">
        <is>
          <t>PX_LAST</t>
        </is>
      </c>
      <c r="LS2" t="inlineStr">
        <is>
          <t>PX_VOLUME</t>
        </is>
      </c>
      <c r="LU2" t="inlineStr">
        <is>
          <t>Date</t>
        </is>
      </c>
      <c r="LV2" t="inlineStr">
        <is>
          <t>PX_LAST</t>
        </is>
      </c>
      <c r="LW2" t="inlineStr">
        <is>
          <t>PX_VOLUME</t>
        </is>
      </c>
      <c r="LY2" t="inlineStr">
        <is>
          <t>Date</t>
        </is>
      </c>
      <c r="LZ2" t="inlineStr">
        <is>
          <t>PX_LAST</t>
        </is>
      </c>
      <c r="MA2" t="inlineStr">
        <is>
          <t>PX_VOLUME</t>
        </is>
      </c>
      <c r="MC2" t="inlineStr">
        <is>
          <t>Date</t>
        </is>
      </c>
      <c r="MD2" t="inlineStr">
        <is>
          <t>PX_LAST</t>
        </is>
      </c>
      <c r="ME2" t="inlineStr">
        <is>
          <t>PX_VOLUME</t>
        </is>
      </c>
      <c r="MG2" t="inlineStr">
        <is>
          <t>Date</t>
        </is>
      </c>
      <c r="MH2" t="inlineStr">
        <is>
          <t>PX_LAST</t>
        </is>
      </c>
      <c r="MI2" t="inlineStr">
        <is>
          <t>PX_VOLUME</t>
        </is>
      </c>
      <c r="MK2" t="inlineStr">
        <is>
          <t>Date</t>
        </is>
      </c>
      <c r="ML2" t="inlineStr">
        <is>
          <t>PX_LAST</t>
        </is>
      </c>
      <c r="MM2" t="inlineStr">
        <is>
          <t>PX_VOLUME</t>
        </is>
      </c>
      <c r="MO2" t="inlineStr">
        <is>
          <t>Date</t>
        </is>
      </c>
      <c r="MP2" t="inlineStr">
        <is>
          <t>PX_LAST</t>
        </is>
      </c>
      <c r="MQ2" t="inlineStr">
        <is>
          <t>PX_VOLUME</t>
        </is>
      </c>
      <c r="MS2" t="inlineStr">
        <is>
          <t>Date</t>
        </is>
      </c>
      <c r="MT2" t="inlineStr">
        <is>
          <t>PX_LAST</t>
        </is>
      </c>
      <c r="MU2" t="inlineStr">
        <is>
          <t>PX_VOLUME</t>
        </is>
      </c>
      <c r="MW2" t="inlineStr">
        <is>
          <t>Date</t>
        </is>
      </c>
      <c r="MX2" t="inlineStr">
        <is>
          <t>PX_LAST</t>
        </is>
      </c>
      <c r="MY2" t="inlineStr">
        <is>
          <t>PX_VOLUME</t>
        </is>
      </c>
      <c r="NA2" t="inlineStr">
        <is>
          <t>Date</t>
        </is>
      </c>
      <c r="NB2" t="inlineStr">
        <is>
          <t>PX_LAST</t>
        </is>
      </c>
      <c r="NC2" t="inlineStr">
        <is>
          <t>PX_VOLUME</t>
        </is>
      </c>
      <c r="NE2" t="inlineStr">
        <is>
          <t>Date</t>
        </is>
      </c>
      <c r="NF2" t="inlineStr">
        <is>
          <t>PX_LAST</t>
        </is>
      </c>
      <c r="NG2" t="inlineStr">
        <is>
          <t>PX_VOLUME</t>
        </is>
      </c>
      <c r="NI2" t="inlineStr">
        <is>
          <t>Date</t>
        </is>
      </c>
      <c r="NJ2" t="inlineStr">
        <is>
          <t>PX_LAST</t>
        </is>
      </c>
      <c r="NK2" t="inlineStr">
        <is>
          <t>PX_VOLUME</t>
        </is>
      </c>
      <c r="NM2" t="inlineStr">
        <is>
          <t>Date</t>
        </is>
      </c>
      <c r="NN2" t="inlineStr">
        <is>
          <t>PX_LAST</t>
        </is>
      </c>
      <c r="NO2" t="inlineStr">
        <is>
          <t>PX_VOLUME</t>
        </is>
      </c>
      <c r="NQ2" t="inlineStr">
        <is>
          <t>Date</t>
        </is>
      </c>
      <c r="NR2" t="inlineStr">
        <is>
          <t>PX_LAST</t>
        </is>
      </c>
      <c r="NS2" t="inlineStr">
        <is>
          <t>PX_VOLUME</t>
        </is>
      </c>
      <c r="NU2" t="inlineStr">
        <is>
          <t>Date</t>
        </is>
      </c>
      <c r="NV2" t="inlineStr">
        <is>
          <t>PX_LAST</t>
        </is>
      </c>
      <c r="NW2" t="inlineStr">
        <is>
          <t>PX_VOLUME</t>
        </is>
      </c>
      <c r="NY2" t="inlineStr">
        <is>
          <t>Date</t>
        </is>
      </c>
      <c r="NZ2" t="inlineStr">
        <is>
          <t>PX_LAST</t>
        </is>
      </c>
      <c r="OA2" t="inlineStr">
        <is>
          <t>PX_VOLUME</t>
        </is>
      </c>
      <c r="OC2" t="inlineStr">
        <is>
          <t>Date</t>
        </is>
      </c>
      <c r="OD2" t="inlineStr">
        <is>
          <t>PX_LAST</t>
        </is>
      </c>
      <c r="OE2" t="inlineStr">
        <is>
          <t>PX_VOLUME</t>
        </is>
      </c>
      <c r="OG2" t="inlineStr">
        <is>
          <t>Date</t>
        </is>
      </c>
      <c r="OH2" t="inlineStr">
        <is>
          <t>PX_LAST</t>
        </is>
      </c>
      <c r="OI2" t="inlineStr">
        <is>
          <t>PX_VOLUME</t>
        </is>
      </c>
      <c r="OK2" t="inlineStr">
        <is>
          <t>Date</t>
        </is>
      </c>
      <c r="OL2" t="inlineStr">
        <is>
          <t>PX_LAST</t>
        </is>
      </c>
      <c r="OM2" t="inlineStr">
        <is>
          <t>PX_VOLUME</t>
        </is>
      </c>
      <c r="OO2" t="inlineStr">
        <is>
          <t>Date</t>
        </is>
      </c>
      <c r="OP2" t="inlineStr">
        <is>
          <t>PX_LAST</t>
        </is>
      </c>
      <c r="OQ2" t="inlineStr">
        <is>
          <t>PX_VOLUME</t>
        </is>
      </c>
      <c r="OS2" t="inlineStr">
        <is>
          <t>Date</t>
        </is>
      </c>
      <c r="OT2" t="inlineStr">
        <is>
          <t>PX_LAST</t>
        </is>
      </c>
      <c r="OU2" t="inlineStr">
        <is>
          <t>PX_VOLUME</t>
        </is>
      </c>
      <c r="OW2" t="inlineStr">
        <is>
          <t>Date</t>
        </is>
      </c>
      <c r="OX2" t="inlineStr">
        <is>
          <t>PX_LAST</t>
        </is>
      </c>
      <c r="OY2" t="inlineStr">
        <is>
          <t>PX_VOLUME</t>
        </is>
      </c>
      <c r="PA2" t="inlineStr">
        <is>
          <t>Date</t>
        </is>
      </c>
      <c r="PB2" t="inlineStr">
        <is>
          <t>PX_LAST</t>
        </is>
      </c>
      <c r="PC2" t="inlineStr">
        <is>
          <t>PX_VOLUME</t>
        </is>
      </c>
      <c r="PE2" t="inlineStr">
        <is>
          <t>Date</t>
        </is>
      </c>
      <c r="PF2" t="inlineStr">
        <is>
          <t>PX_LAST</t>
        </is>
      </c>
      <c r="PG2" t="inlineStr">
        <is>
          <t>PX_VOLUME</t>
        </is>
      </c>
      <c r="PI2" t="inlineStr">
        <is>
          <t>Date</t>
        </is>
      </c>
      <c r="PJ2" t="inlineStr">
        <is>
          <t>PX_LAST</t>
        </is>
      </c>
      <c r="PK2" t="inlineStr">
        <is>
          <t>PX_VOLUME</t>
        </is>
      </c>
      <c r="PM2" t="inlineStr">
        <is>
          <t>Date</t>
        </is>
      </c>
      <c r="PN2" t="inlineStr">
        <is>
          <t>PX_LAST</t>
        </is>
      </c>
      <c r="PO2" t="inlineStr">
        <is>
          <t>PX_VOLUME</t>
        </is>
      </c>
      <c r="PQ2" t="inlineStr">
        <is>
          <t>Date</t>
        </is>
      </c>
      <c r="PR2" t="inlineStr">
        <is>
          <t>PX_LAST</t>
        </is>
      </c>
      <c r="PS2" t="inlineStr">
        <is>
          <t>PX_VOLUME</t>
        </is>
      </c>
      <c r="PU2" t="inlineStr">
        <is>
          <t>Date</t>
        </is>
      </c>
      <c r="PV2" t="inlineStr">
        <is>
          <t>PX_LAST</t>
        </is>
      </c>
      <c r="PW2" t="inlineStr">
        <is>
          <t>PX_VOLUME</t>
        </is>
      </c>
      <c r="PY2" t="inlineStr">
        <is>
          <t>Date</t>
        </is>
      </c>
      <c r="PZ2" t="inlineStr">
        <is>
          <t>PX_LAST</t>
        </is>
      </c>
      <c r="QA2" t="inlineStr">
        <is>
          <t>PX_VOLUME</t>
        </is>
      </c>
      <c r="QC2" t="inlineStr">
        <is>
          <t>Date</t>
        </is>
      </c>
      <c r="QD2" t="inlineStr">
        <is>
          <t>PX_LAST</t>
        </is>
      </c>
      <c r="QE2" t="inlineStr">
        <is>
          <t>PX_VOLUME</t>
        </is>
      </c>
      <c r="QG2" t="inlineStr">
        <is>
          <t>Date</t>
        </is>
      </c>
      <c r="QH2" t="inlineStr">
        <is>
          <t>PX_LAST</t>
        </is>
      </c>
      <c r="QI2" t="inlineStr">
        <is>
          <t>PX_VOLUME</t>
        </is>
      </c>
      <c r="QK2" t="inlineStr">
        <is>
          <t>Date</t>
        </is>
      </c>
      <c r="QL2" t="inlineStr">
        <is>
          <t>PX_LAST</t>
        </is>
      </c>
      <c r="QM2" t="inlineStr">
        <is>
          <t>PX_VOLUME</t>
        </is>
      </c>
      <c r="QO2" t="inlineStr">
        <is>
          <t>Date</t>
        </is>
      </c>
      <c r="QP2" t="inlineStr">
        <is>
          <t>PX_LAST</t>
        </is>
      </c>
      <c r="QQ2" t="inlineStr">
        <is>
          <t>PX_VOLUME</t>
        </is>
      </c>
      <c r="QS2" t="inlineStr">
        <is>
          <t>Date</t>
        </is>
      </c>
      <c r="QT2" t="inlineStr">
        <is>
          <t>PX_LAST</t>
        </is>
      </c>
      <c r="QU2" t="inlineStr">
        <is>
          <t>PX_VOLUME</t>
        </is>
      </c>
      <c r="QW2" t="inlineStr">
        <is>
          <t>Date</t>
        </is>
      </c>
      <c r="QX2" t="inlineStr">
        <is>
          <t>PX_LAST</t>
        </is>
      </c>
      <c r="QY2" t="inlineStr">
        <is>
          <t>PX_VOLUME</t>
        </is>
      </c>
      <c r="RA2" t="inlineStr">
        <is>
          <t>Date</t>
        </is>
      </c>
      <c r="RB2" t="inlineStr">
        <is>
          <t>PX_LAST</t>
        </is>
      </c>
      <c r="RC2" t="inlineStr">
        <is>
          <t>PX_VOLUME</t>
        </is>
      </c>
      <c r="RE2" t="inlineStr">
        <is>
          <t>Date</t>
        </is>
      </c>
      <c r="RF2" t="inlineStr">
        <is>
          <t>PX_LAST</t>
        </is>
      </c>
      <c r="RG2" t="inlineStr">
        <is>
          <t>PX_VOLUME</t>
        </is>
      </c>
      <c r="RI2" t="inlineStr">
        <is>
          <t>Date</t>
        </is>
      </c>
      <c r="RJ2" t="inlineStr">
        <is>
          <t>PX_LAST</t>
        </is>
      </c>
      <c r="RK2" t="inlineStr">
        <is>
          <t>PX_VOLUME</t>
        </is>
      </c>
      <c r="RM2" t="inlineStr">
        <is>
          <t>Date</t>
        </is>
      </c>
      <c r="RN2" t="inlineStr">
        <is>
          <t>PX_LAST</t>
        </is>
      </c>
      <c r="RO2" t="inlineStr">
        <is>
          <t>PX_VOLUME</t>
        </is>
      </c>
      <c r="RQ2" t="inlineStr">
        <is>
          <t>Date</t>
        </is>
      </c>
      <c r="RR2" t="inlineStr">
        <is>
          <t>PX_LAST</t>
        </is>
      </c>
      <c r="RS2" t="inlineStr">
        <is>
          <t>PX_VOLUME</t>
        </is>
      </c>
      <c r="RU2" t="inlineStr">
        <is>
          <t>Date</t>
        </is>
      </c>
      <c r="RV2" t="inlineStr">
        <is>
          <t>PX_LAST</t>
        </is>
      </c>
      <c r="RW2" t="inlineStr">
        <is>
          <t>PX_VOLUME</t>
        </is>
      </c>
      <c r="RY2" t="inlineStr">
        <is>
          <t>Date</t>
        </is>
      </c>
      <c r="RZ2" t="inlineStr">
        <is>
          <t>PX_LAST</t>
        </is>
      </c>
      <c r="SA2" t="inlineStr">
        <is>
          <t>PX_VOLUME</t>
        </is>
      </c>
      <c r="SC2" t="inlineStr">
        <is>
          <t>Date</t>
        </is>
      </c>
      <c r="SD2" t="inlineStr">
        <is>
          <t>PX_LAST</t>
        </is>
      </c>
      <c r="SE2" t="inlineStr">
        <is>
          <t>PX_VOLUME</t>
        </is>
      </c>
      <c r="SG2" t="inlineStr">
        <is>
          <t>Date</t>
        </is>
      </c>
      <c r="SH2" t="inlineStr">
        <is>
          <t>PX_LAST</t>
        </is>
      </c>
      <c r="SI2" t="inlineStr">
        <is>
          <t>PX_VOLUME</t>
        </is>
      </c>
      <c r="SK2" t="inlineStr">
        <is>
          <t>Date</t>
        </is>
      </c>
      <c r="SL2" t="inlineStr">
        <is>
          <t>PX_LAST</t>
        </is>
      </c>
      <c r="SM2" t="inlineStr">
        <is>
          <t>PX_VOLUME</t>
        </is>
      </c>
      <c r="SO2" t="inlineStr">
        <is>
          <t>Date</t>
        </is>
      </c>
      <c r="SP2" t="inlineStr">
        <is>
          <t>PX_LAST</t>
        </is>
      </c>
      <c r="SQ2" t="inlineStr">
        <is>
          <t>PX_VOLUME</t>
        </is>
      </c>
      <c r="SS2" t="inlineStr">
        <is>
          <t>Date</t>
        </is>
      </c>
      <c r="ST2" t="inlineStr">
        <is>
          <t>PX_LAST</t>
        </is>
      </c>
      <c r="SU2" t="inlineStr">
        <is>
          <t>PX_VOLUME</t>
        </is>
      </c>
      <c r="SW2" t="inlineStr">
        <is>
          <t>Date</t>
        </is>
      </c>
      <c r="SX2" t="inlineStr">
        <is>
          <t>PX_LAST</t>
        </is>
      </c>
      <c r="SY2" t="inlineStr">
        <is>
          <t>PX_VOLUME</t>
        </is>
      </c>
      <c r="TA2" t="inlineStr">
        <is>
          <t>Date</t>
        </is>
      </c>
      <c r="TB2" t="inlineStr">
        <is>
          <t>PX_LAST</t>
        </is>
      </c>
      <c r="TC2" t="inlineStr">
        <is>
          <t>PX_VOLUME</t>
        </is>
      </c>
      <c r="TE2" t="inlineStr">
        <is>
          <t>Date</t>
        </is>
      </c>
      <c r="TF2" t="inlineStr">
        <is>
          <t>PX_LAST</t>
        </is>
      </c>
      <c r="TG2" t="inlineStr">
        <is>
          <t>PX_VOLUME</t>
        </is>
      </c>
      <c r="TI2" t="inlineStr">
        <is>
          <t>Date</t>
        </is>
      </c>
      <c r="TJ2" t="inlineStr">
        <is>
          <t>PX_LAST</t>
        </is>
      </c>
      <c r="TK2" t="inlineStr">
        <is>
          <t>PX_VOLUME</t>
        </is>
      </c>
      <c r="TM2" t="inlineStr">
        <is>
          <t>Date</t>
        </is>
      </c>
      <c r="TN2" t="inlineStr">
        <is>
          <t>PX_LAST</t>
        </is>
      </c>
      <c r="TO2" t="inlineStr">
        <is>
          <t>PX_VOLUME</t>
        </is>
      </c>
      <c r="TQ2" t="inlineStr">
        <is>
          <t>Date</t>
        </is>
      </c>
      <c r="TR2" t="inlineStr">
        <is>
          <t>PX_LAST</t>
        </is>
      </c>
      <c r="TS2" t="inlineStr">
        <is>
          <t>PX_VOLUME</t>
        </is>
      </c>
      <c r="TU2" t="inlineStr">
        <is>
          <t>Date</t>
        </is>
      </c>
      <c r="TV2" t="inlineStr">
        <is>
          <t>PX_LAST</t>
        </is>
      </c>
      <c r="TW2" t="inlineStr">
        <is>
          <t>PX_VOLUME</t>
        </is>
      </c>
      <c r="TY2" t="inlineStr">
        <is>
          <t>Date</t>
        </is>
      </c>
      <c r="TZ2" t="inlineStr">
        <is>
          <t>PX_LAST</t>
        </is>
      </c>
      <c r="UA2" t="inlineStr">
        <is>
          <t>PX_VOLUME</t>
        </is>
      </c>
      <c r="UC2" t="inlineStr">
        <is>
          <t>Date</t>
        </is>
      </c>
      <c r="UD2" t="inlineStr">
        <is>
          <t>PX_LAST</t>
        </is>
      </c>
      <c r="UE2" t="inlineStr">
        <is>
          <t>PX_VOLUME</t>
        </is>
      </c>
      <c r="UG2" t="inlineStr">
        <is>
          <t>Date</t>
        </is>
      </c>
      <c r="UH2" t="inlineStr">
        <is>
          <t>PX_LAST</t>
        </is>
      </c>
      <c r="UI2" t="inlineStr">
        <is>
          <t>PX_VOLUME</t>
        </is>
      </c>
      <c r="UK2" t="inlineStr">
        <is>
          <t>Date</t>
        </is>
      </c>
      <c r="UL2" t="inlineStr">
        <is>
          <t>PX_LAST</t>
        </is>
      </c>
      <c r="UM2" t="inlineStr">
        <is>
          <t>PX_VOLUME</t>
        </is>
      </c>
      <c r="UO2" t="inlineStr">
        <is>
          <t>Date</t>
        </is>
      </c>
      <c r="UP2" t="inlineStr">
        <is>
          <t>PX_LAST</t>
        </is>
      </c>
      <c r="UQ2" t="inlineStr">
        <is>
          <t>PX_VOLUME</t>
        </is>
      </c>
      <c r="US2" t="inlineStr">
        <is>
          <t>Date</t>
        </is>
      </c>
      <c r="UT2" t="inlineStr">
        <is>
          <t>PX_LAST</t>
        </is>
      </c>
      <c r="UU2" t="inlineStr">
        <is>
          <t>PX_VOLUME</t>
        </is>
      </c>
      <c r="UW2" t="inlineStr">
        <is>
          <t>Date</t>
        </is>
      </c>
      <c r="UX2" t="inlineStr">
        <is>
          <t>PX_LAST</t>
        </is>
      </c>
      <c r="UY2" t="inlineStr">
        <is>
          <t>PX_VOLUME</t>
        </is>
      </c>
      <c r="VA2" t="inlineStr">
        <is>
          <t>Date</t>
        </is>
      </c>
      <c r="VB2" t="inlineStr">
        <is>
          <t>PX_LAST</t>
        </is>
      </c>
      <c r="VC2" t="inlineStr">
        <is>
          <t>PX_VOLUME</t>
        </is>
      </c>
      <c r="VE2" t="inlineStr">
        <is>
          <t>Date</t>
        </is>
      </c>
      <c r="VF2" t="inlineStr">
        <is>
          <t>PX_LAST</t>
        </is>
      </c>
      <c r="VG2" t="inlineStr">
        <is>
          <t>PX_VOLUME</t>
        </is>
      </c>
      <c r="VI2" t="inlineStr">
        <is>
          <t>Date</t>
        </is>
      </c>
      <c r="VJ2" t="inlineStr">
        <is>
          <t>PX_LAST</t>
        </is>
      </c>
      <c r="VK2" t="inlineStr">
        <is>
          <t>PX_VOLUME</t>
        </is>
      </c>
      <c r="VM2" t="inlineStr">
        <is>
          <t>Date</t>
        </is>
      </c>
      <c r="VN2" t="inlineStr">
        <is>
          <t>PX_LAST</t>
        </is>
      </c>
      <c r="VO2" t="inlineStr">
        <is>
          <t>PX_VOLUME</t>
        </is>
      </c>
      <c r="VQ2" t="inlineStr">
        <is>
          <t>Date</t>
        </is>
      </c>
      <c r="VR2" t="inlineStr">
        <is>
          <t>PX_LAST</t>
        </is>
      </c>
      <c r="VS2" t="inlineStr">
        <is>
          <t>PX_VOLUME</t>
        </is>
      </c>
      <c r="VU2" t="inlineStr">
        <is>
          <t>Date</t>
        </is>
      </c>
      <c r="VV2" t="inlineStr">
        <is>
          <t>PX_LAST</t>
        </is>
      </c>
      <c r="VW2" t="inlineStr">
        <is>
          <t>PX_VOLUME</t>
        </is>
      </c>
      <c r="VY2" t="inlineStr">
        <is>
          <t>Date</t>
        </is>
      </c>
      <c r="VZ2" t="inlineStr">
        <is>
          <t>PX_LAST</t>
        </is>
      </c>
      <c r="WA2" t="inlineStr">
        <is>
          <t>PX_VOLUME</t>
        </is>
      </c>
      <c r="WC2" t="inlineStr">
        <is>
          <t>Date</t>
        </is>
      </c>
      <c r="WD2" t="inlineStr">
        <is>
          <t>PX_LAST</t>
        </is>
      </c>
      <c r="WE2" t="inlineStr">
        <is>
          <t>PX_VOLUME</t>
        </is>
      </c>
      <c r="WG2" t="inlineStr">
        <is>
          <t>Date</t>
        </is>
      </c>
      <c r="WH2" t="inlineStr">
        <is>
          <t>PX_LAST</t>
        </is>
      </c>
      <c r="WI2" t="inlineStr">
        <is>
          <t>PX_VOLUME</t>
        </is>
      </c>
      <c r="WK2" t="inlineStr">
        <is>
          <t>Date</t>
        </is>
      </c>
      <c r="WL2" t="inlineStr">
        <is>
          <t>PX_LAST</t>
        </is>
      </c>
      <c r="WM2" t="inlineStr">
        <is>
          <t>PX_VOLUME</t>
        </is>
      </c>
      <c r="WO2" t="inlineStr">
        <is>
          <t>Date</t>
        </is>
      </c>
      <c r="WP2" t="inlineStr">
        <is>
          <t>PX_LAST</t>
        </is>
      </c>
      <c r="WQ2" t="inlineStr">
        <is>
          <t>PX_VOLUME</t>
        </is>
      </c>
      <c r="WS2" t="inlineStr">
        <is>
          <t>Date</t>
        </is>
      </c>
      <c r="WT2" t="inlineStr">
        <is>
          <t>PX_LAST</t>
        </is>
      </c>
      <c r="WU2" t="inlineStr">
        <is>
          <t>PX_VOLUME</t>
        </is>
      </c>
      <c r="WW2" t="inlineStr">
        <is>
          <t>Date</t>
        </is>
      </c>
      <c r="WX2" t="inlineStr">
        <is>
          <t>PX_LAST</t>
        </is>
      </c>
      <c r="WY2" t="inlineStr">
        <is>
          <t>PX_VOLUME</t>
        </is>
      </c>
      <c r="XA2" t="inlineStr">
        <is>
          <t>Date</t>
        </is>
      </c>
      <c r="XB2" t="inlineStr">
        <is>
          <t>PX_LAST</t>
        </is>
      </c>
      <c r="XC2" t="inlineStr">
        <is>
          <t>PX_VOLUME</t>
        </is>
      </c>
      <c r="XE2" t="inlineStr">
        <is>
          <t>Date</t>
        </is>
      </c>
      <c r="XF2" t="inlineStr">
        <is>
          <t>PX_LAST</t>
        </is>
      </c>
      <c r="XG2" t="inlineStr">
        <is>
          <t>PX_VOLUME</t>
        </is>
      </c>
      <c r="XI2" t="inlineStr">
        <is>
          <t>Date</t>
        </is>
      </c>
      <c r="XJ2" t="inlineStr">
        <is>
          <t>PX_LAST</t>
        </is>
      </c>
      <c r="XK2" t="inlineStr">
        <is>
          <t>PX_VOLUME</t>
        </is>
      </c>
      <c r="XM2" t="inlineStr">
        <is>
          <t>Date</t>
        </is>
      </c>
      <c r="XN2" t="inlineStr">
        <is>
          <t>PX_LAST</t>
        </is>
      </c>
      <c r="XO2" t="inlineStr">
        <is>
          <t>PX_VOLUME</t>
        </is>
      </c>
      <c r="XQ2" t="inlineStr">
        <is>
          <t>Date</t>
        </is>
      </c>
      <c r="XR2" t="inlineStr">
        <is>
          <t>PX_LAST</t>
        </is>
      </c>
      <c r="XS2" t="inlineStr">
        <is>
          <t>PX_VOLUME</t>
        </is>
      </c>
      <c r="XU2" t="inlineStr">
        <is>
          <t>Date</t>
        </is>
      </c>
      <c r="XV2" t="inlineStr">
        <is>
          <t>PX_LAST</t>
        </is>
      </c>
      <c r="XW2" t="inlineStr">
        <is>
          <t>PX_VOLUME</t>
        </is>
      </c>
      <c r="XY2" t="inlineStr">
        <is>
          <t>Date</t>
        </is>
      </c>
      <c r="XZ2" t="inlineStr">
        <is>
          <t>PX_LAST</t>
        </is>
      </c>
      <c r="YA2" t="inlineStr">
        <is>
          <t>PX_VOLUME</t>
        </is>
      </c>
      <c r="YC2" t="inlineStr">
        <is>
          <t>Date</t>
        </is>
      </c>
      <c r="YD2" t="inlineStr">
        <is>
          <t>PX_LAST</t>
        </is>
      </c>
      <c r="YE2" t="inlineStr">
        <is>
          <t>PX_VOLUME</t>
        </is>
      </c>
      <c r="YG2" t="inlineStr">
        <is>
          <t>Date</t>
        </is>
      </c>
      <c r="YH2" t="inlineStr">
        <is>
          <t>PX_LAST</t>
        </is>
      </c>
      <c r="YI2" t="inlineStr">
        <is>
          <t>PX_VOLUME</t>
        </is>
      </c>
      <c r="YK2" t="inlineStr">
        <is>
          <t>Date</t>
        </is>
      </c>
      <c r="YL2" t="inlineStr">
        <is>
          <t>PX_LAST</t>
        </is>
      </c>
      <c r="YM2" t="inlineStr">
        <is>
          <t>PX_VOLUME</t>
        </is>
      </c>
      <c r="YO2" t="inlineStr">
        <is>
          <t>Date</t>
        </is>
      </c>
      <c r="YP2" t="inlineStr">
        <is>
          <t>PX_LAST</t>
        </is>
      </c>
      <c r="YQ2" t="inlineStr">
        <is>
          <t>PX_VOLUME</t>
        </is>
      </c>
      <c r="YS2" t="inlineStr">
        <is>
          <t>Date</t>
        </is>
      </c>
      <c r="YT2" t="inlineStr">
        <is>
          <t>PX_LAST</t>
        </is>
      </c>
      <c r="YU2" t="inlineStr">
        <is>
          <t>PX_VOLUME</t>
        </is>
      </c>
      <c r="YW2" t="inlineStr">
        <is>
          <t>Date</t>
        </is>
      </c>
      <c r="YX2" t="inlineStr">
        <is>
          <t>PX_LAST</t>
        </is>
      </c>
      <c r="YY2" t="inlineStr">
        <is>
          <t>PX_VOLUME</t>
        </is>
      </c>
      <c r="ZA2" t="inlineStr">
        <is>
          <t>Date</t>
        </is>
      </c>
      <c r="ZB2" t="inlineStr">
        <is>
          <t>PX_LAST</t>
        </is>
      </c>
      <c r="ZC2" t="inlineStr">
        <is>
          <t>PX_VOLUME</t>
        </is>
      </c>
      <c r="ZE2" t="inlineStr">
        <is>
          <t>Date</t>
        </is>
      </c>
      <c r="ZF2" t="inlineStr">
        <is>
          <t>PX_LAST</t>
        </is>
      </c>
      <c r="ZG2" t="inlineStr">
        <is>
          <t>PX_VOLUME</t>
        </is>
      </c>
      <c r="ZI2" t="inlineStr">
        <is>
          <t>Date</t>
        </is>
      </c>
      <c r="ZJ2" t="inlineStr">
        <is>
          <t>PX_LAST</t>
        </is>
      </c>
      <c r="ZK2" t="inlineStr">
        <is>
          <t>PX_VOLUME</t>
        </is>
      </c>
      <c r="ZM2" t="inlineStr">
        <is>
          <t>Date</t>
        </is>
      </c>
      <c r="ZN2" t="inlineStr">
        <is>
          <t>PX_LAST</t>
        </is>
      </c>
      <c r="ZO2" t="inlineStr">
        <is>
          <t>PX_VOLUME</t>
        </is>
      </c>
      <c r="ZQ2" t="inlineStr">
        <is>
          <t>Date</t>
        </is>
      </c>
      <c r="ZR2" t="inlineStr">
        <is>
          <t>PX_LAST</t>
        </is>
      </c>
      <c r="ZS2" t="inlineStr">
        <is>
          <t>PX_VOLUME</t>
        </is>
      </c>
      <c r="ZU2" t="inlineStr">
        <is>
          <t>Date</t>
        </is>
      </c>
      <c r="ZV2" t="inlineStr">
        <is>
          <t>PX_LAST</t>
        </is>
      </c>
      <c r="ZW2" t="inlineStr">
        <is>
          <t>PX_VOLUME</t>
        </is>
      </c>
      <c r="ZY2" t="inlineStr">
        <is>
          <t>Date</t>
        </is>
      </c>
      <c r="ZZ2" t="inlineStr">
        <is>
          <t>PX_LAST</t>
        </is>
      </c>
      <c r="AAA2" t="inlineStr">
        <is>
          <t>PX_VOLUME</t>
        </is>
      </c>
      <c r="AAC2" t="inlineStr">
        <is>
          <t>Date</t>
        </is>
      </c>
      <c r="AAD2" t="inlineStr">
        <is>
          <t>PX_LAST</t>
        </is>
      </c>
      <c r="AAE2" t="inlineStr">
        <is>
          <t>PX_VOLUME</t>
        </is>
      </c>
      <c r="AAG2" t="inlineStr">
        <is>
          <t>Date</t>
        </is>
      </c>
      <c r="AAH2" t="inlineStr">
        <is>
          <t>PX_LAST</t>
        </is>
      </c>
      <c r="AAI2" t="inlineStr">
        <is>
          <t>PX_VOLUME</t>
        </is>
      </c>
      <c r="AAK2" t="inlineStr">
        <is>
          <t>Date</t>
        </is>
      </c>
      <c r="AAL2" t="inlineStr">
        <is>
          <t>PX_LAST</t>
        </is>
      </c>
      <c r="AAM2" t="inlineStr">
        <is>
          <t>PX_VOLUME</t>
        </is>
      </c>
      <c r="AAO2" t="inlineStr">
        <is>
          <t>Date</t>
        </is>
      </c>
      <c r="AAP2" t="inlineStr">
        <is>
          <t>PX_LAST</t>
        </is>
      </c>
      <c r="AAQ2" t="inlineStr">
        <is>
          <t>PX_VOLUME</t>
        </is>
      </c>
      <c r="AAS2" t="inlineStr">
        <is>
          <t>Date</t>
        </is>
      </c>
      <c r="AAT2" t="inlineStr">
        <is>
          <t>PX_LAST</t>
        </is>
      </c>
      <c r="AAU2" t="inlineStr">
        <is>
          <t>PX_VOLUME</t>
        </is>
      </c>
      <c r="AAW2" t="inlineStr">
        <is>
          <t>Date</t>
        </is>
      </c>
      <c r="AAX2" t="inlineStr">
        <is>
          <t>PX_LAST</t>
        </is>
      </c>
      <c r="AAY2" t="inlineStr">
        <is>
          <t>PX_VOLUME</t>
        </is>
      </c>
      <c r="ABA2" t="inlineStr">
        <is>
          <t>Date</t>
        </is>
      </c>
      <c r="ABB2" t="inlineStr">
        <is>
          <t>PX_LAST</t>
        </is>
      </c>
      <c r="ABC2" t="inlineStr">
        <is>
          <t>PX_VOLUME</t>
        </is>
      </c>
      <c r="ABE2" t="inlineStr">
        <is>
          <t>Date</t>
        </is>
      </c>
      <c r="ABF2" t="inlineStr">
        <is>
          <t>PX_LAST</t>
        </is>
      </c>
      <c r="ABG2" t="inlineStr">
        <is>
          <t>PX_VOLUME</t>
        </is>
      </c>
      <c r="ABI2" t="inlineStr">
        <is>
          <t>Date</t>
        </is>
      </c>
      <c r="ABJ2" t="inlineStr">
        <is>
          <t>PX_LAST</t>
        </is>
      </c>
      <c r="ABK2" t="inlineStr">
        <is>
          <t>PX_VOLUME</t>
        </is>
      </c>
      <c r="ABM2" t="inlineStr">
        <is>
          <t>Date</t>
        </is>
      </c>
      <c r="ABN2" t="inlineStr">
        <is>
          <t>PX_LAST</t>
        </is>
      </c>
      <c r="ABO2" t="inlineStr">
        <is>
          <t>PX_VOLUME</t>
        </is>
      </c>
      <c r="ABQ2" t="inlineStr">
        <is>
          <t>Date</t>
        </is>
      </c>
      <c r="ABR2" t="inlineStr">
        <is>
          <t>PX_LAST</t>
        </is>
      </c>
      <c r="ABS2" t="inlineStr">
        <is>
          <t>PX_VOLUME</t>
        </is>
      </c>
      <c r="ABU2" t="inlineStr">
        <is>
          <t>Date</t>
        </is>
      </c>
      <c r="ABV2" t="inlineStr">
        <is>
          <t>PX_LAST</t>
        </is>
      </c>
      <c r="ABW2" t="inlineStr">
        <is>
          <t>PX_VOLUME</t>
        </is>
      </c>
      <c r="ABY2" t="inlineStr">
        <is>
          <t>Date</t>
        </is>
      </c>
      <c r="ABZ2" t="inlineStr">
        <is>
          <t>PX_LAST</t>
        </is>
      </c>
      <c r="ACA2" t="inlineStr">
        <is>
          <t>PX_VOLUME</t>
        </is>
      </c>
      <c r="ACC2" t="inlineStr">
        <is>
          <t>Date</t>
        </is>
      </c>
      <c r="ACD2" t="inlineStr">
        <is>
          <t>PX_LAST</t>
        </is>
      </c>
      <c r="ACE2" t="inlineStr">
        <is>
          <t>PX_VOLUME</t>
        </is>
      </c>
      <c r="ACG2" t="inlineStr">
        <is>
          <t>Date</t>
        </is>
      </c>
      <c r="ACH2" t="inlineStr">
        <is>
          <t>PX_LAST</t>
        </is>
      </c>
      <c r="ACI2" t="inlineStr">
        <is>
          <t>PX_VOLUME</t>
        </is>
      </c>
      <c r="ACK2" t="inlineStr">
        <is>
          <t>Date</t>
        </is>
      </c>
      <c r="ACL2" t="inlineStr">
        <is>
          <t>PX_LAST</t>
        </is>
      </c>
      <c r="ACM2" t="inlineStr">
        <is>
          <t>PX_VOLUME</t>
        </is>
      </c>
      <c r="ACO2" t="inlineStr">
        <is>
          <t>Date</t>
        </is>
      </c>
      <c r="ACP2" t="inlineStr">
        <is>
          <t>PX_LAST</t>
        </is>
      </c>
      <c r="ACQ2" t="inlineStr">
        <is>
          <t>PX_VOLUME</t>
        </is>
      </c>
      <c r="ACS2" t="inlineStr">
        <is>
          <t>Date</t>
        </is>
      </c>
      <c r="ACT2" t="inlineStr">
        <is>
          <t>PX_LAST</t>
        </is>
      </c>
      <c r="ACU2" t="inlineStr">
        <is>
          <t>PX_VOLUME</t>
        </is>
      </c>
      <c r="ACW2" t="inlineStr">
        <is>
          <t>Date</t>
        </is>
      </c>
      <c r="ACX2" t="inlineStr">
        <is>
          <t>PX_LAST</t>
        </is>
      </c>
      <c r="ACY2" t="inlineStr">
        <is>
          <t>PX_VOLUME</t>
        </is>
      </c>
      <c r="ADA2" t="inlineStr">
        <is>
          <t>Date</t>
        </is>
      </c>
      <c r="ADB2" t="inlineStr">
        <is>
          <t>PX_LAST</t>
        </is>
      </c>
      <c r="ADC2" t="inlineStr">
        <is>
          <t>PX_VOLUME</t>
        </is>
      </c>
      <c r="ADE2" t="inlineStr">
        <is>
          <t>Date</t>
        </is>
      </c>
      <c r="ADF2" t="inlineStr">
        <is>
          <t>PX_LAST</t>
        </is>
      </c>
      <c r="ADG2" t="inlineStr">
        <is>
          <t>PX_VOLUME</t>
        </is>
      </c>
      <c r="ADI2" t="inlineStr">
        <is>
          <t>Date</t>
        </is>
      </c>
      <c r="ADJ2" t="inlineStr">
        <is>
          <t>PX_LAST</t>
        </is>
      </c>
      <c r="ADK2" t="inlineStr">
        <is>
          <t>PX_VOLUME</t>
        </is>
      </c>
      <c r="ADM2" t="inlineStr">
        <is>
          <t>Date</t>
        </is>
      </c>
      <c r="ADN2" t="inlineStr">
        <is>
          <t>PX_LAST</t>
        </is>
      </c>
      <c r="ADO2" t="inlineStr">
        <is>
          <t>PX_VOLUME</t>
        </is>
      </c>
      <c r="ADQ2" t="inlineStr">
        <is>
          <t>Date</t>
        </is>
      </c>
      <c r="ADR2" t="inlineStr">
        <is>
          <t>PX_LAST</t>
        </is>
      </c>
      <c r="ADS2" t="inlineStr">
        <is>
          <t>PX_VOLUME</t>
        </is>
      </c>
    </row>
    <row r="3">
      <c r="A3">
        <f>BDH("BBG01V1T0NT3 Equity","PX_LAST,PX_VOLUME","1/1/2020","6/10/2026")</f>
        <v/>
      </c>
      <c r="E3">
        <f>BDH("BBG01V1SZY68 Equity","PX_LAST,PX_VOLUME","1/1/2020","6/10/2026")</f>
        <v/>
      </c>
      <c r="I3">
        <f>BDH("BBG01V1T1YW4 Equity","PX_LAST,PX_VOLUME","1/1/2020","6/10/2026")</f>
        <v/>
      </c>
      <c r="M3">
        <f>BDH("BBG01V1T26F3 Equity","PX_LAST,PX_VOLUME","1/1/2020","6/10/2026")</f>
        <v/>
      </c>
      <c r="Q3">
        <f>BDH("BBG01V1T2921 Equity","PX_LAST,PX_VOLUME","1/1/2020","6/10/2026")</f>
        <v/>
      </c>
      <c r="U3">
        <f>BDH("BBG01V4PTVD6 Equity","PX_LAST,PX_VOLUME","1/1/2020","6/10/2026")</f>
        <v/>
      </c>
      <c r="Y3">
        <f>BDH("BBG01V55GXZ5 Equity","PX_LAST,PX_VOLUME","1/1/2020","6/10/2026")</f>
        <v/>
      </c>
      <c r="AC3">
        <f>BDH("BBG01V55GZR9 Equity","PX_LAST,PX_VOLUME","1/1/2020","6/10/2026")</f>
        <v/>
      </c>
      <c r="AG3">
        <f>BDH("BBG01V55FJ05 Equity","PX_LAST,PX_VOLUME","1/1/2020","6/10/2026")</f>
        <v/>
      </c>
      <c r="AK3">
        <f>BDH("BBG01V55GYL8 Equity","PX_LAST,PX_VOLUME","1/1/2020","6/10/2026")</f>
        <v/>
      </c>
      <c r="AO3">
        <f>BDH("BBG01V55GXC0 Equity","PX_LAST,PX_VOLUME","1/1/2020","6/10/2026")</f>
        <v/>
      </c>
      <c r="AS3">
        <f>BDH("BBG01V55GWR6 Equity","PX_LAST,PX_VOLUME","1/1/2020","6/10/2026")</f>
        <v/>
      </c>
      <c r="AW3">
        <f>BDH("BBG01V8NFW40 Equity","PX_LAST,PX_VOLUME","1/1/2020","6/10/2026")</f>
        <v/>
      </c>
      <c r="BA3">
        <f>BDH("BBG01V8NFVJ6 Equity","PX_LAST,PX_VOLUME","1/1/2020","6/10/2026")</f>
        <v/>
      </c>
      <c r="BE3">
        <f>BDH("BBG01VNBJ820 Equity","PX_LAST,PX_VOLUME","1/1/2020","6/10/2026")</f>
        <v/>
      </c>
      <c r="BI3">
        <f>BDH("BBG01VNBHWJ1 Equity","PX_LAST,PX_VOLUME","1/1/2020","6/10/2026")</f>
        <v/>
      </c>
      <c r="BM3">
        <f>BDH("BBG01VNBJ6D2 Equity","PX_LAST,PX_VOLUME","1/1/2020","6/10/2026")</f>
        <v/>
      </c>
      <c r="BQ3">
        <f>BDH("BBG01VNBJC03 Equity","PX_LAST,PX_VOLUME","1/1/2020","6/10/2026")</f>
        <v/>
      </c>
      <c r="BU3">
        <f>BDH("BBG01VNBJFT5 Equity","PX_LAST,PX_VOLUME","1/1/2020","6/10/2026")</f>
        <v/>
      </c>
      <c r="BY3">
        <f>BDH("BBG01VNBJBD1 Equity","PX_LAST,PX_VOLUME","1/1/2020","6/10/2026")</f>
        <v/>
      </c>
      <c r="CC3">
        <f>BDH("BBG01VNBHNM7 Equity","PX_LAST,PX_VOLUME","1/1/2020","6/10/2026")</f>
        <v/>
      </c>
      <c r="CG3">
        <f>BDH("BBG01VNBHX45 Equity","PX_LAST,PX_VOLUME","1/1/2020","6/10/2026")</f>
        <v/>
      </c>
      <c r="CK3">
        <f>BDH("BBG01VNBJ7M0 Equity","PX_LAST,PX_VOLUME","1/1/2020","6/10/2026")</f>
        <v/>
      </c>
      <c r="CO3">
        <f>BDH("BBG01VNBJ8P5 Equity","PX_LAST,PX_VOLUME","1/1/2020","6/10/2026")</f>
        <v/>
      </c>
      <c r="CS3">
        <f>BDH("BBG01VNBJF60 Equity","PX_LAST,PX_VOLUME","1/1/2020","6/10/2026")</f>
        <v/>
      </c>
      <c r="CW3">
        <f>BDH("BBG01VNBHXR0 Equity","PX_LAST,PX_VOLUME","1/1/2020","6/10/2026")</f>
        <v/>
      </c>
      <c r="DA3">
        <f>BDH("BBG01VNBHN01 Equity","PX_LAST,PX_VOLUME","1/1/2020","6/10/2026")</f>
        <v/>
      </c>
      <c r="DE3">
        <f>BDH("BBG01VNBHZF8 Equity","PX_LAST,PX_VOLUME","1/1/2020","6/10/2026")</f>
        <v/>
      </c>
      <c r="DI3">
        <f>BDH("BBG01VNBJGF8 Equity","PX_LAST,PX_VOLUME","1/1/2020","6/10/2026")</f>
        <v/>
      </c>
      <c r="DM3">
        <f>BDH("BBG01VNBJCM9 Equity","PX_LAST,PX_VOLUME","1/1/2020","6/10/2026")</f>
        <v/>
      </c>
      <c r="DQ3">
        <f>BDH("BBG01VNBJ704 Equity","PX_LAST,PX_VOLUME","1/1/2020","6/10/2026")</f>
        <v/>
      </c>
      <c r="DU3">
        <f>BDH("BBG01VNBHYC4 Equity","PX_LAST,PX_VOLUME","1/1/2020","6/10/2026")</f>
        <v/>
      </c>
      <c r="DY3">
        <f>BDH("BBG01VNBJ9S0 Equity","PX_LAST,PX_VOLUME","1/1/2020","6/10/2026")</f>
        <v/>
      </c>
      <c r="EC3">
        <f>BDH("BBG01VNBJDL8 Equity","PX_LAST,PX_VOLUME","1/1/2020","6/10/2026")</f>
        <v/>
      </c>
      <c r="EG3">
        <f>BDH("BBG01VNBHYZ9 Equity","PX_LAST,PX_VOLUME","1/1/2020","6/10/2026")</f>
        <v/>
      </c>
      <c r="EK3">
        <f>BDH("BBG01VRH9RP7 Equity","PX_LAST,PX_VOLUME","1/1/2020","6/10/2026")</f>
        <v/>
      </c>
      <c r="EO3">
        <f>BDH("BBG01VRH9SX6 Equity","PX_LAST,PX_VOLUME","1/1/2020","6/10/2026")</f>
        <v/>
      </c>
      <c r="ES3">
        <f>BDH("BBG01VPGRBS3 Equity","PX_LAST,PX_VOLUME","1/1/2020","6/10/2026")</f>
        <v/>
      </c>
      <c r="EW3">
        <f>BDH("BBG01VRH9V41 Equity","PX_LAST,PX_VOLUME","1/1/2020","6/10/2026")</f>
        <v/>
      </c>
      <c r="FA3">
        <f>BDH("BBG01VRH9S93 Equity","PX_LAST,PX_VOLUME","1/1/2020","6/10/2026")</f>
        <v/>
      </c>
      <c r="FE3">
        <f>BDH("BBG01VRH9TJ0 Equity","PX_LAST,PX_VOLUME","1/1/2020","6/10/2026")</f>
        <v/>
      </c>
      <c r="FI3">
        <f>BDH("BBG01SP0DR41 Equity","PX_LAST,PX_VOLUME","1/1/2020","6/10/2026")</f>
        <v/>
      </c>
      <c r="FM3">
        <f>BDH("BBG01SP0DSC0 Equity","PX_LAST,PX_VOLUME","1/1/2020","6/10/2026")</f>
        <v/>
      </c>
      <c r="FQ3">
        <f>BDH("BBG01SP0DRR6 Equity","PX_LAST,PX_VOLUME","1/1/2020","6/10/2026")</f>
        <v/>
      </c>
      <c r="FU3">
        <f>BDH("BBG01SP0FVB2 Equity","PX_LAST,PX_VOLUME","1/1/2020","6/10/2026")</f>
        <v/>
      </c>
      <c r="FY3">
        <f>BDH("BBG01S896B62 Equity","PX_LAST,PX_VOLUME","1/1/2020","6/10/2026")</f>
        <v/>
      </c>
      <c r="GC3">
        <f>BDH("BBG01S896HP8 Equity","PX_LAST,PX_VOLUME","1/1/2020","6/10/2026")</f>
        <v/>
      </c>
      <c r="GG3">
        <f>BDH("BBG01S896SF5 Equity","PX_LAST,PX_VOLUME","1/1/2020","6/10/2026")</f>
        <v/>
      </c>
      <c r="GK3">
        <f>BDH("BBG01S896BT7 Equity","PX_LAST,PX_VOLUME","1/1/2020","6/10/2026")</f>
        <v/>
      </c>
      <c r="GO3">
        <f>BDH("BBG01S896CF0 Equity","PX_LAST,PX_VOLUME","1/1/2020","6/10/2026")</f>
        <v/>
      </c>
      <c r="GS3">
        <f>BDH("BBG01S896R67 Equity","PX_LAST,PX_VOLUME","1/1/2020","6/10/2026")</f>
        <v/>
      </c>
      <c r="GW3">
        <f>BDH("BBG01S8974C0 Equity","PX_LAST,PX_VOLUME","1/1/2020","6/10/2026")</f>
        <v/>
      </c>
      <c r="HA3">
        <f>BDH("BBG01S896J92 Equity","PX_LAST,PX_VOLUME","1/1/2020","6/10/2026")</f>
        <v/>
      </c>
      <c r="HE3">
        <f>BDH("BBG01S8969L0 Equity","PX_LAST,PX_VOLUME","1/1/2020","6/10/2026")</f>
        <v/>
      </c>
      <c r="HI3">
        <f>BDH("BBG01S8976W3 Equity","PX_LAST,PX_VOLUME","1/1/2020","6/10/2026")</f>
        <v/>
      </c>
      <c r="HM3">
        <f>BDH("BBG01RVVHSR7 Equity","PX_LAST,PX_VOLUME","1/1/2020","6/10/2026")</f>
        <v/>
      </c>
      <c r="HQ3">
        <f>BDH("BBG01S896RT2 Equity","PX_LAST,PX_VOLUME","1/1/2020","6/10/2026")</f>
        <v/>
      </c>
      <c r="HU3">
        <f>BDH("BBG01S8973R6 Equity","PX_LAST,PX_VOLUME","1/1/2020","6/10/2026")</f>
        <v/>
      </c>
      <c r="HY3">
        <f>BDH("BBG01RTV0GF7 Equity","PX_LAST,PX_VOLUME","1/1/2020","6/10/2026")</f>
        <v/>
      </c>
      <c r="IC3">
        <f>BDH("BBG01RTV0696 Equity","PX_LAST,PX_VOLUME","1/1/2020","6/10/2026")</f>
        <v/>
      </c>
      <c r="IG3">
        <f>BDH("BBG01RTTZWF9 Equity","PX_LAST,PX_VOLUME","1/1/2020","6/10/2026")</f>
        <v/>
      </c>
      <c r="IK3">
        <f>BDH("BBG01RTV0WJ8 Equity","PX_LAST,PX_VOLUME","1/1/2020","6/10/2026")</f>
        <v/>
      </c>
      <c r="IO3">
        <f>BDH("BBG01RTV10K5 Equity","PX_LAST,PX_VOLUME","1/1/2020","6/10/2026")</f>
        <v/>
      </c>
      <c r="IS3">
        <f>BDH("BBG01RTV0VX4 Equity","PX_LAST,PX_VOLUME","1/1/2020","6/10/2026")</f>
        <v/>
      </c>
      <c r="IW3">
        <f>BDH("BBG01RTTZQ62 Equity","PX_LAST,PX_VOLUME","1/1/2020","6/10/2026")</f>
        <v/>
      </c>
      <c r="JA3">
        <f>BDH("BBG01RTTZX12 Equity","PX_LAST,PX_VOLUME","1/1/2020","6/10/2026")</f>
        <v/>
      </c>
      <c r="JE3">
        <f>BDH("BBG01RTTZVT6 Equity","PX_LAST,PX_VOLUME","1/1/2020","6/10/2026")</f>
        <v/>
      </c>
      <c r="JI3">
        <f>BDH("BBG01RTV0ZY4 Equity","PX_LAST,PX_VOLUME","1/1/2020","6/10/2026")</f>
        <v/>
      </c>
      <c r="JM3">
        <f>BDH("BBG01RTTZPL7 Equity","PX_LAST,PX_VOLUME","1/1/2020","6/10/2026")</f>
        <v/>
      </c>
      <c r="JQ3">
        <f>BDH("BBG01RTV05P0 Equity","PX_LAST,PX_VOLUME","1/1/2020","6/10/2026")</f>
        <v/>
      </c>
      <c r="JU3">
        <f>BDH("BBG01RTTZNZ7 Equity","PX_LAST,PX_VOLUME","1/1/2020","6/10/2026")</f>
        <v/>
      </c>
      <c r="JY3">
        <f>BDH("BBG01RTV03W7 Equity","PX_LAST,PX_VOLUME","1/1/2020","6/10/2026")</f>
        <v/>
      </c>
      <c r="KC3">
        <f>BDH("BBG01RTV11S5 Equity","PX_LAST,PX_VOLUME","1/1/2020","6/10/2026")</f>
        <v/>
      </c>
      <c r="KG3">
        <f>BDH("BBG01RTV06X9 Equity","PX_LAST,PX_VOLUME","1/1/2020","6/10/2026")</f>
        <v/>
      </c>
      <c r="KK3">
        <f>BDH("BBG01RTV0NW3 Equity","PX_LAST,PX_VOLUME","1/1/2020","6/10/2026")</f>
        <v/>
      </c>
      <c r="KO3">
        <f>BDH("BBG01RTTZXN8 Equity","PX_LAST,PX_VOLUME","1/1/2020","6/10/2026")</f>
        <v/>
      </c>
      <c r="KS3">
        <f>BDH("BBG01RTV1150 Equity","PX_LAST,PX_VOLUME","1/1/2020","6/10/2026")</f>
        <v/>
      </c>
      <c r="KW3">
        <f>BDH("BBG01RTV0ZB9 Equity","PX_LAST,PX_VOLUME","1/1/2020","6/10/2026")</f>
        <v/>
      </c>
      <c r="LA3">
        <f>BDH("BBG01RTV0PH5 Equity","PX_LAST,PX_VOLUME","1/1/2020","6/10/2026")</f>
        <v/>
      </c>
      <c r="LE3">
        <f>BDH("BBG01RVVLMR5 Equity","PX_LAST,PX_VOLUME","1/1/2020","6/10/2026")</f>
        <v/>
      </c>
      <c r="LI3">
        <f>BDH("BBG01WQQ0B16 Equity","PX_LAST,PX_VOLUME","1/1/2020","6/10/2026")</f>
        <v/>
      </c>
      <c r="LM3">
        <f>BDH("BBG01WQPZQ17 Equity","PX_LAST,PX_VOLUME","1/1/2020","6/10/2026")</f>
        <v/>
      </c>
      <c r="LQ3">
        <f>BDH("BBG01WQPW598 Equity","PX_LAST,PX_VOLUME","1/1/2020","6/10/2026")</f>
        <v/>
      </c>
      <c r="LU3">
        <f>BDH("BBG01WQPVMQ3 Equity","PX_LAST,PX_VOLUME","1/1/2020","6/10/2026")</f>
        <v/>
      </c>
      <c r="LY3">
        <f>BDH("BBG01WQPW6J5 Equity","PX_LAST,PX_VOLUME","1/1/2020","6/10/2026")</f>
        <v/>
      </c>
      <c r="MC3">
        <f>BDH("BBG01WQPWY13 Equity","PX_LAST,PX_VOLUME","1/1/2020","6/10/2026")</f>
        <v/>
      </c>
      <c r="MG3">
        <f>BDH("BBG01WQPZQN3 Equity","PX_LAST,PX_VOLUME","1/1/2020","6/10/2026")</f>
        <v/>
      </c>
      <c r="MK3">
        <f>BDH("BBG01WQPWW62 Equity","PX_LAST,PX_VOLUME","1/1/2020","6/10/2026")</f>
        <v/>
      </c>
      <c r="MO3">
        <f>BDH("BBG01WQPWVL7 Equity","PX_LAST,PX_VOLUME","1/1/2020","6/10/2026")</f>
        <v/>
      </c>
      <c r="MS3">
        <f>BDH("BBG01WQPVNB7 Equity","PX_LAST,PX_VOLUME","1/1/2020","6/10/2026")</f>
        <v/>
      </c>
      <c r="MW3">
        <f>BDH("BBG01WQQ09F6 Equity","PX_LAST,PX_VOLUME","1/1/2020","6/10/2026")</f>
        <v/>
      </c>
      <c r="NA3">
        <f>BDH("BBG01WQPZPF4 Equity","PX_LAST,PX_VOLUME","1/1/2020","6/10/2026")</f>
        <v/>
      </c>
      <c r="NE3">
        <f>BDH("BBG01XGXP366 Equity","PX_LAST,PX_VOLUME","1/1/2020","6/10/2026")</f>
        <v/>
      </c>
      <c r="NI3">
        <f>BDH("BBG01WQPW4P3 Equity","PX_LAST,PX_VOLUME","1/1/2020","6/10/2026")</f>
        <v/>
      </c>
      <c r="NM3">
        <f>BDH("BBG01XGXP4F4 Equity","PX_LAST,PX_VOLUME","1/1/2020","6/10/2026")</f>
        <v/>
      </c>
      <c r="NQ3">
        <f>BDH("BBG01WQPWXF0 Equity","PX_LAST,PX_VOLUME","1/1/2020","6/10/2026")</f>
        <v/>
      </c>
      <c r="NU3">
        <f>BDH("BBG01XGXP2L1 Equity","PX_LAST,PX_VOLUME","1/1/2020","6/10/2026")</f>
        <v/>
      </c>
      <c r="NY3">
        <f>BDH("BBG01WQPW5X1 Equity","PX_LAST,PX_VOLUME","1/1/2020","6/10/2026")</f>
        <v/>
      </c>
      <c r="OC3">
        <f>BDH("BBG01XGXP3T1 Equity","PX_LAST,PX_VOLUME","1/1/2020","6/10/2026")</f>
        <v/>
      </c>
      <c r="OG3">
        <f>BDH("BBG01WQPVPK2 Equity","PX_LAST,PX_VOLUME","1/1/2020","6/10/2026")</f>
        <v/>
      </c>
      <c r="OK3">
        <f>BDH("BBG01XGXP516 Equity","PX_LAST,PX_VOLUME","1/1/2020","6/10/2026")</f>
        <v/>
      </c>
      <c r="OO3">
        <f>BDH("BBG01WQPW428 Equity","PX_LAST,PX_VOLUME","1/1/2020","6/10/2026")</f>
        <v/>
      </c>
      <c r="OS3">
        <f>BDH("BBG01WQPWWT7 Equity","PX_LAST,PX_VOLUME","1/1/2020","6/10/2026")</f>
        <v/>
      </c>
      <c r="OW3">
        <f>BDH("BBG01WQPZR88 Equity","PX_LAST,PX_VOLUME","1/1/2020","6/10/2026")</f>
        <v/>
      </c>
      <c r="PA3">
        <f>BDH("BBG01WQPVNY2 Equity","PX_LAST,PX_VOLUME","1/1/2020","6/10/2026")</f>
        <v/>
      </c>
      <c r="PE3">
        <f>BDH("BBG01WQPZNT4 Equity","PX_LAST,PX_VOLUME","1/1/2020","6/10/2026")</f>
        <v/>
      </c>
      <c r="PI3">
        <f>BDH("BBG01WTJGCT0 Equity","PX_LAST,PX_VOLUME","1/1/2020","6/10/2026")</f>
        <v/>
      </c>
      <c r="PM3">
        <f>BDH("BBG01WY3W3K0 Equity","PX_LAST,PX_VOLUME","1/1/2020","6/10/2026")</f>
        <v/>
      </c>
      <c r="PQ3">
        <f>BDH("BBG01X7JMS74 Equity","PX_LAST,PX_VOLUME","1/1/2020","6/10/2026")</f>
        <v/>
      </c>
      <c r="PU3">
        <f>BDH("BBG01X7JMTG2 Equity","PX_LAST,PX_VOLUME","1/1/2020","6/10/2026")</f>
        <v/>
      </c>
      <c r="PY3">
        <f>BDH("BBG01X7JMSV7 Equity","PX_LAST,PX_VOLUME","1/1/2020","6/10/2026")</f>
        <v/>
      </c>
      <c r="QC3">
        <f>BDH("BBG01X7JMRM9 Equity","PX_LAST,PX_VOLUME","1/1/2020","6/10/2026")</f>
        <v/>
      </c>
      <c r="QG3">
        <f>BDH("BBG01X8X3555 Equity","PX_LAST,PX_VOLUME","1/1/2020","6/10/2026")</f>
        <v/>
      </c>
      <c r="QK3">
        <f>BDH("BBG01X8X3706 Equity","PX_LAST,PX_VOLUME","1/1/2020","6/10/2026")</f>
        <v/>
      </c>
      <c r="QO3">
        <f>BDH("BBG01X8X35S0 Equity","PX_LAST,PX_VOLUME","1/1/2020","6/10/2026")</f>
        <v/>
      </c>
      <c r="QS3">
        <f>BDH("BBG01X8X0YS0 Equity","PX_LAST,PX_VOLUME","1/1/2020","6/10/2026")</f>
        <v/>
      </c>
      <c r="QW3">
        <f>BDH("BBG01X8X36D4 Equity","PX_LAST,PX_VOLUME","1/1/2020","6/10/2026")</f>
        <v/>
      </c>
      <c r="RA3">
        <f>BDH("BBG01XF0TVX3 Equity","PX_LAST,PX_VOLUME","1/1/2020","6/10/2026")</f>
        <v/>
      </c>
      <c r="RE3">
        <f>BDH("BBG01XF0TS88 Equity","PX_LAST,PX_VOLUME","1/1/2020","6/10/2026")</f>
        <v/>
      </c>
      <c r="RI3">
        <f>BDH("BBG01XF0QZP6 Equity","PX_LAST,PX_VOLUME","1/1/2020","6/10/2026")</f>
        <v/>
      </c>
      <c r="RM3">
        <f>BDH("BBG01XF0R3J3 Equity","PX_LAST,PX_VOLUME","1/1/2020","6/10/2026")</f>
        <v/>
      </c>
      <c r="RQ3">
        <f>BDH("BBG01XF0V2K8 Equity","PX_LAST,PX_VOLUME","1/1/2020","6/10/2026")</f>
        <v/>
      </c>
      <c r="RU3">
        <f>BDH("BBG01XF0TYT2 Equity","PX_LAST,PX_VOLUME","1/1/2020","6/10/2026")</f>
        <v/>
      </c>
      <c r="RY3">
        <f>BDH("BBG01XF0R6F0 Equity","PX_LAST,PX_VOLUME","1/1/2020","6/10/2026")</f>
        <v/>
      </c>
      <c r="SC3">
        <f>BDH("BBG01XF0R562 Equity","PX_LAST,PX_VOLUME","1/1/2020","6/10/2026")</f>
        <v/>
      </c>
      <c r="SG3">
        <f>BDH("BBG01XF0R090 Equity","PX_LAST,PX_VOLUME","1/1/2020","6/10/2026")</f>
        <v/>
      </c>
      <c r="SK3">
        <f>BDH("BBG01XF0V1Y5 Equity","PX_LAST,PX_VOLUME","1/1/2020","6/10/2026")</f>
        <v/>
      </c>
      <c r="SO3">
        <f>BDH("BBG01XF0R5T7 Equity","PX_LAST,PX_VOLUME","1/1/2020","6/10/2026")</f>
        <v/>
      </c>
      <c r="SS3">
        <f>BDH("BBG01XF0R2X9 Equity","PX_LAST,PX_VOLUME","1/1/2020","6/10/2026")</f>
        <v/>
      </c>
      <c r="SW3">
        <f>BDH("BBG01XF0TY67 Equity","PX_LAST,PX_VOLUME","1/1/2020","6/10/2026")</f>
        <v/>
      </c>
      <c r="TA3">
        <f>BDH("BBG01XF0TV90 Equity","PX_LAST,PX_VOLUME","1/1/2020","6/10/2026")</f>
        <v/>
      </c>
      <c r="TE3">
        <f>BDH("BBG01XF0L979 Equity","PX_LAST,PX_VOLUME","1/1/2020","6/10/2026")</f>
        <v/>
      </c>
      <c r="TI3">
        <f>BDH("BBG01XF0L808 Equity","PX_LAST,PX_VOLUME","1/1/2020","6/10/2026")</f>
        <v/>
      </c>
      <c r="TM3">
        <f>BDH("BBG01XF0TWJ7 Equity","PX_LAST,PX_VOLUME","1/1/2020","6/10/2026")</f>
        <v/>
      </c>
      <c r="TQ3">
        <f>BDH("BBG01XF0TRN3 Equity","PX_LAST,PX_VOLUME","1/1/2020","6/10/2026")</f>
        <v/>
      </c>
      <c r="TU3">
        <f>BDH("BBG01XF0TR17 Equity","PX_LAST,PX_VOLUME","1/1/2020","6/10/2026")</f>
        <v/>
      </c>
      <c r="TY3">
        <f>BDH("BBG01XF0L8M4 Equity","PX_LAST,PX_VOLUME","1/1/2020","6/10/2026")</f>
        <v/>
      </c>
      <c r="UC3">
        <f>BDH("BBG01XF0L7D6 Equity","PX_LAST,PX_VOLUME","1/1/2020","6/10/2026")</f>
        <v/>
      </c>
      <c r="UG3">
        <f>BDH("BBG01XJXB6P0 Equity","PX_LAST,PX_VOLUME","1/1/2020","6/10/2026")</f>
        <v/>
      </c>
      <c r="UK3">
        <f>BDH("BBG01TL3ZTK1 Equity","PX_LAST,PX_VOLUME","1/1/2020","6/10/2026")</f>
        <v/>
      </c>
      <c r="UO3">
        <f>BDH("BBG01TL405P4 Equity","PX_LAST,PX_VOLUME","1/1/2020","6/10/2026")</f>
        <v/>
      </c>
      <c r="US3">
        <f>BDH("BBG01TL3ZV53 Equity","PX_LAST,PX_VOLUME","1/1/2020","6/10/2026")</f>
        <v/>
      </c>
      <c r="UW3">
        <f>BDH("BBG01TL41243 Equity","PX_LAST,PX_VOLUME","1/1/2020","6/10/2026")</f>
        <v/>
      </c>
      <c r="VA3">
        <f>BDH("BBG01TL3Z9T6 Equity","PX_LAST,PX_VOLUME","1/1/2020","6/10/2026")</f>
        <v/>
      </c>
      <c r="VE3">
        <f>BDH("BBG01TL40FM5 Equity","PX_LAST,PX_VOLUME","1/1/2020","6/10/2026")</f>
        <v/>
      </c>
      <c r="VI3">
        <f>BDH("BBG01TL40F09 Equity","PX_LAST,PX_VOLUME","1/1/2020","6/10/2026")</f>
        <v/>
      </c>
      <c r="VM3">
        <f>BDH("BBG01TL40M77 Equity","PX_LAST,PX_VOLUME","1/1/2020","6/10/2026")</f>
        <v/>
      </c>
      <c r="VQ3">
        <f>BDH("BBG01TL411J9 Equity","PX_LAST,PX_VOLUME","1/1/2020","6/10/2026")</f>
        <v/>
      </c>
      <c r="VU3">
        <f>BDH("BBG01TL410X5 Equity","PX_LAST,PX_VOLUME","1/1/2020","6/10/2026")</f>
        <v/>
      </c>
      <c r="VY3">
        <f>BDH("BBG01TL40NB0 Equity","PX_LAST,PX_VOLUME","1/1/2020","6/10/2026")</f>
        <v/>
      </c>
      <c r="WC3">
        <f>BDH("BBG01TL40529 Equity","PX_LAST,PX_VOLUME","1/1/2020","6/10/2026")</f>
        <v/>
      </c>
      <c r="WG3">
        <f>BDH("BBG01TL3ZVS8 Equity","PX_LAST,PX_VOLUME","1/1/2020","6/10/2026")</f>
        <v/>
      </c>
      <c r="WK3">
        <f>BDH("BBG01TL41BR8 Equity","PX_LAST,PX_VOLUME","1/1/2020","6/10/2026")</f>
        <v/>
      </c>
      <c r="WO3">
        <f>BDH("BBG01TL3ZBF6 Equity","PX_LAST,PX_VOLUME","1/1/2020","6/10/2026")</f>
        <v/>
      </c>
      <c r="WS3">
        <f>BDH("BBG01TL40DD0 Equity","PX_LAST,PX_VOLUME","1/1/2020","6/10/2026")</f>
        <v/>
      </c>
      <c r="WW3">
        <f>BDH("BBG01TL40MQ6 Equity","PX_LAST,PX_VOLUME","1/1/2020","6/10/2026")</f>
        <v/>
      </c>
      <c r="XA3">
        <f>BDH("BBG01TQYS5P3 Equity","PX_LAST,PX_VOLUME","1/1/2020","6/10/2026")</f>
        <v/>
      </c>
      <c r="XE3">
        <f>BDH("BBG01TQYS6X2 Equity","PX_LAST,PX_VOLUME","1/1/2020","6/10/2026")</f>
        <v/>
      </c>
      <c r="XI3">
        <f>BDH("BBG01TQYS699 Equity","PX_LAST,PX_VOLUME","1/1/2020","6/10/2026")</f>
        <v/>
      </c>
      <c r="XM3">
        <f>BDH("BBG01TQYS528 Equity","PX_LAST,PX_VOLUME","1/1/2020","6/10/2026")</f>
        <v/>
      </c>
      <c r="XQ3">
        <f>BDH("BBG01TYSWRV7 Equity","PX_LAST,PX_VOLUME","1/1/2020","6/10/2026")</f>
        <v/>
      </c>
      <c r="XU3">
        <f>BDH("BBG01TYSWR74 Equity","PX_LAST,PX_VOLUME","1/1/2020","6/10/2026")</f>
        <v/>
      </c>
      <c r="XY3">
        <f>BDH("BBG01TYSWSG2 Equity","PX_LAST,PX_VOLUME","1/1/2020","6/10/2026")</f>
        <v/>
      </c>
      <c r="YC3">
        <f>BDH("BBG01TYSWQM9 Equity","PX_LAST,PX_VOLUME","1/1/2020","6/10/2026")</f>
        <v/>
      </c>
      <c r="YG3">
        <f>BDH("BBG01TZ9PFK4 Equity","PX_LAST,PX_VOLUME","1/1/2020","6/10/2026")</f>
        <v/>
      </c>
      <c r="YK3">
        <f>BDH("BBG01TZ9PDY4 Equity","PX_LAST,PX_VOLUME","1/1/2020","6/10/2026")</f>
        <v/>
      </c>
      <c r="YO3">
        <f>BDH("BBG01TZ9PG59 Equity","PX_LAST,PX_VOLUME","1/1/2020","6/10/2026")</f>
        <v/>
      </c>
      <c r="YS3">
        <f>BDH("BBG01V55H745 Equity","PX_LAST,PX_VOLUME","1/1/2020","6/10/2026")</f>
        <v/>
      </c>
      <c r="YW3">
        <f>BDH("BBG01V1T19S4 Equity","PX_LAST,PX_VOLUME","1/1/2020","6/10/2026")</f>
        <v/>
      </c>
      <c r="ZA3">
        <f>BDH("BBG01V55H6J1 Equity","PX_LAST,PX_VOLUME","1/1/2020","6/10/2026")</f>
        <v/>
      </c>
      <c r="ZE3">
        <f>BDH("BBG01V8NGCG0 Equity","PX_LAST,PX_VOLUME","1/1/2020","6/10/2026")</f>
        <v/>
      </c>
      <c r="ZI3">
        <f>BDH("BBG01V8NG129 Equity","PX_LAST,PX_VOLUME","1/1/2020","6/10/2026")</f>
        <v/>
      </c>
      <c r="ZM3">
        <f>BDH("BBG01X8WZXK4 Equity","PX_LAST,PX_VOLUME","1/1/2020","6/10/2026")</f>
        <v/>
      </c>
      <c r="ZQ3">
        <f>BDH("BBG01JWHKL78 Equity","PX_LAST,PX_VOLUME","1/1/2020","6/10/2026")</f>
        <v/>
      </c>
      <c r="ZU3">
        <f>BDH("BBG01JWHKM67 Equity","PX_LAST,PX_VOLUME","1/1/2020","6/10/2026")</f>
        <v/>
      </c>
      <c r="ZY3">
        <f>BDH("BBG01JWHKN65 Equity","PX_LAST,PX_VOLUME","1/1/2020","6/10/2026")</f>
        <v/>
      </c>
      <c r="AAC3">
        <f>BDH("BBG01JWHKP51 Equity","PX_LAST,PX_VOLUME","1/1/2020","6/10/2026")</f>
        <v/>
      </c>
      <c r="AAG3">
        <f>BDH("BBG01J9FL420 Equity","PX_LAST,PX_VOLUME","1/1/2020","6/10/2026")</f>
        <v/>
      </c>
      <c r="AAK3">
        <f>BDH("BBG01Z0JYXS9 Equity","PX_LAST,PX_VOLUME","1/1/2020","6/10/2026")</f>
        <v/>
      </c>
      <c r="AAO3">
        <f>BDH("BBG01JWHKQ40 Equity","PX_LAST,PX_VOLUME","1/1/2020","6/10/2026")</f>
        <v/>
      </c>
      <c r="AAS3">
        <f>BDH("BBG01JWHKR39 Equity","PX_LAST,PX_VOLUME","1/1/2020","6/10/2026")</f>
        <v/>
      </c>
      <c r="AAW3">
        <f>BDH("BBG01JWHKS37 Equity","PX_LAST,PX_VOLUME","1/1/2020","6/10/2026")</f>
        <v/>
      </c>
      <c r="ABA3">
        <f>BDH("BBG01JWHKT26 Equity","PX_LAST,PX_VOLUME","1/1/2020","6/10/2026")</f>
        <v/>
      </c>
      <c r="ABE3">
        <f>BDH("BBG01J9FL518 Equity","PX_LAST,PX_VOLUME","1/1/2020","6/10/2026")</f>
        <v/>
      </c>
      <c r="ABI3">
        <f>BDH("BBG01Z0JXQZ7 Equity","PX_LAST,PX_VOLUME","1/1/2020","6/10/2026")</f>
        <v/>
      </c>
      <c r="ABM3">
        <f>BDH("BBG01JWHKV12 Equity","PX_LAST,PX_VOLUME","1/1/2020","6/10/2026")</f>
        <v/>
      </c>
      <c r="ABQ3">
        <f>BDH("BBG01Z0K2CX1 Equity","PX_LAST,PX_VOLUME","1/1/2020","6/10/2026")</f>
        <v/>
      </c>
      <c r="ABU3">
        <f>BDH("BBG01JWHKW10 Equity","PX_LAST,PX_VOLUME","1/1/2020","6/10/2026")</f>
        <v/>
      </c>
      <c r="ABY3">
        <f>BDH("BBG01Z0K2F46 Equity","PX_LAST,PX_VOLUME","1/1/2020","6/10/2026")</f>
        <v/>
      </c>
      <c r="ACC3">
        <f>BDH("BBG01JWHKX09 Equity","PX_LAST,PX_VOLUME","1/1/2020","6/10/2026")</f>
        <v/>
      </c>
      <c r="ACG3">
        <f>BDH("BBG01Z0K1BK8 Equity","PX_LAST,PX_VOLUME","1/1/2020","6/10/2026")</f>
        <v/>
      </c>
      <c r="ACK3">
        <f>BDH("BBG01J8XCZ32 Equity","PX_LAST,PX_VOLUME","1/1/2020","6/10/2026")</f>
        <v/>
      </c>
      <c r="ACO3">
        <f>BDH("BBG01Z0K1C53 Equity","PX_LAST,PX_VOLUME","1/1/2020","6/10/2026")</f>
        <v/>
      </c>
      <c r="ACS3">
        <f>BDH("BBG01J8XCZM1 Equity","PX_LAST,PX_VOLUME","1/1/2020","6/10/2026")</f>
        <v/>
      </c>
      <c r="ACW3">
        <f>BDH("BBG01Z0K1SS3 Equity","PX_LAST,PX_VOLUME","1/1/2020","6/10/2026")</f>
        <v/>
      </c>
      <c r="ADA3">
        <f>BDH("BBG01J8XD047 Equity","PX_LAST,PX_VOLUME","1/1/2020","6/10/2026")</f>
        <v/>
      </c>
      <c r="ADE3">
        <f>BDH("BBG01Z0JV4T5 Equity","PX_LAST,PX_VOLUME","1/1/2020","6/10/2026")</f>
        <v/>
      </c>
      <c r="ADI3">
        <f>BDH("BBG01J8XD0P4 Equity","PX_LAST,PX_VOLUME","1/1/2020","6/10/2026")</f>
        <v/>
      </c>
      <c r="ADM3">
        <f>BDH("BBG01Z76VKL8 Equity","PX_LAST,PX_VOLUME","1/1/2020","6/10/2026")</f>
        <v/>
      </c>
      <c r="ADQ3">
        <f>BDH("BBG01Z0K2FR1 Equity","PX_LAST,PX_VOLUME","1/1/2020","6/10/2026")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S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BBG01J8XD163 Equity (TSLL1 US 01/16/26 P17.43)</t>
        </is>
      </c>
      <c r="E1" t="inlineStr">
        <is>
          <t>BBG01Z76JF24 Equity (TSLL US 01/16/26 P17.5)</t>
        </is>
      </c>
      <c r="I1" t="inlineStr">
        <is>
          <t>BBG01Z0JYX54 Equity (TSLL US 01/16/26 P18)</t>
        </is>
      </c>
      <c r="M1" t="inlineStr">
        <is>
          <t>BBG01JWHKXZ1 Equity (TSLL1 US 01/16/26 P18.43)</t>
        </is>
      </c>
      <c r="Q1" t="inlineStr">
        <is>
          <t>BBG01Z76JDG4 Equity (TSLL US 01/16/26 P18.5)</t>
        </is>
      </c>
      <c r="U1" t="inlineStr">
        <is>
          <t>BBG01Z0JXRL0 Equity (TSLL US 01/16/26 P19)</t>
        </is>
      </c>
      <c r="Y1" t="inlineStr">
        <is>
          <t>BBG01J9FL616 Equity (TSLL1 US 01/16/26 P19.43)</t>
        </is>
      </c>
      <c r="AC1" t="inlineStr">
        <is>
          <t>BBG01Z76VLT8 Equity (TSLL US 01/16/26 P19.5)</t>
        </is>
      </c>
      <c r="AG1" t="inlineStr">
        <is>
          <t>BBG01Z0JXS65 Equity (TSLL US 01/16/26 P20)</t>
        </is>
      </c>
      <c r="AK1" t="inlineStr">
        <is>
          <t>BBG01JWHKYZ9 Equity (TSLL1 US 01/16/26 P20.43)</t>
        </is>
      </c>
      <c r="AO1" t="inlineStr">
        <is>
          <t>BBG01Z76VL63 Equity (TSLL US 01/16/26 P20.5)</t>
        </is>
      </c>
      <c r="AS1" t="inlineStr">
        <is>
          <t>BBG01Z0K2DJ5 Equity (TSLL US 01/16/26 P21)</t>
        </is>
      </c>
      <c r="AW1" t="inlineStr">
        <is>
          <t>BBG01JWHKZY7 Equity (TSLL1 US 01/16/26 P21.43)</t>
        </is>
      </c>
      <c r="BA1" t="inlineStr">
        <is>
          <t>BBG01Z76VN14 Equity (TSLL US 01/16/26 P21.5)</t>
        </is>
      </c>
      <c r="BE1" t="inlineStr">
        <is>
          <t>BBG01Z0JXY80 Equity (TSLL US 01/16/26 P22)</t>
        </is>
      </c>
      <c r="BI1" t="inlineStr">
        <is>
          <t>BBG01JWHL0X4 Equity (TSLL1 US 01/16/26 P22.43)</t>
        </is>
      </c>
      <c r="BM1" t="inlineStr">
        <is>
          <t>BBG01Z76VMF1 Equity (TSLL US 01/16/26 P22.5)</t>
        </is>
      </c>
      <c r="BQ1" t="inlineStr">
        <is>
          <t>BBG01Z0JXJY4 Equity (TSLL US 01/16/26 P23)</t>
        </is>
      </c>
      <c r="BU1" t="inlineStr">
        <is>
          <t>BBG01JWHL1X2 Equity (TSLL1 US 01/16/26 P23.43)</t>
        </is>
      </c>
      <c r="BY1" t="inlineStr">
        <is>
          <t>BBG01Z76JFP9 Equity (TSLL US 01/16/26 P23.5)</t>
        </is>
      </c>
      <c r="CC1" t="inlineStr">
        <is>
          <t>BBG01Z0K1RK3 Equity (TSLL US 01/16/26 P24)</t>
        </is>
      </c>
      <c r="CG1" t="inlineStr">
        <is>
          <t>BBG01J9FL705 Equity (TSLL1 US 01/16/26 P24.43)</t>
        </is>
      </c>
      <c r="CK1" t="inlineStr">
        <is>
          <t>BBG01Z0K1S58 Equity (TSLL US 01/16/26 P25)</t>
        </is>
      </c>
      <c r="CO1" t="inlineStr">
        <is>
          <t>BBG01Z0K22X3 Equity (TSLL US 01/16/26 P26)</t>
        </is>
      </c>
      <c r="CS1" t="inlineStr">
        <is>
          <t>BBG01VRH96B8 Equity (TSLL1 US 01/16/26 P26)</t>
        </is>
      </c>
      <c r="CW1" t="inlineStr">
        <is>
          <t>BBG01Z0JXYW3 Equity (TSLL US 01/16/26 P27)</t>
        </is>
      </c>
      <c r="DA1" t="inlineStr">
        <is>
          <t>BBG01V55GR60 Equity (TSLL1 US 01/16/26 P27)</t>
        </is>
      </c>
      <c r="DE1" t="inlineStr">
        <is>
          <t>BBG01Z0K1CS8 Equity (TSLL US 01/16/26 P28)</t>
        </is>
      </c>
      <c r="DI1" t="inlineStr">
        <is>
          <t>BBG01V55GPZ2 Equity (TSLL1 US 01/16/26 P28)</t>
        </is>
      </c>
      <c r="DM1" t="inlineStr">
        <is>
          <t>BBG01Z0JXKK6 Equity (TSLL US 01/16/26 P29)</t>
        </is>
      </c>
      <c r="DQ1" t="inlineStr">
        <is>
          <t>BBG01V55GPC7 Equity (TSLL1 US 01/16/26 P29)</t>
        </is>
      </c>
      <c r="DU1" t="inlineStr">
        <is>
          <t>BBG01J9FL7Z7 Equity (TSLL1 US 01/16/26 P29.43)</t>
        </is>
      </c>
      <c r="DY1" t="inlineStr">
        <is>
          <t>BBG01Z0K2290 Equity (TSLL US 01/16/26 P30)</t>
        </is>
      </c>
      <c r="EC1" t="inlineStr">
        <is>
          <t>BBG01V55GRT5 Equity (TSLL1 US 01/16/26 P30)</t>
        </is>
      </c>
      <c r="EG1" t="inlineStr">
        <is>
          <t>BBG01Z54DNT1 Equity (TSLL US 01/16/26 P31)</t>
        </is>
      </c>
      <c r="EK1" t="inlineStr">
        <is>
          <t>BBG01V55GQL5 Equity (TSLL1 US 01/16/26 P31)</t>
        </is>
      </c>
      <c r="EO1" t="inlineStr">
        <is>
          <t>BBG01Z54DQ14 Equity (TSLL US 01/16/26 P32)</t>
        </is>
      </c>
      <c r="ES1" t="inlineStr">
        <is>
          <t>BBG01X8WXJ18 Equity (TSLL1 US 01/16/26 P32)</t>
        </is>
      </c>
      <c r="EW1" t="inlineStr">
        <is>
          <t>BBG01Z548ST6 Equity (TSLL US 01/16/26 P33)</t>
        </is>
      </c>
      <c r="FA1" t="inlineStr">
        <is>
          <t>BBG01X8WXHF7 Equity (TSLL1 US 01/16/26 P33)</t>
        </is>
      </c>
      <c r="FE1" t="inlineStr">
        <is>
          <t>BBG01Z54DPF1 Equity (TSLL US 01/16/26 P34)</t>
        </is>
      </c>
      <c r="FI1" t="inlineStr">
        <is>
          <t>BBG01J9FL8Y6 Equity (TSLL1 US 01/16/26 P34.43)</t>
        </is>
      </c>
      <c r="FM1" t="inlineStr">
        <is>
          <t>BBG01R6BLCB6 Equity (TSLL1 US 01/16/26 P34.7)</t>
        </is>
      </c>
      <c r="FQ1" t="inlineStr">
        <is>
          <t>BBG01Z0JV5F7 Equity (TSLL US 01/16/26 P35)</t>
        </is>
      </c>
      <c r="FU1" t="inlineStr">
        <is>
          <t>BBG01R6BJ855 Equity (TSLL1 US 01/16/26 P35.7)</t>
        </is>
      </c>
      <c r="FY1" t="inlineStr">
        <is>
          <t>BBG01R6BLDK4 Equity (TSLL1 US 01/16/26 P36.7)</t>
        </is>
      </c>
      <c r="GC1" t="inlineStr">
        <is>
          <t>BBG01R6BLCY1 Equity (TSLL1 US 01/16/26 P37.7)</t>
        </is>
      </c>
      <c r="GG1" t="inlineStr">
        <is>
          <t>BBG01R6BLF56 Equity (TSLL1 US 01/16/26 P38.7)</t>
        </is>
      </c>
      <c r="GK1" t="inlineStr">
        <is>
          <t>BBG01R6BJFX8 Equity (TSLL1 US 01/16/26 P39.7)</t>
        </is>
      </c>
      <c r="GO1" t="inlineStr">
        <is>
          <t>BBG01R8RSRX5 Equity (TSLL1 US 01/16/26 P40)</t>
        </is>
      </c>
      <c r="GS1" t="inlineStr">
        <is>
          <t>BBG01R8RSQ21 Equity (TSLL1 US 01/16/26 P41)</t>
        </is>
      </c>
      <c r="GW1" t="inlineStr">
        <is>
          <t>BBG01R8RTG13 Equity (TSLL1 US 01/16/26 P42)</t>
        </is>
      </c>
      <c r="HA1" t="inlineStr">
        <is>
          <t>BBG01R8RTHW7 Equity (TSLL1 US 01/16/26 P43)</t>
        </is>
      </c>
      <c r="HE1" t="inlineStr">
        <is>
          <t>BBG01R8RSQP6 Equity (TSLL1 US 01/16/26 P44)</t>
        </is>
      </c>
      <c r="HI1" t="inlineStr">
        <is>
          <t>BBG01R8RTGN9 Equity (TSLL1 US 01/16/26 P45)</t>
        </is>
      </c>
      <c r="HM1" t="inlineStr">
        <is>
          <t>BBG01R8RTH84 Equity (TSLL1 US 01/16/26 P46)</t>
        </is>
      </c>
      <c r="HQ1" t="inlineStr">
        <is>
          <t>BBG01R8RSR92 Equity (TSLL1 US 01/16/26 P47)</t>
        </is>
      </c>
      <c r="HU1" t="inlineStr">
        <is>
          <t>BBG01R8RTFF0 Equity (TSLL1 US 01/16/26 P48)</t>
        </is>
      </c>
      <c r="HY1" t="inlineStr">
        <is>
          <t>BBG01R97Q586 Equity (TSLL1 US 01/16/26 P49)</t>
        </is>
      </c>
      <c r="IC1" t="inlineStr">
        <is>
          <t>BBG01R9PV1F1 Equity (TSLL1 US 01/16/26 P50)</t>
        </is>
      </c>
      <c r="IG1" t="inlineStr">
        <is>
          <t>BBG01R9PT4H6 Equity (TSLL1 US 01/16/26 P51)</t>
        </is>
      </c>
      <c r="IK1" t="inlineStr">
        <is>
          <t>BBG01R9PV0T8 Equity (TSLL1 US 01/16/26 P52)</t>
        </is>
      </c>
      <c r="IO1" t="inlineStr">
        <is>
          <t>BBG01R9PT538 Equity (TSLL1 US 01/16/26 P53)</t>
        </is>
      </c>
      <c r="IS1" t="inlineStr">
        <is>
          <t>BBG01R9PTY08 Equity (TSLL1 US 01/16/26 P54)</t>
        </is>
      </c>
      <c r="IW1" t="inlineStr">
        <is>
          <t>BBG01R9PT3W1 Equity (TSLL1 US 01/16/26 P55)</t>
        </is>
      </c>
      <c r="JA1" t="inlineStr">
        <is>
          <t>BBG01R9PTXD6 Equity (TSLL1 US 01/16/26 P56)</t>
        </is>
      </c>
      <c r="JE1" t="inlineStr">
        <is>
          <t>BBG01RB3B070 Equity (TSLL1 US 01/16/26 P57)</t>
        </is>
      </c>
      <c r="JI1" t="inlineStr">
        <is>
          <t>BBG01RB39BK4 Equity (TSLL1 US 01/16/26 P58)</t>
        </is>
      </c>
      <c r="JM1" t="inlineStr">
        <is>
          <t>BBG01RB3B0V3 Equity (TSLL1 US 01/16/26 P59)</t>
        </is>
      </c>
      <c r="JQ1" t="inlineStr">
        <is>
          <t>BBG01RB3B1G8 Equity (TSLL1 US 01/16/26 P60)</t>
        </is>
      </c>
      <c r="JU1" t="inlineStr">
        <is>
          <t>BBG01RB39C59 Equity (TSLL1 US 01/16/26 P61)</t>
        </is>
      </c>
      <c r="JY1" t="inlineStr">
        <is>
          <t>BBG01ZD3QL23 Equity (TSLL US 02/20/26 P10)</t>
        </is>
      </c>
      <c r="KC1" t="inlineStr">
        <is>
          <t>BBG01Z54GR64 Equity (TSLL US 02/20/26 P12)</t>
        </is>
      </c>
      <c r="KG1" t="inlineStr">
        <is>
          <t>BBG01Z54GSF2 Equity (TSLL US 02/20/26 P13)</t>
        </is>
      </c>
      <c r="KK1" t="inlineStr">
        <is>
          <t>BBG01Z54CBQ1 Equity (TSLL US 02/20/26 P14)</t>
        </is>
      </c>
      <c r="KO1" t="inlineStr">
        <is>
          <t>BBG01Z54GC30 Equity (TSLL US 02/20/26 P15)</t>
        </is>
      </c>
      <c r="KS1" t="inlineStr">
        <is>
          <t>BBG01Z54G4K9 Equity (TSLL US 02/20/26 P16)</t>
        </is>
      </c>
      <c r="KW1" t="inlineStr">
        <is>
          <t>BBG01Z54GT15 Equity (TSLL US 02/20/26 P17)</t>
        </is>
      </c>
      <c r="LA1" t="inlineStr">
        <is>
          <t>BBG01Z54C628 Equity (TSLL US 02/20/26 P18)</t>
        </is>
      </c>
      <c r="LE1" t="inlineStr">
        <is>
          <t>BBG01Z54GDB9 Equity (TSLL US 02/20/26 P19)</t>
        </is>
      </c>
      <c r="LI1" t="inlineStr">
        <is>
          <t>BBG01Z54BN77 Equity (TSLL US 02/20/26 P20)</t>
        </is>
      </c>
      <c r="LM1" t="inlineStr">
        <is>
          <t>BBG01Z54G3Y6 Equity (TSLL US 02/20/26 P21)</t>
        </is>
      </c>
      <c r="LQ1" t="inlineStr">
        <is>
          <t>BBG01Z54GRT9 Equity (TSLL US 02/20/26 P22)</t>
        </is>
      </c>
      <c r="LU1" t="inlineStr">
        <is>
          <t>BBG01Z54CCB5 Equity (TSLL US 02/20/26 P23)</t>
        </is>
      </c>
      <c r="LY1" t="inlineStr">
        <is>
          <t>BBG01Z54CCY0 Equity (TSLL US 02/20/26 P24)</t>
        </is>
      </c>
      <c r="MC1" t="inlineStr">
        <is>
          <t>BBG01Z54GBH7 Equity (TSLL US 02/20/26 P25)</t>
        </is>
      </c>
      <c r="MG1" t="inlineStr">
        <is>
          <t>BBG01Z54G553 Equity (TSLL US 02/20/26 P26)</t>
        </is>
      </c>
      <c r="MK1" t="inlineStr">
        <is>
          <t>BBG01Z54GTN1 Equity (TSLL US 02/20/26 P27)</t>
        </is>
      </c>
      <c r="MO1" t="inlineStr">
        <is>
          <t>BBG01Z54CDK3 Equity (TSLL US 02/20/26 P28)</t>
        </is>
      </c>
      <c r="MS1" t="inlineStr">
        <is>
          <t>BBG01Z54CB36 Equity (TSLL US 02/20/26 P29)</t>
        </is>
      </c>
      <c r="MW1" t="inlineStr">
        <is>
          <t>BBG01Z54BNV0 Equity (TSLL US 02/20/26 P30)</t>
        </is>
      </c>
      <c r="NA1" t="inlineStr">
        <is>
          <t>BBG01Z54GCQ5 Equity (TSLL US 02/20/26 P31)</t>
        </is>
      </c>
      <c r="NE1" t="inlineStr">
        <is>
          <t>BBG01Z54BZF1 Equity (TSLL US 02/20/26 P32)</t>
        </is>
      </c>
      <c r="NI1" t="inlineStr">
        <is>
          <t>BBG01W69RS47 Equity (TSLL1 US 03/20/26 P1)</t>
        </is>
      </c>
      <c r="NM1" t="inlineStr">
        <is>
          <t>BBG01W69TN64 Equity (TSLL1 US 03/20/26 P2)</t>
        </is>
      </c>
      <c r="NQ1" t="inlineStr">
        <is>
          <t>BBG01W69TKR7 Equity (TSLL1 US 03/20/26 P3)</t>
        </is>
      </c>
      <c r="NU1" t="inlineStr">
        <is>
          <t>BBG01W69T9S1 Equity (TSLL1 US 03/20/26 P4)</t>
        </is>
      </c>
      <c r="NY1" t="inlineStr">
        <is>
          <t>BBG01Z0KB1F5 Equity (TSLL US 03/20/26 P5)</t>
        </is>
      </c>
      <c r="OC1" t="inlineStr">
        <is>
          <t>BBG01W69S8V0 Equity (TSLL1 US 03/20/26 P5)</t>
        </is>
      </c>
      <c r="OG1" t="inlineStr">
        <is>
          <t>BBG01W69TLC1 Equity (TSLL1 US 03/20/26 P6)</t>
        </is>
      </c>
      <c r="OK1" t="inlineStr">
        <is>
          <t>BBG01W69TG32 Equity (TSLL1 US 03/20/26 P7)</t>
        </is>
      </c>
      <c r="OO1" t="inlineStr">
        <is>
          <t>BBG01W69SX72 Equity (TSLL1 US 03/20/26 P8)</t>
        </is>
      </c>
      <c r="OS1" t="inlineStr">
        <is>
          <t>BBG01W69T5N4 Equity (TSLL1 US 03/20/26 P9)</t>
        </is>
      </c>
      <c r="OW1" t="inlineStr">
        <is>
          <t>BBG01Z0KB5R3 Equity (TSLL US 03/20/26 P10)</t>
        </is>
      </c>
      <c r="PA1" t="inlineStr">
        <is>
          <t>BBG01W69T518 Equity (TSLL1 US 03/20/26 P10)</t>
        </is>
      </c>
      <c r="PE1" t="inlineStr">
        <is>
          <t>BBG01Z0KBJJ2 Equity (TSLL US 03/20/26 P11)</t>
        </is>
      </c>
      <c r="PI1" t="inlineStr">
        <is>
          <t>BBG01W69SVD9 Equity (TSLL1 US 03/20/26 P11)</t>
        </is>
      </c>
      <c r="PM1" t="inlineStr">
        <is>
          <t>BBG01Z0KBRP7 Equity (TSLL US 03/20/26 P12)</t>
        </is>
      </c>
      <c r="PQ1" t="inlineStr">
        <is>
          <t>BBG01W69TML9 Equity (TSLL1 US 03/20/26 P12)</t>
        </is>
      </c>
      <c r="PU1" t="inlineStr">
        <is>
          <t>BBG01Z0KB218 Equity (TSLL US 03/20/26 P13)</t>
        </is>
      </c>
      <c r="PY1" t="inlineStr">
        <is>
          <t>BBG01W69T4F6 Equity (TSLL1 US 03/20/26 P13)</t>
        </is>
      </c>
      <c r="QC1" t="inlineStr">
        <is>
          <t>BBG01Z0K63N8 Equity (TSLL US 03/20/26 P14)</t>
        </is>
      </c>
      <c r="QG1" t="inlineStr">
        <is>
          <t>BBG01W69TBD2 Equity (TSLL1 US 03/20/26 P14)</t>
        </is>
      </c>
      <c r="QK1" t="inlineStr">
        <is>
          <t>BBG01Z0K9ZL6 Equity (TSLL US 03/20/26 P15)</t>
        </is>
      </c>
      <c r="QO1" t="inlineStr">
        <is>
          <t>BBG01W69S877 Equity (TSLL1 US 03/20/26 P15)</t>
        </is>
      </c>
      <c r="QS1" t="inlineStr">
        <is>
          <t>BBG01Z0KBR22 Equity (TSLL US 03/20/26 P16)</t>
        </is>
      </c>
      <c r="QW1" t="inlineStr">
        <is>
          <t>BBG01W69TLZ6 Equity (TSLL1 US 03/20/26 P16)</t>
        </is>
      </c>
      <c r="RA1" t="inlineStr">
        <is>
          <t>BBG01Z0KBPV4 Equity (TSLL US 03/20/26 P17)</t>
        </is>
      </c>
      <c r="RE1" t="inlineStr">
        <is>
          <t>BBG01W69SWM7 Equity (TSLL1 US 03/20/26 P17)</t>
        </is>
      </c>
      <c r="RI1" t="inlineStr">
        <is>
          <t>BBG01Z0K6312 Equity (TSLL US 03/20/26 P18)</t>
        </is>
      </c>
      <c r="RM1" t="inlineStr">
        <is>
          <t>BBG01W69T956 Equity (TSLL1 US 03/20/26 P18)</t>
        </is>
      </c>
      <c r="RQ1" t="inlineStr">
        <is>
          <t>BBG01Z0KB7L5 Equity (TSLL US 03/20/26 P19)</t>
        </is>
      </c>
      <c r="RU1" t="inlineStr">
        <is>
          <t>BBG01W69T7Y8 Equity (TSLL1 US 03/20/26 P19)</t>
        </is>
      </c>
      <c r="RY1" t="inlineStr">
        <is>
          <t>BBG01Z0K62F9 Equity (TSLL US 03/20/26 P20)</t>
        </is>
      </c>
      <c r="SC1" t="inlineStr">
        <is>
          <t>BBG01W69T8K1 Equity (TSLL1 US 03/20/26 P20)</t>
        </is>
      </c>
      <c r="SG1" t="inlineStr">
        <is>
          <t>BBG01Z0K68Z4 Equity (TSLL US 03/20/26 P21)</t>
        </is>
      </c>
      <c r="SK1" t="inlineStr">
        <is>
          <t>BBG01W69SW01 Equity (TSLL1 US 03/20/26 P21)</t>
        </is>
      </c>
      <c r="SO1" t="inlineStr">
        <is>
          <t>BBG01Z0KBXR2 Equity (TSLL US 03/20/26 P22)</t>
        </is>
      </c>
      <c r="SS1" t="inlineStr">
        <is>
          <t>BBG01W89SCX7 Equity (TSLL1 US 03/20/26 P22)</t>
        </is>
      </c>
      <c r="SW1" t="inlineStr">
        <is>
          <t>BBG01Z0KB067 Equity (TSLL US 03/20/26 P23)</t>
        </is>
      </c>
      <c r="TA1" t="inlineStr">
        <is>
          <t>BBG01W89SC94 Equity (TSLL1 US 03/20/26 P23)</t>
        </is>
      </c>
      <c r="TE1" t="inlineStr">
        <is>
          <t>BBG01Z0KBHX0 Equity (TSLL US 03/20/26 P24)</t>
        </is>
      </c>
      <c r="TI1" t="inlineStr">
        <is>
          <t>BBG01W89SDJ1 Equity (TSLL1 US 03/20/26 P24)</t>
        </is>
      </c>
      <c r="TM1" t="inlineStr">
        <is>
          <t>BBG01Z0KB0T2 Equity (TSLL US 03/20/26 P25)</t>
        </is>
      </c>
      <c r="TQ1" t="inlineStr">
        <is>
          <t>BBG01WMX3953 Equity (TSLL1 US 03/20/26 P25)</t>
        </is>
      </c>
      <c r="TU1" t="inlineStr">
        <is>
          <t>BBG01Z0K6JH0 Equity (TSLL US 03/20/26 P26)</t>
        </is>
      </c>
      <c r="TY1" t="inlineStr">
        <is>
          <t>BBG01X7JQ730 Equity (TSLL1 US 03/20/26 P26)</t>
        </is>
      </c>
      <c r="UC1" t="inlineStr">
        <is>
          <t>BBG01Z0K69L7 Equity (TSLL US 03/20/26 P27)</t>
        </is>
      </c>
      <c r="UG1" t="inlineStr">
        <is>
          <t>BBG01X7JQ589 Equity (TSLL1 US 03/20/26 P27)</t>
        </is>
      </c>
      <c r="UK1" t="inlineStr">
        <is>
          <t>BBG01Z0KB6C7 Equity (TSLL US 03/20/26 P28)</t>
        </is>
      </c>
      <c r="UO1" t="inlineStr">
        <is>
          <t>BBG01X7JQ5W2 Equity (TSLL1 US 03/20/26 P28)</t>
        </is>
      </c>
      <c r="US1" t="inlineStr">
        <is>
          <t>BBG01Z0KB6Z2 Equity (TSLL US 03/20/26 P29)</t>
        </is>
      </c>
      <c r="UW1" t="inlineStr">
        <is>
          <t>BBG01X7JQ6H7 Equity (TSLL1 US 03/20/26 P29)</t>
        </is>
      </c>
      <c r="VA1" t="inlineStr">
        <is>
          <t>BBG01Z0KBQG9 Equity (TSLL US 03/20/26 P30)</t>
        </is>
      </c>
      <c r="VE1" t="inlineStr">
        <is>
          <t>BBG01X8X0DV2 Equity (TSLL1 US 03/20/26 P30)</t>
        </is>
      </c>
      <c r="VI1" t="inlineStr">
        <is>
          <t>BBG01Z54D5J1 Equity (TSLL US 03/20/26 P31)</t>
        </is>
      </c>
      <c r="VM1" t="inlineStr">
        <is>
          <t>BBG01X8X0FG4 Equity (TSLL1 US 03/20/26 P31)</t>
        </is>
      </c>
      <c r="VQ1" t="inlineStr">
        <is>
          <t>BBG01Z54D6R0 Equity (TSLL US 03/20/26 P32)</t>
        </is>
      </c>
      <c r="VU1" t="inlineStr">
        <is>
          <t>BBG01X8X3SY3 Equity (TSLL1 US 03/20/26 P32)</t>
        </is>
      </c>
      <c r="VY1" t="inlineStr">
        <is>
          <t>BBG01Z54D645 Equity (TSLL US 03/20/26 P33)</t>
        </is>
      </c>
      <c r="WC1" t="inlineStr">
        <is>
          <t>BBG01X8X3SB8 Equity (TSLL1 US 03/20/26 P33)</t>
        </is>
      </c>
      <c r="WG1" t="inlineStr">
        <is>
          <t>BBG01Z54D7C4 Equity (TSLL US 03/20/26 P34)</t>
        </is>
      </c>
      <c r="WK1" t="inlineStr">
        <is>
          <t>BBG01X8X3TK6 Equity (TSLL1 US 03/20/26 P34)</t>
        </is>
      </c>
      <c r="WO1" t="inlineStr">
        <is>
          <t>BBG01Z0JYQ40 Equity (TSLL US 03/20/26 P35)</t>
        </is>
      </c>
      <c r="WS1" t="inlineStr">
        <is>
          <t>BBG01YRRCPS6 Equity (TSLL1 US 03/20/26 P35)</t>
        </is>
      </c>
      <c r="WW1" t="inlineStr">
        <is>
          <t>BBG020LDC555 Equity (TSLL US 04/17/26 P1)</t>
        </is>
      </c>
      <c r="XA1" t="inlineStr">
        <is>
          <t>BBG020LDC3B3 Equity (TSLL US 04/17/26 P2)</t>
        </is>
      </c>
      <c r="XE1" t="inlineStr">
        <is>
          <t>BBG020LDC3Y8 Equity (TSLL US 04/17/26 P3)</t>
        </is>
      </c>
      <c r="XI1" t="inlineStr">
        <is>
          <t>BBG020LDC4K1 Equity (TSLL US 04/17/26 P4)</t>
        </is>
      </c>
      <c r="XM1" t="inlineStr">
        <is>
          <t>BBG020GWW9Z6 Equity (TSLL US 04/17/26 P5)</t>
        </is>
      </c>
      <c r="XQ1" t="inlineStr">
        <is>
          <t>BBG020GWZHT2 Equity (TSLL US 04/17/26 P6)</t>
        </is>
      </c>
      <c r="XU1" t="inlineStr">
        <is>
          <t>BBG020GWW7D4 Equity (TSLL US 04/17/26 P7)</t>
        </is>
      </c>
      <c r="XY1" t="inlineStr">
        <is>
          <t>BBG020GX05T4 Equity (TSLL US 04/17/26 P8)</t>
        </is>
      </c>
      <c r="YC1" t="inlineStr">
        <is>
          <t>BBG020GWZB88 Equity (TSLL US 04/17/26 P9)</t>
        </is>
      </c>
      <c r="YG1" t="inlineStr">
        <is>
          <t>BBG0216DRKT5 Equity (TSLL US 04/17/26 P9.5)</t>
        </is>
      </c>
      <c r="YK1" t="inlineStr">
        <is>
          <t>BBG020GWVD97 Equity (TSLL US 04/17/26 P10)</t>
        </is>
      </c>
      <c r="YO1" t="inlineStr">
        <is>
          <t>BBG0216DTT41 Equity (TSLL US 04/17/26 P10.5)</t>
        </is>
      </c>
      <c r="YS1" t="inlineStr">
        <is>
          <t>BBG020GWZJF3 Equity (TSLL US 04/17/26 P11)</t>
        </is>
      </c>
      <c r="YW1" t="inlineStr">
        <is>
          <t>BBG0216DTGT2 Equity (TSLL US 04/17/26 P11.5)</t>
        </is>
      </c>
      <c r="ZA1" t="inlineStr">
        <is>
          <t>BBG020GWZ910 Equity (TSLL US 04/17/26 P12)</t>
        </is>
      </c>
      <c r="ZE1" t="inlineStr">
        <is>
          <t>BBG0216DRM11 Equity (TSLL US 04/17/26 P12.5)</t>
        </is>
      </c>
      <c r="ZI1" t="inlineStr">
        <is>
          <t>BBG020GX03Z2 Equity (TSLL US 04/17/26 P13)</t>
        </is>
      </c>
      <c r="ZM1" t="inlineStr">
        <is>
          <t>BBG0216DRJL6 Equity (TSLL US 04/17/26 P13.5)</t>
        </is>
      </c>
      <c r="ZQ1" t="inlineStr">
        <is>
          <t>BBG020GX0569 Equity (TSLL US 04/17/26 P14)</t>
        </is>
      </c>
      <c r="ZU1" t="inlineStr">
        <is>
          <t>BBG0216DRLF8 Equity (TSLL US 04/17/26 P14.5)</t>
        </is>
      </c>
      <c r="ZY1" t="inlineStr">
        <is>
          <t>BBG020GWW9C1 Equity (TSLL US 04/17/26 P15)</t>
        </is>
      </c>
      <c r="AAC1" t="inlineStr">
        <is>
          <t>BBG0216DTDZ2 Equity (TSLL US 04/17/26 P15.5)</t>
        </is>
      </c>
      <c r="AAG1" t="inlineStr">
        <is>
          <t>BBG020GWW8R7 Equity (TSLL US 04/17/26 P16)</t>
        </is>
      </c>
      <c r="AAK1" t="inlineStr">
        <is>
          <t>BBG0216DRK60 Equity (TSLL US 04/17/26 P16.5)</t>
        </is>
      </c>
      <c r="AAO1" t="inlineStr">
        <is>
          <t>BBG020GWW6S0 Equity (TSLL US 04/17/26 P17)</t>
        </is>
      </c>
      <c r="AAS1" t="inlineStr">
        <is>
          <t>BBG0216DTG67 Equity (TSLL US 04/17/26 P17.5)</t>
        </is>
      </c>
      <c r="AAW1" t="inlineStr">
        <is>
          <t>BBG020GWVVS6 Equity (TSLL US 04/17/26 P18)</t>
        </is>
      </c>
      <c r="ABA1" t="inlineStr">
        <is>
          <t>BBG0216DTFL2 Equity (TSLL US 04/17/26 P18.5)</t>
        </is>
      </c>
      <c r="ABE1" t="inlineStr">
        <is>
          <t>BBG020GWZBW1 Equity (TSLL US 04/17/26 P19)</t>
        </is>
      </c>
      <c r="ABI1" t="inlineStr">
        <is>
          <t>BBG020GX03C7 Equity (TSLL US 04/17/26 P20)</t>
        </is>
      </c>
      <c r="ABM1" t="inlineStr">
        <is>
          <t>BBG020GWSVF4 Equity (TSLL US 04/17/26 P21)</t>
        </is>
      </c>
      <c r="ABQ1" t="inlineStr">
        <is>
          <t>BBG020GWZ9N6 Equity (TSLL US 04/17/26 P22)</t>
        </is>
      </c>
      <c r="ABU1" t="inlineStr">
        <is>
          <t>BBG020GX04L5 Equity (TSLL US 04/17/26 P23)</t>
        </is>
      </c>
      <c r="ABY1" t="inlineStr">
        <is>
          <t>BBG020GWWBL6 Equity (TSLL US 04/17/26 P24)</t>
        </is>
      </c>
      <c r="ACC1" t="inlineStr">
        <is>
          <t>BBG020GWZSV5 Equity (TSLL US 04/17/26 P25)</t>
        </is>
      </c>
      <c r="ACG1" t="inlineStr">
        <is>
          <t>BBG020GWZH67 Equity (TSLL US 04/17/26 P26)</t>
        </is>
      </c>
      <c r="ACK1" t="inlineStr">
        <is>
          <t>BBG0213H2XG2 Equity (TSLL US 05/15/26 P4)</t>
        </is>
      </c>
      <c r="ACO1" t="inlineStr">
        <is>
          <t>BBG0213H2YP0 Equity (TSLL US 05/15/26 P5)</t>
        </is>
      </c>
      <c r="ACS1" t="inlineStr">
        <is>
          <t>BBG0213GYD00 Equity (TSLL US 05/15/26 P6)</t>
        </is>
      </c>
      <c r="ACW1" t="inlineStr">
        <is>
          <t>BBG0213H2C23 Equity (TSLL US 05/15/26 P7)</t>
        </is>
      </c>
      <c r="ADA1" t="inlineStr">
        <is>
          <t>BBG0213H7JN0 Equity (TSLL US 05/15/26 P8)</t>
        </is>
      </c>
      <c r="ADE1" t="inlineStr">
        <is>
          <t>BBG0213H2ZX8 Equity (TSLL US 05/15/26 P9)</t>
        </is>
      </c>
      <c r="ADI1" t="inlineStr">
        <is>
          <t>BBG0213H2Y25 Equity (TSLL US 05/15/26 P10)</t>
        </is>
      </c>
      <c r="ADM1" t="inlineStr">
        <is>
          <t>BBG0213H7LP3 Equity (TSLL US 05/15/26 P11)</t>
        </is>
      </c>
      <c r="ADQ1" t="inlineStr">
        <is>
          <t>BBG0213H7HF3 Equity (TSLL US 05/15/26 P12)</t>
        </is>
      </c>
    </row>
    <row r="2">
      <c r="A2" t="inlineStr">
        <is>
          <t>Date</t>
        </is>
      </c>
      <c r="B2" t="inlineStr">
        <is>
          <t>PX_LAST</t>
        </is>
      </c>
      <c r="C2" t="inlineStr">
        <is>
          <t>PX_VOLUME</t>
        </is>
      </c>
      <c r="E2" t="inlineStr">
        <is>
          <t>Date</t>
        </is>
      </c>
      <c r="F2" t="inlineStr">
        <is>
          <t>PX_LAST</t>
        </is>
      </c>
      <c r="G2" t="inlineStr">
        <is>
          <t>PX_VOLUME</t>
        </is>
      </c>
      <c r="I2" t="inlineStr">
        <is>
          <t>Date</t>
        </is>
      </c>
      <c r="J2" t="inlineStr">
        <is>
          <t>PX_LAST</t>
        </is>
      </c>
      <c r="K2" t="inlineStr">
        <is>
          <t>PX_VOLUME</t>
        </is>
      </c>
      <c r="M2" t="inlineStr">
        <is>
          <t>Date</t>
        </is>
      </c>
      <c r="N2" t="inlineStr">
        <is>
          <t>PX_LAST</t>
        </is>
      </c>
      <c r="O2" t="inlineStr">
        <is>
          <t>PX_VOLUME</t>
        </is>
      </c>
      <c r="Q2" t="inlineStr">
        <is>
          <t>Date</t>
        </is>
      </c>
      <c r="R2" t="inlineStr">
        <is>
          <t>PX_LAST</t>
        </is>
      </c>
      <c r="S2" t="inlineStr">
        <is>
          <t>PX_VOLUME</t>
        </is>
      </c>
      <c r="U2" t="inlineStr">
        <is>
          <t>Date</t>
        </is>
      </c>
      <c r="V2" t="inlineStr">
        <is>
          <t>PX_LAST</t>
        </is>
      </c>
      <c r="W2" t="inlineStr">
        <is>
          <t>PX_VOLUME</t>
        </is>
      </c>
      <c r="Y2" t="inlineStr">
        <is>
          <t>Date</t>
        </is>
      </c>
      <c r="Z2" t="inlineStr">
        <is>
          <t>PX_LAST</t>
        </is>
      </c>
      <c r="AA2" t="inlineStr">
        <is>
          <t>PX_VOLUME</t>
        </is>
      </c>
      <c r="AC2" t="inlineStr">
        <is>
          <t>Date</t>
        </is>
      </c>
      <c r="AD2" t="inlineStr">
        <is>
          <t>PX_LAST</t>
        </is>
      </c>
      <c r="AE2" t="inlineStr">
        <is>
          <t>PX_VOLUME</t>
        </is>
      </c>
      <c r="AG2" t="inlineStr">
        <is>
          <t>Date</t>
        </is>
      </c>
      <c r="AH2" t="inlineStr">
        <is>
          <t>PX_LAST</t>
        </is>
      </c>
      <c r="AI2" t="inlineStr">
        <is>
          <t>PX_VOLUME</t>
        </is>
      </c>
      <c r="AK2" t="inlineStr">
        <is>
          <t>Date</t>
        </is>
      </c>
      <c r="AL2" t="inlineStr">
        <is>
          <t>PX_LAST</t>
        </is>
      </c>
      <c r="AM2" t="inlineStr">
        <is>
          <t>PX_VOLUME</t>
        </is>
      </c>
      <c r="AO2" t="inlineStr">
        <is>
          <t>Date</t>
        </is>
      </c>
      <c r="AP2" t="inlineStr">
        <is>
          <t>PX_LAST</t>
        </is>
      </c>
      <c r="AQ2" t="inlineStr">
        <is>
          <t>PX_VOLUME</t>
        </is>
      </c>
      <c r="AS2" t="inlineStr">
        <is>
          <t>Date</t>
        </is>
      </c>
      <c r="AT2" t="inlineStr">
        <is>
          <t>PX_LAST</t>
        </is>
      </c>
      <c r="AU2" t="inlineStr">
        <is>
          <t>PX_VOLUME</t>
        </is>
      </c>
      <c r="AW2" t="inlineStr">
        <is>
          <t>Date</t>
        </is>
      </c>
      <c r="AX2" t="inlineStr">
        <is>
          <t>PX_LAST</t>
        </is>
      </c>
      <c r="AY2" t="inlineStr">
        <is>
          <t>PX_VOLUME</t>
        </is>
      </c>
      <c r="BA2" t="inlineStr">
        <is>
          <t>Date</t>
        </is>
      </c>
      <c r="BB2" t="inlineStr">
        <is>
          <t>PX_LAST</t>
        </is>
      </c>
      <c r="BC2" t="inlineStr">
        <is>
          <t>PX_VOLUME</t>
        </is>
      </c>
      <c r="BE2" t="inlineStr">
        <is>
          <t>Date</t>
        </is>
      </c>
      <c r="BF2" t="inlineStr">
        <is>
          <t>PX_LAST</t>
        </is>
      </c>
      <c r="BG2" t="inlineStr">
        <is>
          <t>PX_VOLUME</t>
        </is>
      </c>
      <c r="BI2" t="inlineStr">
        <is>
          <t>Date</t>
        </is>
      </c>
      <c r="BJ2" t="inlineStr">
        <is>
          <t>PX_LAST</t>
        </is>
      </c>
      <c r="BK2" t="inlineStr">
        <is>
          <t>PX_VOLUME</t>
        </is>
      </c>
      <c r="BM2" t="inlineStr">
        <is>
          <t>Date</t>
        </is>
      </c>
      <c r="BN2" t="inlineStr">
        <is>
          <t>PX_LAST</t>
        </is>
      </c>
      <c r="BO2" t="inlineStr">
        <is>
          <t>PX_VOLUME</t>
        </is>
      </c>
      <c r="BQ2" t="inlineStr">
        <is>
          <t>Date</t>
        </is>
      </c>
      <c r="BR2" t="inlineStr">
        <is>
          <t>PX_LAST</t>
        </is>
      </c>
      <c r="BS2" t="inlineStr">
        <is>
          <t>PX_VOLUME</t>
        </is>
      </c>
      <c r="BU2" t="inlineStr">
        <is>
          <t>Date</t>
        </is>
      </c>
      <c r="BV2" t="inlineStr">
        <is>
          <t>PX_LAST</t>
        </is>
      </c>
      <c r="BW2" t="inlineStr">
        <is>
          <t>PX_VOLUME</t>
        </is>
      </c>
      <c r="BY2" t="inlineStr">
        <is>
          <t>Date</t>
        </is>
      </c>
      <c r="BZ2" t="inlineStr">
        <is>
          <t>PX_LAST</t>
        </is>
      </c>
      <c r="CA2" t="inlineStr">
        <is>
          <t>PX_VOLUME</t>
        </is>
      </c>
      <c r="CC2" t="inlineStr">
        <is>
          <t>Date</t>
        </is>
      </c>
      <c r="CD2" t="inlineStr">
        <is>
          <t>PX_LAST</t>
        </is>
      </c>
      <c r="CE2" t="inlineStr">
        <is>
          <t>PX_VOLUME</t>
        </is>
      </c>
      <c r="CG2" t="inlineStr">
        <is>
          <t>Date</t>
        </is>
      </c>
      <c r="CH2" t="inlineStr">
        <is>
          <t>PX_LAST</t>
        </is>
      </c>
      <c r="CI2" t="inlineStr">
        <is>
          <t>PX_VOLUME</t>
        </is>
      </c>
      <c r="CK2" t="inlineStr">
        <is>
          <t>Date</t>
        </is>
      </c>
      <c r="CL2" t="inlineStr">
        <is>
          <t>PX_LAST</t>
        </is>
      </c>
      <c r="CM2" t="inlineStr">
        <is>
          <t>PX_VOLUME</t>
        </is>
      </c>
      <c r="CO2" t="inlineStr">
        <is>
          <t>Date</t>
        </is>
      </c>
      <c r="CP2" t="inlineStr">
        <is>
          <t>PX_LAST</t>
        </is>
      </c>
      <c r="CQ2" t="inlineStr">
        <is>
          <t>PX_VOLUME</t>
        </is>
      </c>
      <c r="CS2" t="inlineStr">
        <is>
          <t>Date</t>
        </is>
      </c>
      <c r="CT2" t="inlineStr">
        <is>
          <t>PX_LAST</t>
        </is>
      </c>
      <c r="CU2" t="inlineStr">
        <is>
          <t>PX_VOLUME</t>
        </is>
      </c>
      <c r="CW2" t="inlineStr">
        <is>
          <t>Date</t>
        </is>
      </c>
      <c r="CX2" t="inlineStr">
        <is>
          <t>PX_LAST</t>
        </is>
      </c>
      <c r="CY2" t="inlineStr">
        <is>
          <t>PX_VOLUME</t>
        </is>
      </c>
      <c r="DA2" t="inlineStr">
        <is>
          <t>Date</t>
        </is>
      </c>
      <c r="DB2" t="inlineStr">
        <is>
          <t>PX_LAST</t>
        </is>
      </c>
      <c r="DC2" t="inlineStr">
        <is>
          <t>PX_VOLUME</t>
        </is>
      </c>
      <c r="DE2" t="inlineStr">
        <is>
          <t>Date</t>
        </is>
      </c>
      <c r="DF2" t="inlineStr">
        <is>
          <t>PX_LAST</t>
        </is>
      </c>
      <c r="DG2" t="inlineStr">
        <is>
          <t>PX_VOLUME</t>
        </is>
      </c>
      <c r="DI2" t="inlineStr">
        <is>
          <t>Date</t>
        </is>
      </c>
      <c r="DJ2" t="inlineStr">
        <is>
          <t>PX_LAST</t>
        </is>
      </c>
      <c r="DK2" t="inlineStr">
        <is>
          <t>PX_VOLUME</t>
        </is>
      </c>
      <c r="DM2" t="inlineStr">
        <is>
          <t>Date</t>
        </is>
      </c>
      <c r="DN2" t="inlineStr">
        <is>
          <t>PX_LAST</t>
        </is>
      </c>
      <c r="DO2" t="inlineStr">
        <is>
          <t>PX_VOLUME</t>
        </is>
      </c>
      <c r="DQ2" t="inlineStr">
        <is>
          <t>Date</t>
        </is>
      </c>
      <c r="DR2" t="inlineStr">
        <is>
          <t>PX_LAST</t>
        </is>
      </c>
      <c r="DS2" t="inlineStr">
        <is>
          <t>PX_VOLUME</t>
        </is>
      </c>
      <c r="DU2" t="inlineStr">
        <is>
          <t>Date</t>
        </is>
      </c>
      <c r="DV2" t="inlineStr">
        <is>
          <t>PX_LAST</t>
        </is>
      </c>
      <c r="DW2" t="inlineStr">
        <is>
          <t>PX_VOLUME</t>
        </is>
      </c>
      <c r="DY2" t="inlineStr">
        <is>
          <t>Date</t>
        </is>
      </c>
      <c r="DZ2" t="inlineStr">
        <is>
          <t>PX_LAST</t>
        </is>
      </c>
      <c r="EA2" t="inlineStr">
        <is>
          <t>PX_VOLUME</t>
        </is>
      </c>
      <c r="EC2" t="inlineStr">
        <is>
          <t>Date</t>
        </is>
      </c>
      <c r="ED2" t="inlineStr">
        <is>
          <t>PX_LAST</t>
        </is>
      </c>
      <c r="EE2" t="inlineStr">
        <is>
          <t>PX_VOLUME</t>
        </is>
      </c>
      <c r="EG2" t="inlineStr">
        <is>
          <t>Date</t>
        </is>
      </c>
      <c r="EH2" t="inlineStr">
        <is>
          <t>PX_LAST</t>
        </is>
      </c>
      <c r="EI2" t="inlineStr">
        <is>
          <t>PX_VOLUME</t>
        </is>
      </c>
      <c r="EK2" t="inlineStr">
        <is>
          <t>Date</t>
        </is>
      </c>
      <c r="EL2" t="inlineStr">
        <is>
          <t>PX_LAST</t>
        </is>
      </c>
      <c r="EM2" t="inlineStr">
        <is>
          <t>PX_VOLUME</t>
        </is>
      </c>
      <c r="EO2" t="inlineStr">
        <is>
          <t>Date</t>
        </is>
      </c>
      <c r="EP2" t="inlineStr">
        <is>
          <t>PX_LAST</t>
        </is>
      </c>
      <c r="EQ2" t="inlineStr">
        <is>
          <t>PX_VOLUME</t>
        </is>
      </c>
      <c r="ES2" t="inlineStr">
        <is>
          <t>Date</t>
        </is>
      </c>
      <c r="ET2" t="inlineStr">
        <is>
          <t>PX_LAST</t>
        </is>
      </c>
      <c r="EU2" t="inlineStr">
        <is>
          <t>PX_VOLUME</t>
        </is>
      </c>
      <c r="EW2" t="inlineStr">
        <is>
          <t>Date</t>
        </is>
      </c>
      <c r="EX2" t="inlineStr">
        <is>
          <t>PX_LAST</t>
        </is>
      </c>
      <c r="EY2" t="inlineStr">
        <is>
          <t>PX_VOLUME</t>
        </is>
      </c>
      <c r="FA2" t="inlineStr">
        <is>
          <t>Date</t>
        </is>
      </c>
      <c r="FB2" t="inlineStr">
        <is>
          <t>PX_LAST</t>
        </is>
      </c>
      <c r="FC2" t="inlineStr">
        <is>
          <t>PX_VOLUME</t>
        </is>
      </c>
      <c r="FE2" t="inlineStr">
        <is>
          <t>Date</t>
        </is>
      </c>
      <c r="FF2" t="inlineStr">
        <is>
          <t>PX_LAST</t>
        </is>
      </c>
      <c r="FG2" t="inlineStr">
        <is>
          <t>PX_VOLUME</t>
        </is>
      </c>
      <c r="FI2" t="inlineStr">
        <is>
          <t>Date</t>
        </is>
      </c>
      <c r="FJ2" t="inlineStr">
        <is>
          <t>PX_LAST</t>
        </is>
      </c>
      <c r="FK2" t="inlineStr">
        <is>
          <t>PX_VOLUME</t>
        </is>
      </c>
      <c r="FM2" t="inlineStr">
        <is>
          <t>Date</t>
        </is>
      </c>
      <c r="FN2" t="inlineStr">
        <is>
          <t>PX_LAST</t>
        </is>
      </c>
      <c r="FO2" t="inlineStr">
        <is>
          <t>PX_VOLUME</t>
        </is>
      </c>
      <c r="FQ2" t="inlineStr">
        <is>
          <t>Date</t>
        </is>
      </c>
      <c r="FR2" t="inlineStr">
        <is>
          <t>PX_LAST</t>
        </is>
      </c>
      <c r="FS2" t="inlineStr">
        <is>
          <t>PX_VOLUME</t>
        </is>
      </c>
      <c r="FU2" t="inlineStr">
        <is>
          <t>Date</t>
        </is>
      </c>
      <c r="FV2" t="inlineStr">
        <is>
          <t>PX_LAST</t>
        </is>
      </c>
      <c r="FW2" t="inlineStr">
        <is>
          <t>PX_VOLUME</t>
        </is>
      </c>
      <c r="FY2" t="inlineStr">
        <is>
          <t>Date</t>
        </is>
      </c>
      <c r="FZ2" t="inlineStr">
        <is>
          <t>PX_LAST</t>
        </is>
      </c>
      <c r="GA2" t="inlineStr">
        <is>
          <t>PX_VOLUME</t>
        </is>
      </c>
      <c r="GC2" t="inlineStr">
        <is>
          <t>Date</t>
        </is>
      </c>
      <c r="GD2" t="inlineStr">
        <is>
          <t>PX_LAST</t>
        </is>
      </c>
      <c r="GE2" t="inlineStr">
        <is>
          <t>PX_VOLUME</t>
        </is>
      </c>
      <c r="GG2" t="inlineStr">
        <is>
          <t>Date</t>
        </is>
      </c>
      <c r="GH2" t="inlineStr">
        <is>
          <t>PX_LAST</t>
        </is>
      </c>
      <c r="GI2" t="inlineStr">
        <is>
          <t>PX_VOLUME</t>
        </is>
      </c>
      <c r="GK2" t="inlineStr">
        <is>
          <t>Date</t>
        </is>
      </c>
      <c r="GL2" t="inlineStr">
        <is>
          <t>PX_LAST</t>
        </is>
      </c>
      <c r="GM2" t="inlineStr">
        <is>
          <t>PX_VOLUME</t>
        </is>
      </c>
      <c r="GO2" t="inlineStr">
        <is>
          <t>Date</t>
        </is>
      </c>
      <c r="GP2" t="inlineStr">
        <is>
          <t>PX_LAST</t>
        </is>
      </c>
      <c r="GQ2" t="inlineStr">
        <is>
          <t>PX_VOLUME</t>
        </is>
      </c>
      <c r="GS2" t="inlineStr">
        <is>
          <t>Date</t>
        </is>
      </c>
      <c r="GT2" t="inlineStr">
        <is>
          <t>PX_LAST</t>
        </is>
      </c>
      <c r="GU2" t="inlineStr">
        <is>
          <t>PX_VOLUME</t>
        </is>
      </c>
      <c r="GW2" t="inlineStr">
        <is>
          <t>Date</t>
        </is>
      </c>
      <c r="GX2" t="inlineStr">
        <is>
          <t>PX_LAST</t>
        </is>
      </c>
      <c r="GY2" t="inlineStr">
        <is>
          <t>PX_VOLUME</t>
        </is>
      </c>
      <c r="HA2" t="inlineStr">
        <is>
          <t>Date</t>
        </is>
      </c>
      <c r="HB2" t="inlineStr">
        <is>
          <t>PX_LAST</t>
        </is>
      </c>
      <c r="HC2" t="inlineStr">
        <is>
          <t>PX_VOLUME</t>
        </is>
      </c>
      <c r="HE2" t="inlineStr">
        <is>
          <t>Date</t>
        </is>
      </c>
      <c r="HF2" t="inlineStr">
        <is>
          <t>PX_LAST</t>
        </is>
      </c>
      <c r="HG2" t="inlineStr">
        <is>
          <t>PX_VOLUME</t>
        </is>
      </c>
      <c r="HI2" t="inlineStr">
        <is>
          <t>Date</t>
        </is>
      </c>
      <c r="HJ2" t="inlineStr">
        <is>
          <t>PX_LAST</t>
        </is>
      </c>
      <c r="HK2" t="inlineStr">
        <is>
          <t>PX_VOLUME</t>
        </is>
      </c>
      <c r="HM2" t="inlineStr">
        <is>
          <t>Date</t>
        </is>
      </c>
      <c r="HN2" t="inlineStr">
        <is>
          <t>PX_LAST</t>
        </is>
      </c>
      <c r="HO2" t="inlineStr">
        <is>
          <t>PX_VOLUME</t>
        </is>
      </c>
      <c r="HQ2" t="inlineStr">
        <is>
          <t>Date</t>
        </is>
      </c>
      <c r="HR2" t="inlineStr">
        <is>
          <t>PX_LAST</t>
        </is>
      </c>
      <c r="HS2" t="inlineStr">
        <is>
          <t>PX_VOLUME</t>
        </is>
      </c>
      <c r="HU2" t="inlineStr">
        <is>
          <t>Date</t>
        </is>
      </c>
      <c r="HV2" t="inlineStr">
        <is>
          <t>PX_LAST</t>
        </is>
      </c>
      <c r="HW2" t="inlineStr">
        <is>
          <t>PX_VOLUME</t>
        </is>
      </c>
      <c r="HY2" t="inlineStr">
        <is>
          <t>Date</t>
        </is>
      </c>
      <c r="HZ2" t="inlineStr">
        <is>
          <t>PX_LAST</t>
        </is>
      </c>
      <c r="IA2" t="inlineStr">
        <is>
          <t>PX_VOLUME</t>
        </is>
      </c>
      <c r="IC2" t="inlineStr">
        <is>
          <t>Date</t>
        </is>
      </c>
      <c r="ID2" t="inlineStr">
        <is>
          <t>PX_LAST</t>
        </is>
      </c>
      <c r="IE2" t="inlineStr">
        <is>
          <t>PX_VOLUME</t>
        </is>
      </c>
      <c r="IG2" t="inlineStr">
        <is>
          <t>Date</t>
        </is>
      </c>
      <c r="IH2" t="inlineStr">
        <is>
          <t>PX_LAST</t>
        </is>
      </c>
      <c r="II2" t="inlineStr">
        <is>
          <t>PX_VOLUME</t>
        </is>
      </c>
      <c r="IK2" t="inlineStr">
        <is>
          <t>Date</t>
        </is>
      </c>
      <c r="IL2" t="inlineStr">
        <is>
          <t>PX_LAST</t>
        </is>
      </c>
      <c r="IM2" t="inlineStr">
        <is>
          <t>PX_VOLUME</t>
        </is>
      </c>
      <c r="IO2" t="inlineStr">
        <is>
          <t>Date</t>
        </is>
      </c>
      <c r="IP2" t="inlineStr">
        <is>
          <t>PX_LAST</t>
        </is>
      </c>
      <c r="IQ2" t="inlineStr">
        <is>
          <t>PX_VOLUME</t>
        </is>
      </c>
      <c r="IS2" t="inlineStr">
        <is>
          <t>Date</t>
        </is>
      </c>
      <c r="IT2" t="inlineStr">
        <is>
          <t>PX_LAST</t>
        </is>
      </c>
      <c r="IU2" t="inlineStr">
        <is>
          <t>PX_VOLUME</t>
        </is>
      </c>
      <c r="IW2" t="inlineStr">
        <is>
          <t>Date</t>
        </is>
      </c>
      <c r="IX2" t="inlineStr">
        <is>
          <t>PX_LAST</t>
        </is>
      </c>
      <c r="IY2" t="inlineStr">
        <is>
          <t>PX_VOLUME</t>
        </is>
      </c>
      <c r="JA2" t="inlineStr">
        <is>
          <t>Date</t>
        </is>
      </c>
      <c r="JB2" t="inlineStr">
        <is>
          <t>PX_LAST</t>
        </is>
      </c>
      <c r="JC2" t="inlineStr">
        <is>
          <t>PX_VOLUME</t>
        </is>
      </c>
      <c r="JE2" t="inlineStr">
        <is>
          <t>Date</t>
        </is>
      </c>
      <c r="JF2" t="inlineStr">
        <is>
          <t>PX_LAST</t>
        </is>
      </c>
      <c r="JG2" t="inlineStr">
        <is>
          <t>PX_VOLUME</t>
        </is>
      </c>
      <c r="JI2" t="inlineStr">
        <is>
          <t>Date</t>
        </is>
      </c>
      <c r="JJ2" t="inlineStr">
        <is>
          <t>PX_LAST</t>
        </is>
      </c>
      <c r="JK2" t="inlineStr">
        <is>
          <t>PX_VOLUME</t>
        </is>
      </c>
      <c r="JM2" t="inlineStr">
        <is>
          <t>Date</t>
        </is>
      </c>
      <c r="JN2" t="inlineStr">
        <is>
          <t>PX_LAST</t>
        </is>
      </c>
      <c r="JO2" t="inlineStr">
        <is>
          <t>PX_VOLUME</t>
        </is>
      </c>
      <c r="JQ2" t="inlineStr">
        <is>
          <t>Date</t>
        </is>
      </c>
      <c r="JR2" t="inlineStr">
        <is>
          <t>PX_LAST</t>
        </is>
      </c>
      <c r="JS2" t="inlineStr">
        <is>
          <t>PX_VOLUME</t>
        </is>
      </c>
      <c r="JU2" t="inlineStr">
        <is>
          <t>Date</t>
        </is>
      </c>
      <c r="JV2" t="inlineStr">
        <is>
          <t>PX_LAST</t>
        </is>
      </c>
      <c r="JW2" t="inlineStr">
        <is>
          <t>PX_VOLUME</t>
        </is>
      </c>
      <c r="JY2" t="inlineStr">
        <is>
          <t>Date</t>
        </is>
      </c>
      <c r="JZ2" t="inlineStr">
        <is>
          <t>PX_LAST</t>
        </is>
      </c>
      <c r="KA2" t="inlineStr">
        <is>
          <t>PX_VOLUME</t>
        </is>
      </c>
      <c r="KC2" t="inlineStr">
        <is>
          <t>Date</t>
        </is>
      </c>
      <c r="KD2" t="inlineStr">
        <is>
          <t>PX_LAST</t>
        </is>
      </c>
      <c r="KE2" t="inlineStr">
        <is>
          <t>PX_VOLUME</t>
        </is>
      </c>
      <c r="KG2" t="inlineStr">
        <is>
          <t>Date</t>
        </is>
      </c>
      <c r="KH2" t="inlineStr">
        <is>
          <t>PX_LAST</t>
        </is>
      </c>
      <c r="KI2" t="inlineStr">
        <is>
          <t>PX_VOLUME</t>
        </is>
      </c>
      <c r="KK2" t="inlineStr">
        <is>
          <t>Date</t>
        </is>
      </c>
      <c r="KL2" t="inlineStr">
        <is>
          <t>PX_LAST</t>
        </is>
      </c>
      <c r="KM2" t="inlineStr">
        <is>
          <t>PX_VOLUME</t>
        </is>
      </c>
      <c r="KO2" t="inlineStr">
        <is>
          <t>Date</t>
        </is>
      </c>
      <c r="KP2" t="inlineStr">
        <is>
          <t>PX_LAST</t>
        </is>
      </c>
      <c r="KQ2" t="inlineStr">
        <is>
          <t>PX_VOLUME</t>
        </is>
      </c>
      <c r="KS2" t="inlineStr">
        <is>
          <t>Date</t>
        </is>
      </c>
      <c r="KT2" t="inlineStr">
        <is>
          <t>PX_LAST</t>
        </is>
      </c>
      <c r="KU2" t="inlineStr">
        <is>
          <t>PX_VOLUME</t>
        </is>
      </c>
      <c r="KW2" t="inlineStr">
        <is>
          <t>Date</t>
        </is>
      </c>
      <c r="KX2" t="inlineStr">
        <is>
          <t>PX_LAST</t>
        </is>
      </c>
      <c r="KY2" t="inlineStr">
        <is>
          <t>PX_VOLUME</t>
        </is>
      </c>
      <c r="LA2" t="inlineStr">
        <is>
          <t>Date</t>
        </is>
      </c>
      <c r="LB2" t="inlineStr">
        <is>
          <t>PX_LAST</t>
        </is>
      </c>
      <c r="LC2" t="inlineStr">
        <is>
          <t>PX_VOLUME</t>
        </is>
      </c>
      <c r="LE2" t="inlineStr">
        <is>
          <t>Date</t>
        </is>
      </c>
      <c r="LF2" t="inlineStr">
        <is>
          <t>PX_LAST</t>
        </is>
      </c>
      <c r="LG2" t="inlineStr">
        <is>
          <t>PX_VOLUME</t>
        </is>
      </c>
      <c r="LI2" t="inlineStr">
        <is>
          <t>Date</t>
        </is>
      </c>
      <c r="LJ2" t="inlineStr">
        <is>
          <t>PX_LAST</t>
        </is>
      </c>
      <c r="LK2" t="inlineStr">
        <is>
          <t>PX_VOLUME</t>
        </is>
      </c>
      <c r="LM2" t="inlineStr">
        <is>
          <t>Date</t>
        </is>
      </c>
      <c r="LN2" t="inlineStr">
        <is>
          <t>PX_LAST</t>
        </is>
      </c>
      <c r="LO2" t="inlineStr">
        <is>
          <t>PX_VOLUME</t>
        </is>
      </c>
      <c r="LQ2" t="inlineStr">
        <is>
          <t>Date</t>
        </is>
      </c>
      <c r="LR2" t="inlineStr">
        <is>
          <t>PX_LAST</t>
        </is>
      </c>
      <c r="LS2" t="inlineStr">
        <is>
          <t>PX_VOLUME</t>
        </is>
      </c>
      <c r="LU2" t="inlineStr">
        <is>
          <t>Date</t>
        </is>
      </c>
      <c r="LV2" t="inlineStr">
        <is>
          <t>PX_LAST</t>
        </is>
      </c>
      <c r="LW2" t="inlineStr">
        <is>
          <t>PX_VOLUME</t>
        </is>
      </c>
      <c r="LY2" t="inlineStr">
        <is>
          <t>Date</t>
        </is>
      </c>
      <c r="LZ2" t="inlineStr">
        <is>
          <t>PX_LAST</t>
        </is>
      </c>
      <c r="MA2" t="inlineStr">
        <is>
          <t>PX_VOLUME</t>
        </is>
      </c>
      <c r="MC2" t="inlineStr">
        <is>
          <t>Date</t>
        </is>
      </c>
      <c r="MD2" t="inlineStr">
        <is>
          <t>PX_LAST</t>
        </is>
      </c>
      <c r="ME2" t="inlineStr">
        <is>
          <t>PX_VOLUME</t>
        </is>
      </c>
      <c r="MG2" t="inlineStr">
        <is>
          <t>Date</t>
        </is>
      </c>
      <c r="MH2" t="inlineStr">
        <is>
          <t>PX_LAST</t>
        </is>
      </c>
      <c r="MI2" t="inlineStr">
        <is>
          <t>PX_VOLUME</t>
        </is>
      </c>
      <c r="MK2" t="inlineStr">
        <is>
          <t>Date</t>
        </is>
      </c>
      <c r="ML2" t="inlineStr">
        <is>
          <t>PX_LAST</t>
        </is>
      </c>
      <c r="MM2" t="inlineStr">
        <is>
          <t>PX_VOLUME</t>
        </is>
      </c>
      <c r="MO2" t="inlineStr">
        <is>
          <t>Date</t>
        </is>
      </c>
      <c r="MP2" t="inlineStr">
        <is>
          <t>PX_LAST</t>
        </is>
      </c>
      <c r="MQ2" t="inlineStr">
        <is>
          <t>PX_VOLUME</t>
        </is>
      </c>
      <c r="MS2" t="inlineStr">
        <is>
          <t>Date</t>
        </is>
      </c>
      <c r="MT2" t="inlineStr">
        <is>
          <t>PX_LAST</t>
        </is>
      </c>
      <c r="MU2" t="inlineStr">
        <is>
          <t>PX_VOLUME</t>
        </is>
      </c>
      <c r="MW2" t="inlineStr">
        <is>
          <t>Date</t>
        </is>
      </c>
      <c r="MX2" t="inlineStr">
        <is>
          <t>PX_LAST</t>
        </is>
      </c>
      <c r="MY2" t="inlineStr">
        <is>
          <t>PX_VOLUME</t>
        </is>
      </c>
      <c r="NA2" t="inlineStr">
        <is>
          <t>Date</t>
        </is>
      </c>
      <c r="NB2" t="inlineStr">
        <is>
          <t>PX_LAST</t>
        </is>
      </c>
      <c r="NC2" t="inlineStr">
        <is>
          <t>PX_VOLUME</t>
        </is>
      </c>
      <c r="NE2" t="inlineStr">
        <is>
          <t>Date</t>
        </is>
      </c>
      <c r="NF2" t="inlineStr">
        <is>
          <t>PX_LAST</t>
        </is>
      </c>
      <c r="NG2" t="inlineStr">
        <is>
          <t>PX_VOLUME</t>
        </is>
      </c>
      <c r="NI2" t="inlineStr">
        <is>
          <t>Date</t>
        </is>
      </c>
      <c r="NJ2" t="inlineStr">
        <is>
          <t>PX_LAST</t>
        </is>
      </c>
      <c r="NK2" t="inlineStr">
        <is>
          <t>PX_VOLUME</t>
        </is>
      </c>
      <c r="NM2" t="inlineStr">
        <is>
          <t>Date</t>
        </is>
      </c>
      <c r="NN2" t="inlineStr">
        <is>
          <t>PX_LAST</t>
        </is>
      </c>
      <c r="NO2" t="inlineStr">
        <is>
          <t>PX_VOLUME</t>
        </is>
      </c>
      <c r="NQ2" t="inlineStr">
        <is>
          <t>Date</t>
        </is>
      </c>
      <c r="NR2" t="inlineStr">
        <is>
          <t>PX_LAST</t>
        </is>
      </c>
      <c r="NS2" t="inlineStr">
        <is>
          <t>PX_VOLUME</t>
        </is>
      </c>
      <c r="NU2" t="inlineStr">
        <is>
          <t>Date</t>
        </is>
      </c>
      <c r="NV2" t="inlineStr">
        <is>
          <t>PX_LAST</t>
        </is>
      </c>
      <c r="NW2" t="inlineStr">
        <is>
          <t>PX_VOLUME</t>
        </is>
      </c>
      <c r="NY2" t="inlineStr">
        <is>
          <t>Date</t>
        </is>
      </c>
      <c r="NZ2" t="inlineStr">
        <is>
          <t>PX_LAST</t>
        </is>
      </c>
      <c r="OA2" t="inlineStr">
        <is>
          <t>PX_VOLUME</t>
        </is>
      </c>
      <c r="OC2" t="inlineStr">
        <is>
          <t>Date</t>
        </is>
      </c>
      <c r="OD2" t="inlineStr">
        <is>
          <t>PX_LAST</t>
        </is>
      </c>
      <c r="OE2" t="inlineStr">
        <is>
          <t>PX_VOLUME</t>
        </is>
      </c>
      <c r="OG2" t="inlineStr">
        <is>
          <t>Date</t>
        </is>
      </c>
      <c r="OH2" t="inlineStr">
        <is>
          <t>PX_LAST</t>
        </is>
      </c>
      <c r="OI2" t="inlineStr">
        <is>
          <t>PX_VOLUME</t>
        </is>
      </c>
      <c r="OK2" t="inlineStr">
        <is>
          <t>Date</t>
        </is>
      </c>
      <c r="OL2" t="inlineStr">
        <is>
          <t>PX_LAST</t>
        </is>
      </c>
      <c r="OM2" t="inlineStr">
        <is>
          <t>PX_VOLUME</t>
        </is>
      </c>
      <c r="OO2" t="inlineStr">
        <is>
          <t>Date</t>
        </is>
      </c>
      <c r="OP2" t="inlineStr">
        <is>
          <t>PX_LAST</t>
        </is>
      </c>
      <c r="OQ2" t="inlineStr">
        <is>
          <t>PX_VOLUME</t>
        </is>
      </c>
      <c r="OS2" t="inlineStr">
        <is>
          <t>Date</t>
        </is>
      </c>
      <c r="OT2" t="inlineStr">
        <is>
          <t>PX_LAST</t>
        </is>
      </c>
      <c r="OU2" t="inlineStr">
        <is>
          <t>PX_VOLUME</t>
        </is>
      </c>
      <c r="OW2" t="inlineStr">
        <is>
          <t>Date</t>
        </is>
      </c>
      <c r="OX2" t="inlineStr">
        <is>
          <t>PX_LAST</t>
        </is>
      </c>
      <c r="OY2" t="inlineStr">
        <is>
          <t>PX_VOLUME</t>
        </is>
      </c>
      <c r="PA2" t="inlineStr">
        <is>
          <t>Date</t>
        </is>
      </c>
      <c r="PB2" t="inlineStr">
        <is>
          <t>PX_LAST</t>
        </is>
      </c>
      <c r="PC2" t="inlineStr">
        <is>
          <t>PX_VOLUME</t>
        </is>
      </c>
      <c r="PE2" t="inlineStr">
        <is>
          <t>Date</t>
        </is>
      </c>
      <c r="PF2" t="inlineStr">
        <is>
          <t>PX_LAST</t>
        </is>
      </c>
      <c r="PG2" t="inlineStr">
        <is>
          <t>PX_VOLUME</t>
        </is>
      </c>
      <c r="PI2" t="inlineStr">
        <is>
          <t>Date</t>
        </is>
      </c>
      <c r="PJ2" t="inlineStr">
        <is>
          <t>PX_LAST</t>
        </is>
      </c>
      <c r="PK2" t="inlineStr">
        <is>
          <t>PX_VOLUME</t>
        </is>
      </c>
      <c r="PM2" t="inlineStr">
        <is>
          <t>Date</t>
        </is>
      </c>
      <c r="PN2" t="inlineStr">
        <is>
          <t>PX_LAST</t>
        </is>
      </c>
      <c r="PO2" t="inlineStr">
        <is>
          <t>PX_VOLUME</t>
        </is>
      </c>
      <c r="PQ2" t="inlineStr">
        <is>
          <t>Date</t>
        </is>
      </c>
      <c r="PR2" t="inlineStr">
        <is>
          <t>PX_LAST</t>
        </is>
      </c>
      <c r="PS2" t="inlineStr">
        <is>
          <t>PX_VOLUME</t>
        </is>
      </c>
      <c r="PU2" t="inlineStr">
        <is>
          <t>Date</t>
        </is>
      </c>
      <c r="PV2" t="inlineStr">
        <is>
          <t>PX_LAST</t>
        </is>
      </c>
      <c r="PW2" t="inlineStr">
        <is>
          <t>PX_VOLUME</t>
        </is>
      </c>
      <c r="PY2" t="inlineStr">
        <is>
          <t>Date</t>
        </is>
      </c>
      <c r="PZ2" t="inlineStr">
        <is>
          <t>PX_LAST</t>
        </is>
      </c>
      <c r="QA2" t="inlineStr">
        <is>
          <t>PX_VOLUME</t>
        </is>
      </c>
      <c r="QC2" t="inlineStr">
        <is>
          <t>Date</t>
        </is>
      </c>
      <c r="QD2" t="inlineStr">
        <is>
          <t>PX_LAST</t>
        </is>
      </c>
      <c r="QE2" t="inlineStr">
        <is>
          <t>PX_VOLUME</t>
        </is>
      </c>
      <c r="QG2" t="inlineStr">
        <is>
          <t>Date</t>
        </is>
      </c>
      <c r="QH2" t="inlineStr">
        <is>
          <t>PX_LAST</t>
        </is>
      </c>
      <c r="QI2" t="inlineStr">
        <is>
          <t>PX_VOLUME</t>
        </is>
      </c>
      <c r="QK2" t="inlineStr">
        <is>
          <t>Date</t>
        </is>
      </c>
      <c r="QL2" t="inlineStr">
        <is>
          <t>PX_LAST</t>
        </is>
      </c>
      <c r="QM2" t="inlineStr">
        <is>
          <t>PX_VOLUME</t>
        </is>
      </c>
      <c r="QO2" t="inlineStr">
        <is>
          <t>Date</t>
        </is>
      </c>
      <c r="QP2" t="inlineStr">
        <is>
          <t>PX_LAST</t>
        </is>
      </c>
      <c r="QQ2" t="inlineStr">
        <is>
          <t>PX_VOLUME</t>
        </is>
      </c>
      <c r="QS2" t="inlineStr">
        <is>
          <t>Date</t>
        </is>
      </c>
      <c r="QT2" t="inlineStr">
        <is>
          <t>PX_LAST</t>
        </is>
      </c>
      <c r="QU2" t="inlineStr">
        <is>
          <t>PX_VOLUME</t>
        </is>
      </c>
      <c r="QW2" t="inlineStr">
        <is>
          <t>Date</t>
        </is>
      </c>
      <c r="QX2" t="inlineStr">
        <is>
          <t>PX_LAST</t>
        </is>
      </c>
      <c r="QY2" t="inlineStr">
        <is>
          <t>PX_VOLUME</t>
        </is>
      </c>
      <c r="RA2" t="inlineStr">
        <is>
          <t>Date</t>
        </is>
      </c>
      <c r="RB2" t="inlineStr">
        <is>
          <t>PX_LAST</t>
        </is>
      </c>
      <c r="RC2" t="inlineStr">
        <is>
          <t>PX_VOLUME</t>
        </is>
      </c>
      <c r="RE2" t="inlineStr">
        <is>
          <t>Date</t>
        </is>
      </c>
      <c r="RF2" t="inlineStr">
        <is>
          <t>PX_LAST</t>
        </is>
      </c>
      <c r="RG2" t="inlineStr">
        <is>
          <t>PX_VOLUME</t>
        </is>
      </c>
      <c r="RI2" t="inlineStr">
        <is>
          <t>Date</t>
        </is>
      </c>
      <c r="RJ2" t="inlineStr">
        <is>
          <t>PX_LAST</t>
        </is>
      </c>
      <c r="RK2" t="inlineStr">
        <is>
          <t>PX_VOLUME</t>
        </is>
      </c>
      <c r="RM2" t="inlineStr">
        <is>
          <t>Date</t>
        </is>
      </c>
      <c r="RN2" t="inlineStr">
        <is>
          <t>PX_LAST</t>
        </is>
      </c>
      <c r="RO2" t="inlineStr">
        <is>
          <t>PX_VOLUME</t>
        </is>
      </c>
      <c r="RQ2" t="inlineStr">
        <is>
          <t>Date</t>
        </is>
      </c>
      <c r="RR2" t="inlineStr">
        <is>
          <t>PX_LAST</t>
        </is>
      </c>
      <c r="RS2" t="inlineStr">
        <is>
          <t>PX_VOLUME</t>
        </is>
      </c>
      <c r="RU2" t="inlineStr">
        <is>
          <t>Date</t>
        </is>
      </c>
      <c r="RV2" t="inlineStr">
        <is>
          <t>PX_LAST</t>
        </is>
      </c>
      <c r="RW2" t="inlineStr">
        <is>
          <t>PX_VOLUME</t>
        </is>
      </c>
      <c r="RY2" t="inlineStr">
        <is>
          <t>Date</t>
        </is>
      </c>
      <c r="RZ2" t="inlineStr">
        <is>
          <t>PX_LAST</t>
        </is>
      </c>
      <c r="SA2" t="inlineStr">
        <is>
          <t>PX_VOLUME</t>
        </is>
      </c>
      <c r="SC2" t="inlineStr">
        <is>
          <t>Date</t>
        </is>
      </c>
      <c r="SD2" t="inlineStr">
        <is>
          <t>PX_LAST</t>
        </is>
      </c>
      <c r="SE2" t="inlineStr">
        <is>
          <t>PX_VOLUME</t>
        </is>
      </c>
      <c r="SG2" t="inlineStr">
        <is>
          <t>Date</t>
        </is>
      </c>
      <c r="SH2" t="inlineStr">
        <is>
          <t>PX_LAST</t>
        </is>
      </c>
      <c r="SI2" t="inlineStr">
        <is>
          <t>PX_VOLUME</t>
        </is>
      </c>
      <c r="SK2" t="inlineStr">
        <is>
          <t>Date</t>
        </is>
      </c>
      <c r="SL2" t="inlineStr">
        <is>
          <t>PX_LAST</t>
        </is>
      </c>
      <c r="SM2" t="inlineStr">
        <is>
          <t>PX_VOLUME</t>
        </is>
      </c>
      <c r="SO2" t="inlineStr">
        <is>
          <t>Date</t>
        </is>
      </c>
      <c r="SP2" t="inlineStr">
        <is>
          <t>PX_LAST</t>
        </is>
      </c>
      <c r="SQ2" t="inlineStr">
        <is>
          <t>PX_VOLUME</t>
        </is>
      </c>
      <c r="SS2" t="inlineStr">
        <is>
          <t>Date</t>
        </is>
      </c>
      <c r="ST2" t="inlineStr">
        <is>
          <t>PX_LAST</t>
        </is>
      </c>
      <c r="SU2" t="inlineStr">
        <is>
          <t>PX_VOLUME</t>
        </is>
      </c>
      <c r="SW2" t="inlineStr">
        <is>
          <t>Date</t>
        </is>
      </c>
      <c r="SX2" t="inlineStr">
        <is>
          <t>PX_LAST</t>
        </is>
      </c>
      <c r="SY2" t="inlineStr">
        <is>
          <t>PX_VOLUME</t>
        </is>
      </c>
      <c r="TA2" t="inlineStr">
        <is>
          <t>Date</t>
        </is>
      </c>
      <c r="TB2" t="inlineStr">
        <is>
          <t>PX_LAST</t>
        </is>
      </c>
      <c r="TC2" t="inlineStr">
        <is>
          <t>PX_VOLUME</t>
        </is>
      </c>
      <c r="TE2" t="inlineStr">
        <is>
          <t>Date</t>
        </is>
      </c>
      <c r="TF2" t="inlineStr">
        <is>
          <t>PX_LAST</t>
        </is>
      </c>
      <c r="TG2" t="inlineStr">
        <is>
          <t>PX_VOLUME</t>
        </is>
      </c>
      <c r="TI2" t="inlineStr">
        <is>
          <t>Date</t>
        </is>
      </c>
      <c r="TJ2" t="inlineStr">
        <is>
          <t>PX_LAST</t>
        </is>
      </c>
      <c r="TK2" t="inlineStr">
        <is>
          <t>PX_VOLUME</t>
        </is>
      </c>
      <c r="TM2" t="inlineStr">
        <is>
          <t>Date</t>
        </is>
      </c>
      <c r="TN2" t="inlineStr">
        <is>
          <t>PX_LAST</t>
        </is>
      </c>
      <c r="TO2" t="inlineStr">
        <is>
          <t>PX_VOLUME</t>
        </is>
      </c>
      <c r="TQ2" t="inlineStr">
        <is>
          <t>Date</t>
        </is>
      </c>
      <c r="TR2" t="inlineStr">
        <is>
          <t>PX_LAST</t>
        </is>
      </c>
      <c r="TS2" t="inlineStr">
        <is>
          <t>PX_VOLUME</t>
        </is>
      </c>
      <c r="TU2" t="inlineStr">
        <is>
          <t>Date</t>
        </is>
      </c>
      <c r="TV2" t="inlineStr">
        <is>
          <t>PX_LAST</t>
        </is>
      </c>
      <c r="TW2" t="inlineStr">
        <is>
          <t>PX_VOLUME</t>
        </is>
      </c>
      <c r="TY2" t="inlineStr">
        <is>
          <t>Date</t>
        </is>
      </c>
      <c r="TZ2" t="inlineStr">
        <is>
          <t>PX_LAST</t>
        </is>
      </c>
      <c r="UA2" t="inlineStr">
        <is>
          <t>PX_VOLUME</t>
        </is>
      </c>
      <c r="UC2" t="inlineStr">
        <is>
          <t>Date</t>
        </is>
      </c>
      <c r="UD2" t="inlineStr">
        <is>
          <t>PX_LAST</t>
        </is>
      </c>
      <c r="UE2" t="inlineStr">
        <is>
          <t>PX_VOLUME</t>
        </is>
      </c>
      <c r="UG2" t="inlineStr">
        <is>
          <t>Date</t>
        </is>
      </c>
      <c r="UH2" t="inlineStr">
        <is>
          <t>PX_LAST</t>
        </is>
      </c>
      <c r="UI2" t="inlineStr">
        <is>
          <t>PX_VOLUME</t>
        </is>
      </c>
      <c r="UK2" t="inlineStr">
        <is>
          <t>Date</t>
        </is>
      </c>
      <c r="UL2" t="inlineStr">
        <is>
          <t>PX_LAST</t>
        </is>
      </c>
      <c r="UM2" t="inlineStr">
        <is>
          <t>PX_VOLUME</t>
        </is>
      </c>
      <c r="UO2" t="inlineStr">
        <is>
          <t>Date</t>
        </is>
      </c>
      <c r="UP2" t="inlineStr">
        <is>
          <t>PX_LAST</t>
        </is>
      </c>
      <c r="UQ2" t="inlineStr">
        <is>
          <t>PX_VOLUME</t>
        </is>
      </c>
      <c r="US2" t="inlineStr">
        <is>
          <t>Date</t>
        </is>
      </c>
      <c r="UT2" t="inlineStr">
        <is>
          <t>PX_LAST</t>
        </is>
      </c>
      <c r="UU2" t="inlineStr">
        <is>
          <t>PX_VOLUME</t>
        </is>
      </c>
      <c r="UW2" t="inlineStr">
        <is>
          <t>Date</t>
        </is>
      </c>
      <c r="UX2" t="inlineStr">
        <is>
          <t>PX_LAST</t>
        </is>
      </c>
      <c r="UY2" t="inlineStr">
        <is>
          <t>PX_VOLUME</t>
        </is>
      </c>
      <c r="VA2" t="inlineStr">
        <is>
          <t>Date</t>
        </is>
      </c>
      <c r="VB2" t="inlineStr">
        <is>
          <t>PX_LAST</t>
        </is>
      </c>
      <c r="VC2" t="inlineStr">
        <is>
          <t>PX_VOLUME</t>
        </is>
      </c>
      <c r="VE2" t="inlineStr">
        <is>
          <t>Date</t>
        </is>
      </c>
      <c r="VF2" t="inlineStr">
        <is>
          <t>PX_LAST</t>
        </is>
      </c>
      <c r="VG2" t="inlineStr">
        <is>
          <t>PX_VOLUME</t>
        </is>
      </c>
      <c r="VI2" t="inlineStr">
        <is>
          <t>Date</t>
        </is>
      </c>
      <c r="VJ2" t="inlineStr">
        <is>
          <t>PX_LAST</t>
        </is>
      </c>
      <c r="VK2" t="inlineStr">
        <is>
          <t>PX_VOLUME</t>
        </is>
      </c>
      <c r="VM2" t="inlineStr">
        <is>
          <t>Date</t>
        </is>
      </c>
      <c r="VN2" t="inlineStr">
        <is>
          <t>PX_LAST</t>
        </is>
      </c>
      <c r="VO2" t="inlineStr">
        <is>
          <t>PX_VOLUME</t>
        </is>
      </c>
      <c r="VQ2" t="inlineStr">
        <is>
          <t>Date</t>
        </is>
      </c>
      <c r="VR2" t="inlineStr">
        <is>
          <t>PX_LAST</t>
        </is>
      </c>
      <c r="VS2" t="inlineStr">
        <is>
          <t>PX_VOLUME</t>
        </is>
      </c>
      <c r="VU2" t="inlineStr">
        <is>
          <t>Date</t>
        </is>
      </c>
      <c r="VV2" t="inlineStr">
        <is>
          <t>PX_LAST</t>
        </is>
      </c>
      <c r="VW2" t="inlineStr">
        <is>
          <t>PX_VOLUME</t>
        </is>
      </c>
      <c r="VY2" t="inlineStr">
        <is>
          <t>Date</t>
        </is>
      </c>
      <c r="VZ2" t="inlineStr">
        <is>
          <t>PX_LAST</t>
        </is>
      </c>
      <c r="WA2" t="inlineStr">
        <is>
          <t>PX_VOLUME</t>
        </is>
      </c>
      <c r="WC2" t="inlineStr">
        <is>
          <t>Date</t>
        </is>
      </c>
      <c r="WD2" t="inlineStr">
        <is>
          <t>PX_LAST</t>
        </is>
      </c>
      <c r="WE2" t="inlineStr">
        <is>
          <t>PX_VOLUME</t>
        </is>
      </c>
      <c r="WG2" t="inlineStr">
        <is>
          <t>Date</t>
        </is>
      </c>
      <c r="WH2" t="inlineStr">
        <is>
          <t>PX_LAST</t>
        </is>
      </c>
      <c r="WI2" t="inlineStr">
        <is>
          <t>PX_VOLUME</t>
        </is>
      </c>
      <c r="WK2" t="inlineStr">
        <is>
          <t>Date</t>
        </is>
      </c>
      <c r="WL2" t="inlineStr">
        <is>
          <t>PX_LAST</t>
        </is>
      </c>
      <c r="WM2" t="inlineStr">
        <is>
          <t>PX_VOLUME</t>
        </is>
      </c>
      <c r="WO2" t="inlineStr">
        <is>
          <t>Date</t>
        </is>
      </c>
      <c r="WP2" t="inlineStr">
        <is>
          <t>PX_LAST</t>
        </is>
      </c>
      <c r="WQ2" t="inlineStr">
        <is>
          <t>PX_VOLUME</t>
        </is>
      </c>
      <c r="WS2" t="inlineStr">
        <is>
          <t>Date</t>
        </is>
      </c>
      <c r="WT2" t="inlineStr">
        <is>
          <t>PX_LAST</t>
        </is>
      </c>
      <c r="WU2" t="inlineStr">
        <is>
          <t>PX_VOLUME</t>
        </is>
      </c>
      <c r="WW2" t="inlineStr">
        <is>
          <t>Date</t>
        </is>
      </c>
      <c r="WX2" t="inlineStr">
        <is>
          <t>PX_LAST</t>
        </is>
      </c>
      <c r="WY2" t="inlineStr">
        <is>
          <t>PX_VOLUME</t>
        </is>
      </c>
      <c r="XA2" t="inlineStr">
        <is>
          <t>Date</t>
        </is>
      </c>
      <c r="XB2" t="inlineStr">
        <is>
          <t>PX_LAST</t>
        </is>
      </c>
      <c r="XC2" t="inlineStr">
        <is>
          <t>PX_VOLUME</t>
        </is>
      </c>
      <c r="XE2" t="inlineStr">
        <is>
          <t>Date</t>
        </is>
      </c>
      <c r="XF2" t="inlineStr">
        <is>
          <t>PX_LAST</t>
        </is>
      </c>
      <c r="XG2" t="inlineStr">
        <is>
          <t>PX_VOLUME</t>
        </is>
      </c>
      <c r="XI2" t="inlineStr">
        <is>
          <t>Date</t>
        </is>
      </c>
      <c r="XJ2" t="inlineStr">
        <is>
          <t>PX_LAST</t>
        </is>
      </c>
      <c r="XK2" t="inlineStr">
        <is>
          <t>PX_VOLUME</t>
        </is>
      </c>
      <c r="XM2" t="inlineStr">
        <is>
          <t>Date</t>
        </is>
      </c>
      <c r="XN2" t="inlineStr">
        <is>
          <t>PX_LAST</t>
        </is>
      </c>
      <c r="XO2" t="inlineStr">
        <is>
          <t>PX_VOLUME</t>
        </is>
      </c>
      <c r="XQ2" t="inlineStr">
        <is>
          <t>Date</t>
        </is>
      </c>
      <c r="XR2" t="inlineStr">
        <is>
          <t>PX_LAST</t>
        </is>
      </c>
      <c r="XS2" t="inlineStr">
        <is>
          <t>PX_VOLUME</t>
        </is>
      </c>
      <c r="XU2" t="inlineStr">
        <is>
          <t>Date</t>
        </is>
      </c>
      <c r="XV2" t="inlineStr">
        <is>
          <t>PX_LAST</t>
        </is>
      </c>
      <c r="XW2" t="inlineStr">
        <is>
          <t>PX_VOLUME</t>
        </is>
      </c>
      <c r="XY2" t="inlineStr">
        <is>
          <t>Date</t>
        </is>
      </c>
      <c r="XZ2" t="inlineStr">
        <is>
          <t>PX_LAST</t>
        </is>
      </c>
      <c r="YA2" t="inlineStr">
        <is>
          <t>PX_VOLUME</t>
        </is>
      </c>
      <c r="YC2" t="inlineStr">
        <is>
          <t>Date</t>
        </is>
      </c>
      <c r="YD2" t="inlineStr">
        <is>
          <t>PX_LAST</t>
        </is>
      </c>
      <c r="YE2" t="inlineStr">
        <is>
          <t>PX_VOLUME</t>
        </is>
      </c>
      <c r="YG2" t="inlineStr">
        <is>
          <t>Date</t>
        </is>
      </c>
      <c r="YH2" t="inlineStr">
        <is>
          <t>PX_LAST</t>
        </is>
      </c>
      <c r="YI2" t="inlineStr">
        <is>
          <t>PX_VOLUME</t>
        </is>
      </c>
      <c r="YK2" t="inlineStr">
        <is>
          <t>Date</t>
        </is>
      </c>
      <c r="YL2" t="inlineStr">
        <is>
          <t>PX_LAST</t>
        </is>
      </c>
      <c r="YM2" t="inlineStr">
        <is>
          <t>PX_VOLUME</t>
        </is>
      </c>
      <c r="YO2" t="inlineStr">
        <is>
          <t>Date</t>
        </is>
      </c>
      <c r="YP2" t="inlineStr">
        <is>
          <t>PX_LAST</t>
        </is>
      </c>
      <c r="YQ2" t="inlineStr">
        <is>
          <t>PX_VOLUME</t>
        </is>
      </c>
      <c r="YS2" t="inlineStr">
        <is>
          <t>Date</t>
        </is>
      </c>
      <c r="YT2" t="inlineStr">
        <is>
          <t>PX_LAST</t>
        </is>
      </c>
      <c r="YU2" t="inlineStr">
        <is>
          <t>PX_VOLUME</t>
        </is>
      </c>
      <c r="YW2" t="inlineStr">
        <is>
          <t>Date</t>
        </is>
      </c>
      <c r="YX2" t="inlineStr">
        <is>
          <t>PX_LAST</t>
        </is>
      </c>
      <c r="YY2" t="inlineStr">
        <is>
          <t>PX_VOLUME</t>
        </is>
      </c>
      <c r="ZA2" t="inlineStr">
        <is>
          <t>Date</t>
        </is>
      </c>
      <c r="ZB2" t="inlineStr">
        <is>
          <t>PX_LAST</t>
        </is>
      </c>
      <c r="ZC2" t="inlineStr">
        <is>
          <t>PX_VOLUME</t>
        </is>
      </c>
      <c r="ZE2" t="inlineStr">
        <is>
          <t>Date</t>
        </is>
      </c>
      <c r="ZF2" t="inlineStr">
        <is>
          <t>PX_LAST</t>
        </is>
      </c>
      <c r="ZG2" t="inlineStr">
        <is>
          <t>PX_VOLUME</t>
        </is>
      </c>
      <c r="ZI2" t="inlineStr">
        <is>
          <t>Date</t>
        </is>
      </c>
      <c r="ZJ2" t="inlineStr">
        <is>
          <t>PX_LAST</t>
        </is>
      </c>
      <c r="ZK2" t="inlineStr">
        <is>
          <t>PX_VOLUME</t>
        </is>
      </c>
      <c r="ZM2" t="inlineStr">
        <is>
          <t>Date</t>
        </is>
      </c>
      <c r="ZN2" t="inlineStr">
        <is>
          <t>PX_LAST</t>
        </is>
      </c>
      <c r="ZO2" t="inlineStr">
        <is>
          <t>PX_VOLUME</t>
        </is>
      </c>
      <c r="ZQ2" t="inlineStr">
        <is>
          <t>Date</t>
        </is>
      </c>
      <c r="ZR2" t="inlineStr">
        <is>
          <t>PX_LAST</t>
        </is>
      </c>
      <c r="ZS2" t="inlineStr">
        <is>
          <t>PX_VOLUME</t>
        </is>
      </c>
      <c r="ZU2" t="inlineStr">
        <is>
          <t>Date</t>
        </is>
      </c>
      <c r="ZV2" t="inlineStr">
        <is>
          <t>PX_LAST</t>
        </is>
      </c>
      <c r="ZW2" t="inlineStr">
        <is>
          <t>PX_VOLUME</t>
        </is>
      </c>
      <c r="ZY2" t="inlineStr">
        <is>
          <t>Date</t>
        </is>
      </c>
      <c r="ZZ2" t="inlineStr">
        <is>
          <t>PX_LAST</t>
        </is>
      </c>
      <c r="AAA2" t="inlineStr">
        <is>
          <t>PX_VOLUME</t>
        </is>
      </c>
      <c r="AAC2" t="inlineStr">
        <is>
          <t>Date</t>
        </is>
      </c>
      <c r="AAD2" t="inlineStr">
        <is>
          <t>PX_LAST</t>
        </is>
      </c>
      <c r="AAE2" t="inlineStr">
        <is>
          <t>PX_VOLUME</t>
        </is>
      </c>
      <c r="AAG2" t="inlineStr">
        <is>
          <t>Date</t>
        </is>
      </c>
      <c r="AAH2" t="inlineStr">
        <is>
          <t>PX_LAST</t>
        </is>
      </c>
      <c r="AAI2" t="inlineStr">
        <is>
          <t>PX_VOLUME</t>
        </is>
      </c>
      <c r="AAK2" t="inlineStr">
        <is>
          <t>Date</t>
        </is>
      </c>
      <c r="AAL2" t="inlineStr">
        <is>
          <t>PX_LAST</t>
        </is>
      </c>
      <c r="AAM2" t="inlineStr">
        <is>
          <t>PX_VOLUME</t>
        </is>
      </c>
      <c r="AAO2" t="inlineStr">
        <is>
          <t>Date</t>
        </is>
      </c>
      <c r="AAP2" t="inlineStr">
        <is>
          <t>PX_LAST</t>
        </is>
      </c>
      <c r="AAQ2" t="inlineStr">
        <is>
          <t>PX_VOLUME</t>
        </is>
      </c>
      <c r="AAS2" t="inlineStr">
        <is>
          <t>Date</t>
        </is>
      </c>
      <c r="AAT2" t="inlineStr">
        <is>
          <t>PX_LAST</t>
        </is>
      </c>
      <c r="AAU2" t="inlineStr">
        <is>
          <t>PX_VOLUME</t>
        </is>
      </c>
      <c r="AAW2" t="inlineStr">
        <is>
          <t>Date</t>
        </is>
      </c>
      <c r="AAX2" t="inlineStr">
        <is>
          <t>PX_LAST</t>
        </is>
      </c>
      <c r="AAY2" t="inlineStr">
        <is>
          <t>PX_VOLUME</t>
        </is>
      </c>
      <c r="ABA2" t="inlineStr">
        <is>
          <t>Date</t>
        </is>
      </c>
      <c r="ABB2" t="inlineStr">
        <is>
          <t>PX_LAST</t>
        </is>
      </c>
      <c r="ABC2" t="inlineStr">
        <is>
          <t>PX_VOLUME</t>
        </is>
      </c>
      <c r="ABE2" t="inlineStr">
        <is>
          <t>Date</t>
        </is>
      </c>
      <c r="ABF2" t="inlineStr">
        <is>
          <t>PX_LAST</t>
        </is>
      </c>
      <c r="ABG2" t="inlineStr">
        <is>
          <t>PX_VOLUME</t>
        </is>
      </c>
      <c r="ABI2" t="inlineStr">
        <is>
          <t>Date</t>
        </is>
      </c>
      <c r="ABJ2" t="inlineStr">
        <is>
          <t>PX_LAST</t>
        </is>
      </c>
      <c r="ABK2" t="inlineStr">
        <is>
          <t>PX_VOLUME</t>
        </is>
      </c>
      <c r="ABM2" t="inlineStr">
        <is>
          <t>Date</t>
        </is>
      </c>
      <c r="ABN2" t="inlineStr">
        <is>
          <t>PX_LAST</t>
        </is>
      </c>
      <c r="ABO2" t="inlineStr">
        <is>
          <t>PX_VOLUME</t>
        </is>
      </c>
      <c r="ABQ2" t="inlineStr">
        <is>
          <t>Date</t>
        </is>
      </c>
      <c r="ABR2" t="inlineStr">
        <is>
          <t>PX_LAST</t>
        </is>
      </c>
      <c r="ABS2" t="inlineStr">
        <is>
          <t>PX_VOLUME</t>
        </is>
      </c>
      <c r="ABU2" t="inlineStr">
        <is>
          <t>Date</t>
        </is>
      </c>
      <c r="ABV2" t="inlineStr">
        <is>
          <t>PX_LAST</t>
        </is>
      </c>
      <c r="ABW2" t="inlineStr">
        <is>
          <t>PX_VOLUME</t>
        </is>
      </c>
      <c r="ABY2" t="inlineStr">
        <is>
          <t>Date</t>
        </is>
      </c>
      <c r="ABZ2" t="inlineStr">
        <is>
          <t>PX_LAST</t>
        </is>
      </c>
      <c r="ACA2" t="inlineStr">
        <is>
          <t>PX_VOLUME</t>
        </is>
      </c>
      <c r="ACC2" t="inlineStr">
        <is>
          <t>Date</t>
        </is>
      </c>
      <c r="ACD2" t="inlineStr">
        <is>
          <t>PX_LAST</t>
        </is>
      </c>
      <c r="ACE2" t="inlineStr">
        <is>
          <t>PX_VOLUME</t>
        </is>
      </c>
      <c r="ACG2" t="inlineStr">
        <is>
          <t>Date</t>
        </is>
      </c>
      <c r="ACH2" t="inlineStr">
        <is>
          <t>PX_LAST</t>
        </is>
      </c>
      <c r="ACI2" t="inlineStr">
        <is>
          <t>PX_VOLUME</t>
        </is>
      </c>
      <c r="ACK2" t="inlineStr">
        <is>
          <t>Date</t>
        </is>
      </c>
      <c r="ACL2" t="inlineStr">
        <is>
          <t>PX_LAST</t>
        </is>
      </c>
      <c r="ACM2" t="inlineStr">
        <is>
          <t>PX_VOLUME</t>
        </is>
      </c>
      <c r="ACO2" t="inlineStr">
        <is>
          <t>Date</t>
        </is>
      </c>
      <c r="ACP2" t="inlineStr">
        <is>
          <t>PX_LAST</t>
        </is>
      </c>
      <c r="ACQ2" t="inlineStr">
        <is>
          <t>PX_VOLUME</t>
        </is>
      </c>
      <c r="ACS2" t="inlineStr">
        <is>
          <t>Date</t>
        </is>
      </c>
      <c r="ACT2" t="inlineStr">
        <is>
          <t>PX_LAST</t>
        </is>
      </c>
      <c r="ACU2" t="inlineStr">
        <is>
          <t>PX_VOLUME</t>
        </is>
      </c>
      <c r="ACW2" t="inlineStr">
        <is>
          <t>Date</t>
        </is>
      </c>
      <c r="ACX2" t="inlineStr">
        <is>
          <t>PX_LAST</t>
        </is>
      </c>
      <c r="ACY2" t="inlineStr">
        <is>
          <t>PX_VOLUME</t>
        </is>
      </c>
      <c r="ADA2" t="inlineStr">
        <is>
          <t>Date</t>
        </is>
      </c>
      <c r="ADB2" t="inlineStr">
        <is>
          <t>PX_LAST</t>
        </is>
      </c>
      <c r="ADC2" t="inlineStr">
        <is>
          <t>PX_VOLUME</t>
        </is>
      </c>
      <c r="ADE2" t="inlineStr">
        <is>
          <t>Date</t>
        </is>
      </c>
      <c r="ADF2" t="inlineStr">
        <is>
          <t>PX_LAST</t>
        </is>
      </c>
      <c r="ADG2" t="inlineStr">
        <is>
          <t>PX_VOLUME</t>
        </is>
      </c>
      <c r="ADI2" t="inlineStr">
        <is>
          <t>Date</t>
        </is>
      </c>
      <c r="ADJ2" t="inlineStr">
        <is>
          <t>PX_LAST</t>
        </is>
      </c>
      <c r="ADK2" t="inlineStr">
        <is>
          <t>PX_VOLUME</t>
        </is>
      </c>
      <c r="ADM2" t="inlineStr">
        <is>
          <t>Date</t>
        </is>
      </c>
      <c r="ADN2" t="inlineStr">
        <is>
          <t>PX_LAST</t>
        </is>
      </c>
      <c r="ADO2" t="inlineStr">
        <is>
          <t>PX_VOLUME</t>
        </is>
      </c>
      <c r="ADQ2" t="inlineStr">
        <is>
          <t>Date</t>
        </is>
      </c>
      <c r="ADR2" t="inlineStr">
        <is>
          <t>PX_LAST</t>
        </is>
      </c>
      <c r="ADS2" t="inlineStr">
        <is>
          <t>PX_VOLUME</t>
        </is>
      </c>
    </row>
    <row r="3">
      <c r="A3">
        <f>BDH("BBG01J8XD163 Equity","PX_LAST,PX_VOLUME","1/1/2020","6/10/2026")</f>
        <v/>
      </c>
      <c r="E3">
        <f>BDH("BBG01Z76JF24 Equity","PX_LAST,PX_VOLUME","1/1/2020","6/10/2026")</f>
        <v/>
      </c>
      <c r="I3">
        <f>BDH("BBG01Z0JYX54 Equity","PX_LAST,PX_VOLUME","1/1/2020","6/10/2026")</f>
        <v/>
      </c>
      <c r="M3">
        <f>BDH("BBG01JWHKXZ1 Equity","PX_LAST,PX_VOLUME","1/1/2020","6/10/2026")</f>
        <v/>
      </c>
      <c r="Q3">
        <f>BDH("BBG01Z76JDG4 Equity","PX_LAST,PX_VOLUME","1/1/2020","6/10/2026")</f>
        <v/>
      </c>
      <c r="U3">
        <f>BDH("BBG01Z0JXRL0 Equity","PX_LAST,PX_VOLUME","1/1/2020","6/10/2026")</f>
        <v/>
      </c>
      <c r="Y3">
        <f>BDH("BBG01J9FL616 Equity","PX_LAST,PX_VOLUME","1/1/2020","6/10/2026")</f>
        <v/>
      </c>
      <c r="AC3">
        <f>BDH("BBG01Z76VLT8 Equity","PX_LAST,PX_VOLUME","1/1/2020","6/10/2026")</f>
        <v/>
      </c>
      <c r="AG3">
        <f>BDH("BBG01Z0JXS65 Equity","PX_LAST,PX_VOLUME","1/1/2020","6/10/2026")</f>
        <v/>
      </c>
      <c r="AK3">
        <f>BDH("BBG01JWHKYZ9 Equity","PX_LAST,PX_VOLUME","1/1/2020","6/10/2026")</f>
        <v/>
      </c>
      <c r="AO3">
        <f>BDH("BBG01Z76VL63 Equity","PX_LAST,PX_VOLUME","1/1/2020","6/10/2026")</f>
        <v/>
      </c>
      <c r="AS3">
        <f>BDH("BBG01Z0K2DJ5 Equity","PX_LAST,PX_VOLUME","1/1/2020","6/10/2026")</f>
        <v/>
      </c>
      <c r="AW3">
        <f>BDH("BBG01JWHKZY7 Equity","PX_LAST,PX_VOLUME","1/1/2020","6/10/2026")</f>
        <v/>
      </c>
      <c r="BA3">
        <f>BDH("BBG01Z76VN14 Equity","PX_LAST,PX_VOLUME","1/1/2020","6/10/2026")</f>
        <v/>
      </c>
      <c r="BE3">
        <f>BDH("BBG01Z0JXY80 Equity","PX_LAST,PX_VOLUME","1/1/2020","6/10/2026")</f>
        <v/>
      </c>
      <c r="BI3">
        <f>BDH("BBG01JWHL0X4 Equity","PX_LAST,PX_VOLUME","1/1/2020","6/10/2026")</f>
        <v/>
      </c>
      <c r="BM3">
        <f>BDH("BBG01Z76VMF1 Equity","PX_LAST,PX_VOLUME","1/1/2020","6/10/2026")</f>
        <v/>
      </c>
      <c r="BQ3">
        <f>BDH("BBG01Z0JXJY4 Equity","PX_LAST,PX_VOLUME","1/1/2020","6/10/2026")</f>
        <v/>
      </c>
      <c r="BU3">
        <f>BDH("BBG01JWHL1X2 Equity","PX_LAST,PX_VOLUME","1/1/2020","6/10/2026")</f>
        <v/>
      </c>
      <c r="BY3">
        <f>BDH("BBG01Z76JFP9 Equity","PX_LAST,PX_VOLUME","1/1/2020","6/10/2026")</f>
        <v/>
      </c>
      <c r="CC3">
        <f>BDH("BBG01Z0K1RK3 Equity","PX_LAST,PX_VOLUME","1/1/2020","6/10/2026")</f>
        <v/>
      </c>
      <c r="CG3">
        <f>BDH("BBG01J9FL705 Equity","PX_LAST,PX_VOLUME","1/1/2020","6/10/2026")</f>
        <v/>
      </c>
      <c r="CK3">
        <f>BDH("BBG01Z0K1S58 Equity","PX_LAST,PX_VOLUME","1/1/2020","6/10/2026")</f>
        <v/>
      </c>
      <c r="CO3">
        <f>BDH("BBG01Z0K22X3 Equity","PX_LAST,PX_VOLUME","1/1/2020","6/10/2026")</f>
        <v/>
      </c>
      <c r="CS3">
        <f>BDH("BBG01VRH96B8 Equity","PX_LAST,PX_VOLUME","1/1/2020","6/10/2026")</f>
        <v/>
      </c>
      <c r="CW3">
        <f>BDH("BBG01Z0JXYW3 Equity","PX_LAST,PX_VOLUME","1/1/2020","6/10/2026")</f>
        <v/>
      </c>
      <c r="DA3">
        <f>BDH("BBG01V55GR60 Equity","PX_LAST,PX_VOLUME","1/1/2020","6/10/2026")</f>
        <v/>
      </c>
      <c r="DE3">
        <f>BDH("BBG01Z0K1CS8 Equity","PX_LAST,PX_VOLUME","1/1/2020","6/10/2026")</f>
        <v/>
      </c>
      <c r="DI3">
        <f>BDH("BBG01V55GPZ2 Equity","PX_LAST,PX_VOLUME","1/1/2020","6/10/2026")</f>
        <v/>
      </c>
      <c r="DM3">
        <f>BDH("BBG01Z0JXKK6 Equity","PX_LAST,PX_VOLUME","1/1/2020","6/10/2026")</f>
        <v/>
      </c>
      <c r="DQ3">
        <f>BDH("BBG01V55GPC7 Equity","PX_LAST,PX_VOLUME","1/1/2020","6/10/2026")</f>
        <v/>
      </c>
      <c r="DU3">
        <f>BDH("BBG01J9FL7Z7 Equity","PX_LAST,PX_VOLUME","1/1/2020","6/10/2026")</f>
        <v/>
      </c>
      <c r="DY3">
        <f>BDH("BBG01Z0K2290 Equity","PX_LAST,PX_VOLUME","1/1/2020","6/10/2026")</f>
        <v/>
      </c>
      <c r="EC3">
        <f>BDH("BBG01V55GRT5 Equity","PX_LAST,PX_VOLUME","1/1/2020","6/10/2026")</f>
        <v/>
      </c>
      <c r="EG3">
        <f>BDH("BBG01Z54DNT1 Equity","PX_LAST,PX_VOLUME","1/1/2020","6/10/2026")</f>
        <v/>
      </c>
      <c r="EK3">
        <f>BDH("BBG01V55GQL5 Equity","PX_LAST,PX_VOLUME","1/1/2020","6/10/2026")</f>
        <v/>
      </c>
      <c r="EO3">
        <f>BDH("BBG01Z54DQ14 Equity","PX_LAST,PX_VOLUME","1/1/2020","6/10/2026")</f>
        <v/>
      </c>
      <c r="ES3">
        <f>BDH("BBG01X8WXJ18 Equity","PX_LAST,PX_VOLUME","1/1/2020","6/10/2026")</f>
        <v/>
      </c>
      <c r="EW3">
        <f>BDH("BBG01Z548ST6 Equity","PX_LAST,PX_VOLUME","1/1/2020","6/10/2026")</f>
        <v/>
      </c>
      <c r="FA3">
        <f>BDH("BBG01X8WXHF7 Equity","PX_LAST,PX_VOLUME","1/1/2020","6/10/2026")</f>
        <v/>
      </c>
      <c r="FE3">
        <f>BDH("BBG01Z54DPF1 Equity","PX_LAST,PX_VOLUME","1/1/2020","6/10/2026")</f>
        <v/>
      </c>
      <c r="FI3">
        <f>BDH("BBG01J9FL8Y6 Equity","PX_LAST,PX_VOLUME","1/1/2020","6/10/2026")</f>
        <v/>
      </c>
      <c r="FM3">
        <f>BDH("BBG01R6BLCB6 Equity","PX_LAST,PX_VOLUME","1/1/2020","6/10/2026")</f>
        <v/>
      </c>
      <c r="FQ3">
        <f>BDH("BBG01Z0JV5F7 Equity","PX_LAST,PX_VOLUME","1/1/2020","6/10/2026")</f>
        <v/>
      </c>
      <c r="FU3">
        <f>BDH("BBG01R6BJ855 Equity","PX_LAST,PX_VOLUME","1/1/2020","6/10/2026")</f>
        <v/>
      </c>
      <c r="FY3">
        <f>BDH("BBG01R6BLDK4 Equity","PX_LAST,PX_VOLUME","1/1/2020","6/10/2026")</f>
        <v/>
      </c>
      <c r="GC3">
        <f>BDH("BBG01R6BLCY1 Equity","PX_LAST,PX_VOLUME","1/1/2020","6/10/2026")</f>
        <v/>
      </c>
      <c r="GG3">
        <f>BDH("BBG01R6BLF56 Equity","PX_LAST,PX_VOLUME","1/1/2020","6/10/2026")</f>
        <v/>
      </c>
      <c r="GK3">
        <f>BDH("BBG01R6BJFX8 Equity","PX_LAST,PX_VOLUME","1/1/2020","6/10/2026")</f>
        <v/>
      </c>
      <c r="GO3">
        <f>BDH("BBG01R8RSRX5 Equity","PX_LAST,PX_VOLUME","1/1/2020","6/10/2026")</f>
        <v/>
      </c>
      <c r="GS3">
        <f>BDH("BBG01R8RSQ21 Equity","PX_LAST,PX_VOLUME","1/1/2020","6/10/2026")</f>
        <v/>
      </c>
      <c r="GW3">
        <f>BDH("BBG01R8RTG13 Equity","PX_LAST,PX_VOLUME","1/1/2020","6/10/2026")</f>
        <v/>
      </c>
      <c r="HA3">
        <f>BDH("BBG01R8RTHW7 Equity","PX_LAST,PX_VOLUME","1/1/2020","6/10/2026")</f>
        <v/>
      </c>
      <c r="HE3">
        <f>BDH("BBG01R8RSQP6 Equity","PX_LAST,PX_VOLUME","1/1/2020","6/10/2026")</f>
        <v/>
      </c>
      <c r="HI3">
        <f>BDH("BBG01R8RTGN9 Equity","PX_LAST,PX_VOLUME","1/1/2020","6/10/2026")</f>
        <v/>
      </c>
      <c r="HM3">
        <f>BDH("BBG01R8RTH84 Equity","PX_LAST,PX_VOLUME","1/1/2020","6/10/2026")</f>
        <v/>
      </c>
      <c r="HQ3">
        <f>BDH("BBG01R8RSR92 Equity","PX_LAST,PX_VOLUME","1/1/2020","6/10/2026")</f>
        <v/>
      </c>
      <c r="HU3">
        <f>BDH("BBG01R8RTFF0 Equity","PX_LAST,PX_VOLUME","1/1/2020","6/10/2026")</f>
        <v/>
      </c>
      <c r="HY3">
        <f>BDH("BBG01R97Q586 Equity","PX_LAST,PX_VOLUME","1/1/2020","6/10/2026")</f>
        <v/>
      </c>
      <c r="IC3">
        <f>BDH("BBG01R9PV1F1 Equity","PX_LAST,PX_VOLUME","1/1/2020","6/10/2026")</f>
        <v/>
      </c>
      <c r="IG3">
        <f>BDH("BBG01R9PT4H6 Equity","PX_LAST,PX_VOLUME","1/1/2020","6/10/2026")</f>
        <v/>
      </c>
      <c r="IK3">
        <f>BDH("BBG01R9PV0T8 Equity","PX_LAST,PX_VOLUME","1/1/2020","6/10/2026")</f>
        <v/>
      </c>
      <c r="IO3">
        <f>BDH("BBG01R9PT538 Equity","PX_LAST,PX_VOLUME","1/1/2020","6/10/2026")</f>
        <v/>
      </c>
      <c r="IS3">
        <f>BDH("BBG01R9PTY08 Equity","PX_LAST,PX_VOLUME","1/1/2020","6/10/2026")</f>
        <v/>
      </c>
      <c r="IW3">
        <f>BDH("BBG01R9PT3W1 Equity","PX_LAST,PX_VOLUME","1/1/2020","6/10/2026")</f>
        <v/>
      </c>
      <c r="JA3">
        <f>BDH("BBG01R9PTXD6 Equity","PX_LAST,PX_VOLUME","1/1/2020","6/10/2026")</f>
        <v/>
      </c>
      <c r="JE3">
        <f>BDH("BBG01RB3B070 Equity","PX_LAST,PX_VOLUME","1/1/2020","6/10/2026")</f>
        <v/>
      </c>
      <c r="JI3">
        <f>BDH("BBG01RB39BK4 Equity","PX_LAST,PX_VOLUME","1/1/2020","6/10/2026")</f>
        <v/>
      </c>
      <c r="JM3">
        <f>BDH("BBG01RB3B0V3 Equity","PX_LAST,PX_VOLUME","1/1/2020","6/10/2026")</f>
        <v/>
      </c>
      <c r="JQ3">
        <f>BDH("BBG01RB3B1G8 Equity","PX_LAST,PX_VOLUME","1/1/2020","6/10/2026")</f>
        <v/>
      </c>
      <c r="JU3">
        <f>BDH("BBG01RB39C59 Equity","PX_LAST,PX_VOLUME","1/1/2020","6/10/2026")</f>
        <v/>
      </c>
      <c r="JY3">
        <f>BDH("BBG01ZD3QL23 Equity","PX_LAST,PX_VOLUME","1/1/2020","6/10/2026")</f>
        <v/>
      </c>
      <c r="KC3">
        <f>BDH("BBG01Z54GR64 Equity","PX_LAST,PX_VOLUME","1/1/2020","6/10/2026")</f>
        <v/>
      </c>
      <c r="KG3">
        <f>BDH("BBG01Z54GSF2 Equity","PX_LAST,PX_VOLUME","1/1/2020","6/10/2026")</f>
        <v/>
      </c>
      <c r="KK3">
        <f>BDH("BBG01Z54CBQ1 Equity","PX_LAST,PX_VOLUME","1/1/2020","6/10/2026")</f>
        <v/>
      </c>
      <c r="KO3">
        <f>BDH("BBG01Z54GC30 Equity","PX_LAST,PX_VOLUME","1/1/2020","6/10/2026")</f>
        <v/>
      </c>
      <c r="KS3">
        <f>BDH("BBG01Z54G4K9 Equity","PX_LAST,PX_VOLUME","1/1/2020","6/10/2026")</f>
        <v/>
      </c>
      <c r="KW3">
        <f>BDH("BBG01Z54GT15 Equity","PX_LAST,PX_VOLUME","1/1/2020","6/10/2026")</f>
        <v/>
      </c>
      <c r="LA3">
        <f>BDH("BBG01Z54C628 Equity","PX_LAST,PX_VOLUME","1/1/2020","6/10/2026")</f>
        <v/>
      </c>
      <c r="LE3">
        <f>BDH("BBG01Z54GDB9 Equity","PX_LAST,PX_VOLUME","1/1/2020","6/10/2026")</f>
        <v/>
      </c>
      <c r="LI3">
        <f>BDH("BBG01Z54BN77 Equity","PX_LAST,PX_VOLUME","1/1/2020","6/10/2026")</f>
        <v/>
      </c>
      <c r="LM3">
        <f>BDH("BBG01Z54G3Y6 Equity","PX_LAST,PX_VOLUME","1/1/2020","6/10/2026")</f>
        <v/>
      </c>
      <c r="LQ3">
        <f>BDH("BBG01Z54GRT9 Equity","PX_LAST,PX_VOLUME","1/1/2020","6/10/2026")</f>
        <v/>
      </c>
      <c r="LU3">
        <f>BDH("BBG01Z54CCB5 Equity","PX_LAST,PX_VOLUME","1/1/2020","6/10/2026")</f>
        <v/>
      </c>
      <c r="LY3">
        <f>BDH("BBG01Z54CCY0 Equity","PX_LAST,PX_VOLUME","1/1/2020","6/10/2026")</f>
        <v/>
      </c>
      <c r="MC3">
        <f>BDH("BBG01Z54GBH7 Equity","PX_LAST,PX_VOLUME","1/1/2020","6/10/2026")</f>
        <v/>
      </c>
      <c r="MG3">
        <f>BDH("BBG01Z54G553 Equity","PX_LAST,PX_VOLUME","1/1/2020","6/10/2026")</f>
        <v/>
      </c>
      <c r="MK3">
        <f>BDH("BBG01Z54GTN1 Equity","PX_LAST,PX_VOLUME","1/1/2020","6/10/2026")</f>
        <v/>
      </c>
      <c r="MO3">
        <f>BDH("BBG01Z54CDK3 Equity","PX_LAST,PX_VOLUME","1/1/2020","6/10/2026")</f>
        <v/>
      </c>
      <c r="MS3">
        <f>BDH("BBG01Z54CB36 Equity","PX_LAST,PX_VOLUME","1/1/2020","6/10/2026")</f>
        <v/>
      </c>
      <c r="MW3">
        <f>BDH("BBG01Z54BNV0 Equity","PX_LAST,PX_VOLUME","1/1/2020","6/10/2026")</f>
        <v/>
      </c>
      <c r="NA3">
        <f>BDH("BBG01Z54GCQ5 Equity","PX_LAST,PX_VOLUME","1/1/2020","6/10/2026")</f>
        <v/>
      </c>
      <c r="NE3">
        <f>BDH("BBG01Z54BZF1 Equity","PX_LAST,PX_VOLUME","1/1/2020","6/10/2026")</f>
        <v/>
      </c>
      <c r="NI3">
        <f>BDH("BBG01W69RS47 Equity","PX_LAST,PX_VOLUME","1/1/2020","6/10/2026")</f>
        <v/>
      </c>
      <c r="NM3">
        <f>BDH("BBG01W69TN64 Equity","PX_LAST,PX_VOLUME","1/1/2020","6/10/2026")</f>
        <v/>
      </c>
      <c r="NQ3">
        <f>BDH("BBG01W69TKR7 Equity","PX_LAST,PX_VOLUME","1/1/2020","6/10/2026")</f>
        <v/>
      </c>
      <c r="NU3">
        <f>BDH("BBG01W69T9S1 Equity","PX_LAST,PX_VOLUME","1/1/2020","6/10/2026")</f>
        <v/>
      </c>
      <c r="NY3">
        <f>BDH("BBG01Z0KB1F5 Equity","PX_LAST,PX_VOLUME","1/1/2020","6/10/2026")</f>
        <v/>
      </c>
      <c r="OC3">
        <f>BDH("BBG01W69S8V0 Equity","PX_LAST,PX_VOLUME","1/1/2020","6/10/2026")</f>
        <v/>
      </c>
      <c r="OG3">
        <f>BDH("BBG01W69TLC1 Equity","PX_LAST,PX_VOLUME","1/1/2020","6/10/2026")</f>
        <v/>
      </c>
      <c r="OK3">
        <f>BDH("BBG01W69TG32 Equity","PX_LAST,PX_VOLUME","1/1/2020","6/10/2026")</f>
        <v/>
      </c>
      <c r="OO3">
        <f>BDH("BBG01W69SX72 Equity","PX_LAST,PX_VOLUME","1/1/2020","6/10/2026")</f>
        <v/>
      </c>
      <c r="OS3">
        <f>BDH("BBG01W69T5N4 Equity","PX_LAST,PX_VOLUME","1/1/2020","6/10/2026")</f>
        <v/>
      </c>
      <c r="OW3">
        <f>BDH("BBG01Z0KB5R3 Equity","PX_LAST,PX_VOLUME","1/1/2020","6/10/2026")</f>
        <v/>
      </c>
      <c r="PA3">
        <f>BDH("BBG01W69T518 Equity","PX_LAST,PX_VOLUME","1/1/2020","6/10/2026")</f>
        <v/>
      </c>
      <c r="PE3">
        <f>BDH("BBG01Z0KBJJ2 Equity","PX_LAST,PX_VOLUME","1/1/2020","6/10/2026")</f>
        <v/>
      </c>
      <c r="PI3">
        <f>BDH("BBG01W69SVD9 Equity","PX_LAST,PX_VOLUME","1/1/2020","6/10/2026")</f>
        <v/>
      </c>
      <c r="PM3">
        <f>BDH("BBG01Z0KBRP7 Equity","PX_LAST,PX_VOLUME","1/1/2020","6/10/2026")</f>
        <v/>
      </c>
      <c r="PQ3">
        <f>BDH("BBG01W69TML9 Equity","PX_LAST,PX_VOLUME","1/1/2020","6/10/2026")</f>
        <v/>
      </c>
      <c r="PU3">
        <f>BDH("BBG01Z0KB218 Equity","PX_LAST,PX_VOLUME","1/1/2020","6/10/2026")</f>
        <v/>
      </c>
      <c r="PY3">
        <f>BDH("BBG01W69T4F6 Equity","PX_LAST,PX_VOLUME","1/1/2020","6/10/2026")</f>
        <v/>
      </c>
      <c r="QC3">
        <f>BDH("BBG01Z0K63N8 Equity","PX_LAST,PX_VOLUME","1/1/2020","6/10/2026")</f>
        <v/>
      </c>
      <c r="QG3">
        <f>BDH("BBG01W69TBD2 Equity","PX_LAST,PX_VOLUME","1/1/2020","6/10/2026")</f>
        <v/>
      </c>
      <c r="QK3">
        <f>BDH("BBG01Z0K9ZL6 Equity","PX_LAST,PX_VOLUME","1/1/2020","6/10/2026")</f>
        <v/>
      </c>
      <c r="QO3">
        <f>BDH("BBG01W69S877 Equity","PX_LAST,PX_VOLUME","1/1/2020","6/10/2026")</f>
        <v/>
      </c>
      <c r="QS3">
        <f>BDH("BBG01Z0KBR22 Equity","PX_LAST,PX_VOLUME","1/1/2020","6/10/2026")</f>
        <v/>
      </c>
      <c r="QW3">
        <f>BDH("BBG01W69TLZ6 Equity","PX_LAST,PX_VOLUME","1/1/2020","6/10/2026")</f>
        <v/>
      </c>
      <c r="RA3">
        <f>BDH("BBG01Z0KBPV4 Equity","PX_LAST,PX_VOLUME","1/1/2020","6/10/2026")</f>
        <v/>
      </c>
      <c r="RE3">
        <f>BDH("BBG01W69SWM7 Equity","PX_LAST,PX_VOLUME","1/1/2020","6/10/2026")</f>
        <v/>
      </c>
      <c r="RI3">
        <f>BDH("BBG01Z0K6312 Equity","PX_LAST,PX_VOLUME","1/1/2020","6/10/2026")</f>
        <v/>
      </c>
      <c r="RM3">
        <f>BDH("BBG01W69T956 Equity","PX_LAST,PX_VOLUME","1/1/2020","6/10/2026")</f>
        <v/>
      </c>
      <c r="RQ3">
        <f>BDH("BBG01Z0KB7L5 Equity","PX_LAST,PX_VOLUME","1/1/2020","6/10/2026")</f>
        <v/>
      </c>
      <c r="RU3">
        <f>BDH("BBG01W69T7Y8 Equity","PX_LAST,PX_VOLUME","1/1/2020","6/10/2026")</f>
        <v/>
      </c>
      <c r="RY3">
        <f>BDH("BBG01Z0K62F9 Equity","PX_LAST,PX_VOLUME","1/1/2020","6/10/2026")</f>
        <v/>
      </c>
      <c r="SC3">
        <f>BDH("BBG01W69T8K1 Equity","PX_LAST,PX_VOLUME","1/1/2020","6/10/2026")</f>
        <v/>
      </c>
      <c r="SG3">
        <f>BDH("BBG01Z0K68Z4 Equity","PX_LAST,PX_VOLUME","1/1/2020","6/10/2026")</f>
        <v/>
      </c>
      <c r="SK3">
        <f>BDH("BBG01W69SW01 Equity","PX_LAST,PX_VOLUME","1/1/2020","6/10/2026")</f>
        <v/>
      </c>
      <c r="SO3">
        <f>BDH("BBG01Z0KBXR2 Equity","PX_LAST,PX_VOLUME","1/1/2020","6/10/2026")</f>
        <v/>
      </c>
      <c r="SS3">
        <f>BDH("BBG01W89SCX7 Equity","PX_LAST,PX_VOLUME","1/1/2020","6/10/2026")</f>
        <v/>
      </c>
      <c r="SW3">
        <f>BDH("BBG01Z0KB067 Equity","PX_LAST,PX_VOLUME","1/1/2020","6/10/2026")</f>
        <v/>
      </c>
      <c r="TA3">
        <f>BDH("BBG01W89SC94 Equity","PX_LAST,PX_VOLUME","1/1/2020","6/10/2026")</f>
        <v/>
      </c>
      <c r="TE3">
        <f>BDH("BBG01Z0KBHX0 Equity","PX_LAST,PX_VOLUME","1/1/2020","6/10/2026")</f>
        <v/>
      </c>
      <c r="TI3">
        <f>BDH("BBG01W89SDJ1 Equity","PX_LAST,PX_VOLUME","1/1/2020","6/10/2026")</f>
        <v/>
      </c>
      <c r="TM3">
        <f>BDH("BBG01Z0KB0T2 Equity","PX_LAST,PX_VOLUME","1/1/2020","6/10/2026")</f>
        <v/>
      </c>
      <c r="TQ3">
        <f>BDH("BBG01WMX3953 Equity","PX_LAST,PX_VOLUME","1/1/2020","6/10/2026")</f>
        <v/>
      </c>
      <c r="TU3">
        <f>BDH("BBG01Z0K6JH0 Equity","PX_LAST,PX_VOLUME","1/1/2020","6/10/2026")</f>
        <v/>
      </c>
      <c r="TY3">
        <f>BDH("BBG01X7JQ730 Equity","PX_LAST,PX_VOLUME","1/1/2020","6/10/2026")</f>
        <v/>
      </c>
      <c r="UC3">
        <f>BDH("BBG01Z0K69L7 Equity","PX_LAST,PX_VOLUME","1/1/2020","6/10/2026")</f>
        <v/>
      </c>
      <c r="UG3">
        <f>BDH("BBG01X7JQ589 Equity","PX_LAST,PX_VOLUME","1/1/2020","6/10/2026")</f>
        <v/>
      </c>
      <c r="UK3">
        <f>BDH("BBG01Z0KB6C7 Equity","PX_LAST,PX_VOLUME","1/1/2020","6/10/2026")</f>
        <v/>
      </c>
      <c r="UO3">
        <f>BDH("BBG01X7JQ5W2 Equity","PX_LAST,PX_VOLUME","1/1/2020","6/10/2026")</f>
        <v/>
      </c>
      <c r="US3">
        <f>BDH("BBG01Z0KB6Z2 Equity","PX_LAST,PX_VOLUME","1/1/2020","6/10/2026")</f>
        <v/>
      </c>
      <c r="UW3">
        <f>BDH("BBG01X7JQ6H7 Equity","PX_LAST,PX_VOLUME","1/1/2020","6/10/2026")</f>
        <v/>
      </c>
      <c r="VA3">
        <f>BDH("BBG01Z0KBQG9 Equity","PX_LAST,PX_VOLUME","1/1/2020","6/10/2026")</f>
        <v/>
      </c>
      <c r="VE3">
        <f>BDH("BBG01X8X0DV2 Equity","PX_LAST,PX_VOLUME","1/1/2020","6/10/2026")</f>
        <v/>
      </c>
      <c r="VI3">
        <f>BDH("BBG01Z54D5J1 Equity","PX_LAST,PX_VOLUME","1/1/2020","6/10/2026")</f>
        <v/>
      </c>
      <c r="VM3">
        <f>BDH("BBG01X8X0FG4 Equity","PX_LAST,PX_VOLUME","1/1/2020","6/10/2026")</f>
        <v/>
      </c>
      <c r="VQ3">
        <f>BDH("BBG01Z54D6R0 Equity","PX_LAST,PX_VOLUME","1/1/2020","6/10/2026")</f>
        <v/>
      </c>
      <c r="VU3">
        <f>BDH("BBG01X8X3SY3 Equity","PX_LAST,PX_VOLUME","1/1/2020","6/10/2026")</f>
        <v/>
      </c>
      <c r="VY3">
        <f>BDH("BBG01Z54D645 Equity","PX_LAST,PX_VOLUME","1/1/2020","6/10/2026")</f>
        <v/>
      </c>
      <c r="WC3">
        <f>BDH("BBG01X8X3SB8 Equity","PX_LAST,PX_VOLUME","1/1/2020","6/10/2026")</f>
        <v/>
      </c>
      <c r="WG3">
        <f>BDH("BBG01Z54D7C4 Equity","PX_LAST,PX_VOLUME","1/1/2020","6/10/2026")</f>
        <v/>
      </c>
      <c r="WK3">
        <f>BDH("BBG01X8X3TK6 Equity","PX_LAST,PX_VOLUME","1/1/2020","6/10/2026")</f>
        <v/>
      </c>
      <c r="WO3">
        <f>BDH("BBG01Z0JYQ40 Equity","PX_LAST,PX_VOLUME","1/1/2020","6/10/2026")</f>
        <v/>
      </c>
      <c r="WS3">
        <f>BDH("BBG01YRRCPS6 Equity","PX_LAST,PX_VOLUME","1/1/2020","6/10/2026")</f>
        <v/>
      </c>
      <c r="WW3">
        <f>BDH("BBG020LDC555 Equity","PX_LAST,PX_VOLUME","1/1/2020","6/10/2026")</f>
        <v/>
      </c>
      <c r="XA3">
        <f>BDH("BBG020LDC3B3 Equity","PX_LAST,PX_VOLUME","1/1/2020","6/10/2026")</f>
        <v/>
      </c>
      <c r="XE3">
        <f>BDH("BBG020LDC3Y8 Equity","PX_LAST,PX_VOLUME","1/1/2020","6/10/2026")</f>
        <v/>
      </c>
      <c r="XI3">
        <f>BDH("BBG020LDC4K1 Equity","PX_LAST,PX_VOLUME","1/1/2020","6/10/2026")</f>
        <v/>
      </c>
      <c r="XM3">
        <f>BDH("BBG020GWW9Z6 Equity","PX_LAST,PX_VOLUME","1/1/2020","6/10/2026")</f>
        <v/>
      </c>
      <c r="XQ3">
        <f>BDH("BBG020GWZHT2 Equity","PX_LAST,PX_VOLUME","1/1/2020","6/10/2026")</f>
        <v/>
      </c>
      <c r="XU3">
        <f>BDH("BBG020GWW7D4 Equity","PX_LAST,PX_VOLUME","1/1/2020","6/10/2026")</f>
        <v/>
      </c>
      <c r="XY3">
        <f>BDH("BBG020GX05T4 Equity","PX_LAST,PX_VOLUME","1/1/2020","6/10/2026")</f>
        <v/>
      </c>
      <c r="YC3">
        <f>BDH("BBG020GWZB88 Equity","PX_LAST,PX_VOLUME","1/1/2020","6/10/2026")</f>
        <v/>
      </c>
      <c r="YG3">
        <f>BDH("BBG0216DRKT5 Equity","PX_LAST,PX_VOLUME","1/1/2020","6/10/2026")</f>
        <v/>
      </c>
      <c r="YK3">
        <f>BDH("BBG020GWVD97 Equity","PX_LAST,PX_VOLUME","1/1/2020","6/10/2026")</f>
        <v/>
      </c>
      <c r="YO3">
        <f>BDH("BBG0216DTT41 Equity","PX_LAST,PX_VOLUME","1/1/2020","6/10/2026")</f>
        <v/>
      </c>
      <c r="YS3">
        <f>BDH("BBG020GWZJF3 Equity","PX_LAST,PX_VOLUME","1/1/2020","6/10/2026")</f>
        <v/>
      </c>
      <c r="YW3">
        <f>BDH("BBG0216DTGT2 Equity","PX_LAST,PX_VOLUME","1/1/2020","6/10/2026")</f>
        <v/>
      </c>
      <c r="ZA3">
        <f>BDH("BBG020GWZ910 Equity","PX_LAST,PX_VOLUME","1/1/2020","6/10/2026")</f>
        <v/>
      </c>
      <c r="ZE3">
        <f>BDH("BBG0216DRM11 Equity","PX_LAST,PX_VOLUME","1/1/2020","6/10/2026")</f>
        <v/>
      </c>
      <c r="ZI3">
        <f>BDH("BBG020GX03Z2 Equity","PX_LAST,PX_VOLUME","1/1/2020","6/10/2026")</f>
        <v/>
      </c>
      <c r="ZM3">
        <f>BDH("BBG0216DRJL6 Equity","PX_LAST,PX_VOLUME","1/1/2020","6/10/2026")</f>
        <v/>
      </c>
      <c r="ZQ3">
        <f>BDH("BBG020GX0569 Equity","PX_LAST,PX_VOLUME","1/1/2020","6/10/2026")</f>
        <v/>
      </c>
      <c r="ZU3">
        <f>BDH("BBG0216DRLF8 Equity","PX_LAST,PX_VOLUME","1/1/2020","6/10/2026")</f>
        <v/>
      </c>
      <c r="ZY3">
        <f>BDH("BBG020GWW9C1 Equity","PX_LAST,PX_VOLUME","1/1/2020","6/10/2026")</f>
        <v/>
      </c>
      <c r="AAC3">
        <f>BDH("BBG0216DTDZ2 Equity","PX_LAST,PX_VOLUME","1/1/2020","6/10/2026")</f>
        <v/>
      </c>
      <c r="AAG3">
        <f>BDH("BBG020GWW8R7 Equity","PX_LAST,PX_VOLUME","1/1/2020","6/10/2026")</f>
        <v/>
      </c>
      <c r="AAK3">
        <f>BDH("BBG0216DRK60 Equity","PX_LAST,PX_VOLUME","1/1/2020","6/10/2026")</f>
        <v/>
      </c>
      <c r="AAO3">
        <f>BDH("BBG020GWW6S0 Equity","PX_LAST,PX_VOLUME","1/1/2020","6/10/2026")</f>
        <v/>
      </c>
      <c r="AAS3">
        <f>BDH("BBG0216DTG67 Equity","PX_LAST,PX_VOLUME","1/1/2020","6/10/2026")</f>
        <v/>
      </c>
      <c r="AAW3">
        <f>BDH("BBG020GWVVS6 Equity","PX_LAST,PX_VOLUME","1/1/2020","6/10/2026")</f>
        <v/>
      </c>
      <c r="ABA3">
        <f>BDH("BBG0216DTFL2 Equity","PX_LAST,PX_VOLUME","1/1/2020","6/10/2026")</f>
        <v/>
      </c>
      <c r="ABE3">
        <f>BDH("BBG020GWZBW1 Equity","PX_LAST,PX_VOLUME","1/1/2020","6/10/2026")</f>
        <v/>
      </c>
      <c r="ABI3">
        <f>BDH("BBG020GX03C7 Equity","PX_LAST,PX_VOLUME","1/1/2020","6/10/2026")</f>
        <v/>
      </c>
      <c r="ABM3">
        <f>BDH("BBG020GWSVF4 Equity","PX_LAST,PX_VOLUME","1/1/2020","6/10/2026")</f>
        <v/>
      </c>
      <c r="ABQ3">
        <f>BDH("BBG020GWZ9N6 Equity","PX_LAST,PX_VOLUME","1/1/2020","6/10/2026")</f>
        <v/>
      </c>
      <c r="ABU3">
        <f>BDH("BBG020GX04L5 Equity","PX_LAST,PX_VOLUME","1/1/2020","6/10/2026")</f>
        <v/>
      </c>
      <c r="ABY3">
        <f>BDH("BBG020GWWBL6 Equity","PX_LAST,PX_VOLUME","1/1/2020","6/10/2026")</f>
        <v/>
      </c>
      <c r="ACC3">
        <f>BDH("BBG020GWZSV5 Equity","PX_LAST,PX_VOLUME","1/1/2020","6/10/2026")</f>
        <v/>
      </c>
      <c r="ACG3">
        <f>BDH("BBG020GWZH67 Equity","PX_LAST,PX_VOLUME","1/1/2020","6/10/2026")</f>
        <v/>
      </c>
      <c r="ACK3">
        <f>BDH("BBG0213H2XG2 Equity","PX_LAST,PX_VOLUME","1/1/2020","6/10/2026")</f>
        <v/>
      </c>
      <c r="ACO3">
        <f>BDH("BBG0213H2YP0 Equity","PX_LAST,PX_VOLUME","1/1/2020","6/10/2026")</f>
        <v/>
      </c>
      <c r="ACS3">
        <f>BDH("BBG0213GYD00 Equity","PX_LAST,PX_VOLUME","1/1/2020","6/10/2026")</f>
        <v/>
      </c>
      <c r="ACW3">
        <f>BDH("BBG0213H2C23 Equity","PX_LAST,PX_VOLUME","1/1/2020","6/10/2026")</f>
        <v/>
      </c>
      <c r="ADA3">
        <f>BDH("BBG0213H7JN0 Equity","PX_LAST,PX_VOLUME","1/1/2020","6/10/2026")</f>
        <v/>
      </c>
      <c r="ADE3">
        <f>BDH("BBG0213H2ZX8 Equity","PX_LAST,PX_VOLUME","1/1/2020","6/10/2026")</f>
        <v/>
      </c>
      <c r="ADI3">
        <f>BDH("BBG0213H2Y25 Equity","PX_LAST,PX_VOLUME","1/1/2020","6/10/2026")</f>
        <v/>
      </c>
      <c r="ADM3">
        <f>BDH("BBG0213H7LP3 Equity","PX_LAST,PX_VOLUME","1/1/2020","6/10/2026")</f>
        <v/>
      </c>
      <c r="ADQ3">
        <f>BDH("BBG0213H7HF3 Equity","PX_LAST,PX_VOLUME","1/1/2020","6/10/2026")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BBG0213H7J14 Equity (TSLL US 05/15/26 P13)</t>
        </is>
      </c>
      <c r="E1" t="inlineStr">
        <is>
          <t>BBG0213H7M99 Equity (TSLL US 05/15/26 P14)</t>
        </is>
      </c>
      <c r="I1" t="inlineStr">
        <is>
          <t>BBG0213GYDM6 Equity (TSLL US 05/15/26 P15)</t>
        </is>
      </c>
      <c r="M1" t="inlineStr">
        <is>
          <t>BBG0213GYF78 Equity (TSLL US 05/15/26 P16)</t>
        </is>
      </c>
      <c r="Q1" t="inlineStr">
        <is>
          <t>BBG0213H7952 Equity (TSLL US 05/15/26 P17)</t>
        </is>
      </c>
      <c r="U1" t="inlineStr">
        <is>
          <t>BBG0213H39R2 Equity (TSLL US 05/15/26 P18)</t>
        </is>
      </c>
      <c r="Y1" t="inlineStr">
        <is>
          <t>BBG0213H7PR2 Equity (TSLL US 05/15/26 P19)</t>
        </is>
      </c>
      <c r="AC1" t="inlineStr">
        <is>
          <t>BBG0213H2Z95 Equity (TSLL US 05/15/26 P20)</t>
        </is>
      </c>
      <c r="AG1" t="inlineStr">
        <is>
          <t>BBG0213H3947 Equity (TSLL US 05/15/26 P21)</t>
        </is>
      </c>
      <c r="AK1" t="inlineStr">
        <is>
          <t>BBG0213H2CP8 Equity (TSLL US 05/15/26 P22)</t>
        </is>
      </c>
      <c r="AO1" t="inlineStr">
        <is>
          <t>BBG0213H79S7 Equity (TSLL US 05/15/26 P23)</t>
        </is>
      </c>
      <c r="AS1" t="inlineStr">
        <is>
          <t>BBG0213H7MX2 Equity (TSLL US 05/15/26 P24)</t>
        </is>
      </c>
      <c r="AW1" t="inlineStr">
        <is>
          <t>BBG020LD6G49 Equity (TSLL US 06/18/26 P1)</t>
        </is>
      </c>
      <c r="BA1" t="inlineStr">
        <is>
          <t>BBG01YRRVTJ7 Equity (TSLL1 US 06/18/26 P1)</t>
        </is>
      </c>
      <c r="BE1" t="inlineStr">
        <is>
          <t>BBG020LDGKX7 Equity (TSLL US 06/18/26 P2)</t>
        </is>
      </c>
      <c r="BI1" t="inlineStr">
        <is>
          <t>BBG01YRRVR38 Equity (TSLL1 US 06/18/26 P2)</t>
        </is>
      </c>
      <c r="BM1" t="inlineStr">
        <is>
          <t>BBG020LDGJ24 Equity (TSLL US 06/18/26 P3)</t>
        </is>
      </c>
      <c r="BQ1" t="inlineStr">
        <is>
          <t>BBG01YRRVQH5 Equity (TSLL1 US 06/18/26 P3)</t>
        </is>
      </c>
      <c r="BU1" t="inlineStr">
        <is>
          <t>BBG020LD6FJ5 Equity (TSLL US 06/18/26 P4)</t>
        </is>
      </c>
      <c r="BY1" t="inlineStr">
        <is>
          <t>BBG01YRRVSX3 Equity (TSLL1 US 06/18/26 P4)</t>
        </is>
      </c>
      <c r="CC1" t="inlineStr">
        <is>
          <t>BBG01Z0K0GB8 Equity (TSLL US 06/18/26 P5)</t>
        </is>
      </c>
      <c r="CG1" t="inlineStr">
        <is>
          <t>BBG01YK88LL6 Equity (TSLL1 US 06/18/26 P5)</t>
        </is>
      </c>
      <c r="CK1" t="inlineStr">
        <is>
          <t>BBG020LD6C66 Equity (TSLL US 06/18/26 P6)</t>
        </is>
      </c>
      <c r="CO1" t="inlineStr">
        <is>
          <t>BBG01YK88JR5 Equity (TSLL1 US 06/18/26 P6)</t>
        </is>
      </c>
      <c r="CS1" t="inlineStr">
        <is>
          <t>BBG020LDGJP9 Equity (TSLL US 06/18/26 P7)</t>
        </is>
      </c>
      <c r="CW1" t="inlineStr">
        <is>
          <t>BBG01YK88KC8 Equity (TSLL1 US 06/18/26 P7)</t>
        </is>
      </c>
      <c r="DA1" t="inlineStr">
        <is>
          <t>BBG020LDGM09 Equity (TSLL US 06/18/26 P8)</t>
        </is>
      </c>
      <c r="DE1" t="inlineStr">
        <is>
          <t>BBG01YK8CBH8 Equity (TSLL1 US 06/18/26 P8)</t>
        </is>
      </c>
      <c r="DI1" t="inlineStr">
        <is>
          <t>BBG020LDGK94 Equity (TSLL US 06/18/26 P9)</t>
        </is>
      </c>
      <c r="DM1" t="inlineStr">
        <is>
          <t>BBG01YK88KZ3 Equity (TSLL1 US 06/18/26 P9)</t>
        </is>
      </c>
      <c r="DQ1" t="inlineStr">
        <is>
          <t>BBG01Z0K20K1 Equity (TSLL US 06/18/26 P10)</t>
        </is>
      </c>
      <c r="DU1" t="inlineStr">
        <is>
          <t>BBG01XZL3SG9 Equity (TSLL1 US 06/18/26 P10)</t>
        </is>
      </c>
      <c r="DY1" t="inlineStr">
        <is>
          <t>BBG01Z0K5M39 Equity (TSLL US 06/18/26 P11)</t>
        </is>
      </c>
      <c r="EC1" t="inlineStr">
        <is>
          <t>BBG01XZL6BR1 Equity (TSLL1 US 06/18/26 P11)</t>
        </is>
      </c>
      <c r="EG1" t="inlineStr">
        <is>
          <t>BBG01Z0K4ZR5 Equity (TSLL US 06/18/26 P12)</t>
        </is>
      </c>
      <c r="EK1" t="inlineStr">
        <is>
          <t>BBG01XZL6228 Equity (TSLL1 US 06/18/26 P12)</t>
        </is>
      </c>
      <c r="EO1" t="inlineStr">
        <is>
          <t>BBG01Z0JZMY5 Equity (TSLL US 06/18/26 P13)</t>
        </is>
      </c>
      <c r="ES1" t="inlineStr">
        <is>
          <t>BBG01XZL60V0 Equity (TSLL1 US 06/18/26 P13)</t>
        </is>
      </c>
      <c r="EW1" t="inlineStr">
        <is>
          <t>BBG01Z0JZF89 Equity (TSLL US 06/18/26 P14)</t>
        </is>
      </c>
      <c r="FA1" t="inlineStr">
        <is>
          <t>BBG01XZL3H46 Equity (TSLL1 US 06/18/26 P14)</t>
        </is>
      </c>
      <c r="FE1" t="inlineStr">
        <is>
          <t>BBG01Z0K5G14 Equity (TSLL US 06/18/26 P15)</t>
        </is>
      </c>
      <c r="FI1" t="inlineStr">
        <is>
          <t>BBG01XZL6790 Equity (TSLL1 US 06/18/26 P15)</t>
        </is>
      </c>
      <c r="FM1" t="inlineStr">
        <is>
          <t>BBG01Z0K5DT1 Equity (TSLL US 06/18/26 P16)</t>
        </is>
      </c>
      <c r="FQ1" t="inlineStr">
        <is>
          <t>BBG01XZL0NY3 Equity (TSLL1 US 06/18/26 P16)</t>
        </is>
      </c>
      <c r="FU1" t="inlineStr">
        <is>
          <t>BBG01Z0K2156 Equity (TSLL US 06/18/26 P17)</t>
        </is>
      </c>
      <c r="FY1" t="inlineStr">
        <is>
          <t>BBG01XZL3T22 Equity (TSLL1 US 06/18/26 P17)</t>
        </is>
      </c>
      <c r="GC1" t="inlineStr">
        <is>
          <t>BBG01Z0K19R6 Equity (TSLL US 06/18/26 P18)</t>
        </is>
      </c>
      <c r="GG1" t="inlineStr">
        <is>
          <t>BBG01XZL0NB8 Equity (TSLL1 US 06/18/26 P18)</t>
        </is>
      </c>
      <c r="GK1" t="inlineStr">
        <is>
          <t>BBG01Z0JZD11 Equity (TSLL US 06/18/26 P19)</t>
        </is>
      </c>
      <c r="GO1" t="inlineStr">
        <is>
          <t>BBG01XZL3FX8 Equity (TSLL1 US 06/18/26 P19)</t>
        </is>
      </c>
      <c r="GS1" t="inlineStr">
        <is>
          <t>BBG01Z0K1ZY0 Equity (TSLL US 06/18/26 P20)</t>
        </is>
      </c>
      <c r="GW1" t="inlineStr">
        <is>
          <t>BBG01XZL67X3 Equity (TSLL1 US 06/18/26 P20)</t>
        </is>
      </c>
      <c r="HA1" t="inlineStr">
        <is>
          <t>BBG01Z0K5MQ4 Equity (TSLL US 06/18/26 P21)</t>
        </is>
      </c>
      <c r="HE1" t="inlineStr">
        <is>
          <t>BBG01XZL6CC5 Equity (TSLL1 US 06/18/26 P21)</t>
        </is>
      </c>
      <c r="HI1" t="inlineStr">
        <is>
          <t>BBG01Z0JZMB0 Equity (TSLL US 06/18/26 P22)</t>
        </is>
      </c>
      <c r="HM1" t="inlineStr">
        <is>
          <t>BBG01XZL6077 Equity (TSLL1 US 06/18/26 P22)</t>
        </is>
      </c>
      <c r="HQ1" t="inlineStr">
        <is>
          <t>BBG01Z0JZNK8 Equity (TSLL US 06/18/26 P23)</t>
        </is>
      </c>
      <c r="HU1" t="inlineStr">
        <is>
          <t>BBG01XZL61G5 Equity (TSLL1 US 06/18/26 P23)</t>
        </is>
      </c>
      <c r="HY1" t="inlineStr">
        <is>
          <t>BBG01Z0JZFW2 Equity (TSLL US 06/18/26 P24)</t>
        </is>
      </c>
      <c r="IC1" t="inlineStr">
        <is>
          <t>BBG01XZL63F2 Equity (TSLL1 US 06/18/26 P24)</t>
        </is>
      </c>
      <c r="IG1" t="inlineStr">
        <is>
          <t>BBG01Z0K5FF1 Equity (TSLL US 06/18/26 P25)</t>
        </is>
      </c>
      <c r="IK1" t="inlineStr">
        <is>
          <t>BBG01XZL66P4 Equity (TSLL1 US 06/18/26 P25)</t>
        </is>
      </c>
      <c r="IO1" t="inlineStr">
        <is>
          <t>BBG01Z0K0GY3 Equity (TSLL US 06/18/26 P26)</t>
        </is>
      </c>
      <c r="IS1" t="inlineStr">
        <is>
          <t>BBG01XZL6CZ0 Equity (TSLL1 US 06/18/26 P26)</t>
        </is>
      </c>
      <c r="IW1" t="inlineStr">
        <is>
          <t>BBG01Z0JZDN7 Equity (TSLL US 06/18/26 P27)</t>
        </is>
      </c>
      <c r="JA1" t="inlineStr">
        <is>
          <t>BBG01XZL3GJ2 Equity (TSLL1 US 06/18/26 P27)</t>
        </is>
      </c>
      <c r="JE1" t="inlineStr">
        <is>
          <t>BBG01Z0K55Z1 Equity (TSLL US 06/18/26 P28)</t>
        </is>
      </c>
      <c r="JI1" t="inlineStr">
        <is>
          <t>BBG01XZL6415 Equity (TSLL1 US 06/18/26 P28)</t>
        </is>
      </c>
      <c r="JM1" t="inlineStr">
        <is>
          <t>BBG01Z0K50C7 Equity (TSLL US 06/18/26 P29)</t>
        </is>
      </c>
      <c r="JQ1" t="inlineStr">
        <is>
          <t>BBG01XZL62P3 Equity (TSLL1 US 06/18/26 P29)</t>
        </is>
      </c>
      <c r="JU1" t="inlineStr">
        <is>
          <t>BBG01Z0K21S1 Equity (TSLL US 06/18/26 P30)</t>
        </is>
      </c>
      <c r="JY1" t="inlineStr">
        <is>
          <t>BBG01XZL6B46 Equity (TSLL1 US 06/18/26 P30)</t>
        </is>
      </c>
      <c r="KC1" t="inlineStr">
        <is>
          <t>BBG01Z54DSP4 Equity (TSLL US 06/18/26 P31)</t>
        </is>
      </c>
      <c r="KG1" t="inlineStr">
        <is>
          <t>BBG01Y2B22G3 Equity (TSLL1 US 06/18/26 P31)</t>
        </is>
      </c>
      <c r="KK1" t="inlineStr">
        <is>
          <t>BBG01Z5499C5 Equity (TSLL US 06/18/26 P32)</t>
        </is>
      </c>
      <c r="KO1" t="inlineStr">
        <is>
          <t>BBG01YRRVPW0 Equity (TSLL1 US 06/18/26 P32)</t>
        </is>
      </c>
      <c r="KS1" t="inlineStr">
        <is>
          <t>BBG01Z5499Z0 Equity (TSLL US 06/18/26 P33)</t>
        </is>
      </c>
      <c r="KW1" t="inlineStr">
        <is>
          <t>BBG01YRRVRQ3 Equity (TSLL1 US 06/18/26 P33)</t>
        </is>
      </c>
      <c r="LA1" t="inlineStr">
        <is>
          <t>BBG01Z54DS29 Equity (TSLL US 06/18/26 P34)</t>
        </is>
      </c>
      <c r="LE1" t="inlineStr">
        <is>
          <t>BBG01YRRVS90 Equity (TSLL1 US 06/18/26 P34)</t>
        </is>
      </c>
      <c r="LI1" t="inlineStr">
        <is>
          <t>BBG01Z0K5D66 Equity (TSLL US 06/18/26 P35)</t>
        </is>
      </c>
      <c r="LM1" t="inlineStr">
        <is>
          <t>BBG01YRRVP87 Equity (TSLL1 US 06/18/26 P35)</t>
        </is>
      </c>
      <c r="LQ1" t="inlineStr">
        <is>
          <t>BBG020LD4DJ2 Equity (TSLL US 09/18/26 P1)</t>
        </is>
      </c>
      <c r="LU1" t="inlineStr">
        <is>
          <t>BBG020LDF464 Equity (TSLL US 09/18/26 P2)</t>
        </is>
      </c>
      <c r="LY1" t="inlineStr">
        <is>
          <t>BBG020LDGW98 Equity (TSLL US 09/18/26 P3)</t>
        </is>
      </c>
      <c r="MC1" t="inlineStr">
        <is>
          <t>BBG020LDGTG7 Equity (TSLL US 09/18/26 P4)</t>
        </is>
      </c>
      <c r="MG1" t="inlineStr">
        <is>
          <t>BBG01ZSS5CL4 Equity (TSLL US 09/18/26 P5)</t>
        </is>
      </c>
      <c r="MK1" t="inlineStr">
        <is>
          <t>BBG020LDGVP2 Equity (TSLL US 09/18/26 P6)</t>
        </is>
      </c>
      <c r="MO1" t="inlineStr">
        <is>
          <t>BBG020LDGV27 Equity (TSLL US 09/18/26 P7)</t>
        </is>
      </c>
      <c r="MS1" t="inlineStr">
        <is>
          <t>BBG020LD4F43 Equity (TSLL US 09/18/26 P8)</t>
        </is>
      </c>
      <c r="MW1" t="inlineStr">
        <is>
          <t>BBG01ZN37F26 Equity (TSLL US 09/18/26 P9)</t>
        </is>
      </c>
      <c r="NA1" t="inlineStr">
        <is>
          <t>BBG01ZN37CV1 Equity (TSLL US 09/18/26 P10)</t>
        </is>
      </c>
      <c r="NE1" t="inlineStr">
        <is>
          <t>BBG01ZN37920 Equity (TSLL US 09/18/26 P11)</t>
        </is>
      </c>
      <c r="NI1" t="inlineStr">
        <is>
          <t>BBG01ZN3HD39 Equity (TSLL US 09/18/26 P12)</t>
        </is>
      </c>
      <c r="NM1" t="inlineStr">
        <is>
          <t>BBG01ZN37LM1 Equity (TSLL US 09/18/26 P13)</t>
        </is>
      </c>
      <c r="NQ1" t="inlineStr">
        <is>
          <t>BBG01ZN37JD6 Equity (TSLL US 09/18/26 P14)</t>
        </is>
      </c>
      <c r="NU1" t="inlineStr">
        <is>
          <t>BBG01ZN3J6L2 Equity (TSLL US 09/18/26 P15)</t>
        </is>
      </c>
      <c r="NY1" t="inlineStr">
        <is>
          <t>BBG01ZN37FP1 Equity (TSLL US 09/18/26 P16)</t>
        </is>
      </c>
      <c r="OC1" t="inlineStr">
        <is>
          <t>BBG01ZN37DG6 Equity (TSLL US 09/18/26 P17)</t>
        </is>
      </c>
      <c r="OG1" t="inlineStr">
        <is>
          <t>BBG01ZN37MV9 Equity (TSLL US 09/18/26 P18)</t>
        </is>
      </c>
      <c r="OK1" t="inlineStr">
        <is>
          <t>BBG01ZN37L05 Equity (TSLL US 09/18/26 P19)</t>
        </is>
      </c>
      <c r="OO1" t="inlineStr">
        <is>
          <t>BBG01ZN3HCH6 Equity (TSLL US 09/18/26 P20)</t>
        </is>
      </c>
      <c r="OS1" t="inlineStr">
        <is>
          <t>BBG01ZN379P5 Equity (TSLL US 09/18/26 P21)</t>
        </is>
      </c>
      <c r="OW1" t="inlineStr">
        <is>
          <t>BBG01ZN37H59 Equity (TSLL US 09/18/26 P22)</t>
        </is>
      </c>
      <c r="PA1" t="inlineStr">
        <is>
          <t>BBG01ZN37M76 Equity (TSLL US 09/18/26 P23)</t>
        </is>
      </c>
      <c r="PE1" t="inlineStr">
        <is>
          <t>BBG01ZN37K07 Equity (TSLL US 09/18/26 P24)</t>
        </is>
      </c>
      <c r="PI1" t="inlineStr">
        <is>
          <t>BBG01ZN3HSK7 Equity (TSLL US 09/18/26 P25)</t>
        </is>
      </c>
      <c r="PM1" t="inlineStr">
        <is>
          <t>BBG01ZN37HS4 Equity (TSLL US 09/18/26 P26)</t>
        </is>
      </c>
      <c r="PQ1" t="inlineStr">
        <is>
          <t>BBG01ZN37B98 Equity (TSLL US 09/18/26 P27)</t>
        </is>
      </c>
      <c r="PU1" t="inlineStr">
        <is>
          <t>BBG01ZN3JHW6 Equity (TSLL US 09/18/26 P28)</t>
        </is>
      </c>
      <c r="PY1" t="inlineStr">
        <is>
          <t>BBG01ZN37KD3 Equity (TSLL US 09/18/26 P29)</t>
        </is>
      </c>
      <c r="QC1" t="inlineStr">
        <is>
          <t>BBG01ZSS5D69 Equity (TSLL US 09/18/26 P30)</t>
        </is>
      </c>
      <c r="QG1" t="inlineStr">
        <is>
          <t>BBG01ZTRXYT8 Equity (TSLL US 09/18/26 P35)</t>
        </is>
      </c>
    </row>
    <row r="2">
      <c r="A2" t="inlineStr">
        <is>
          <t>Date</t>
        </is>
      </c>
      <c r="B2" t="inlineStr">
        <is>
          <t>PX_LAST</t>
        </is>
      </c>
      <c r="C2" t="inlineStr">
        <is>
          <t>PX_VOLUME</t>
        </is>
      </c>
      <c r="E2" t="inlineStr">
        <is>
          <t>Date</t>
        </is>
      </c>
      <c r="F2" t="inlineStr">
        <is>
          <t>PX_LAST</t>
        </is>
      </c>
      <c r="G2" t="inlineStr">
        <is>
          <t>PX_VOLUME</t>
        </is>
      </c>
      <c r="I2" t="inlineStr">
        <is>
          <t>Date</t>
        </is>
      </c>
      <c r="J2" t="inlineStr">
        <is>
          <t>PX_LAST</t>
        </is>
      </c>
      <c r="K2" t="inlineStr">
        <is>
          <t>PX_VOLUME</t>
        </is>
      </c>
      <c r="M2" t="inlineStr">
        <is>
          <t>Date</t>
        </is>
      </c>
      <c r="N2" t="inlineStr">
        <is>
          <t>PX_LAST</t>
        </is>
      </c>
      <c r="O2" t="inlineStr">
        <is>
          <t>PX_VOLUME</t>
        </is>
      </c>
      <c r="Q2" t="inlineStr">
        <is>
          <t>Date</t>
        </is>
      </c>
      <c r="R2" t="inlineStr">
        <is>
          <t>PX_LAST</t>
        </is>
      </c>
      <c r="S2" t="inlineStr">
        <is>
          <t>PX_VOLUME</t>
        </is>
      </c>
      <c r="U2" t="inlineStr">
        <is>
          <t>Date</t>
        </is>
      </c>
      <c r="V2" t="inlineStr">
        <is>
          <t>PX_LAST</t>
        </is>
      </c>
      <c r="W2" t="inlineStr">
        <is>
          <t>PX_VOLUME</t>
        </is>
      </c>
      <c r="Y2" t="inlineStr">
        <is>
          <t>Date</t>
        </is>
      </c>
      <c r="Z2" t="inlineStr">
        <is>
          <t>PX_LAST</t>
        </is>
      </c>
      <c r="AA2" t="inlineStr">
        <is>
          <t>PX_VOLUME</t>
        </is>
      </c>
      <c r="AC2" t="inlineStr">
        <is>
          <t>Date</t>
        </is>
      </c>
      <c r="AD2" t="inlineStr">
        <is>
          <t>PX_LAST</t>
        </is>
      </c>
      <c r="AE2" t="inlineStr">
        <is>
          <t>PX_VOLUME</t>
        </is>
      </c>
      <c r="AG2" t="inlineStr">
        <is>
          <t>Date</t>
        </is>
      </c>
      <c r="AH2" t="inlineStr">
        <is>
          <t>PX_LAST</t>
        </is>
      </c>
      <c r="AI2" t="inlineStr">
        <is>
          <t>PX_VOLUME</t>
        </is>
      </c>
      <c r="AK2" t="inlineStr">
        <is>
          <t>Date</t>
        </is>
      </c>
      <c r="AL2" t="inlineStr">
        <is>
          <t>PX_LAST</t>
        </is>
      </c>
      <c r="AM2" t="inlineStr">
        <is>
          <t>PX_VOLUME</t>
        </is>
      </c>
      <c r="AO2" t="inlineStr">
        <is>
          <t>Date</t>
        </is>
      </c>
      <c r="AP2" t="inlineStr">
        <is>
          <t>PX_LAST</t>
        </is>
      </c>
      <c r="AQ2" t="inlineStr">
        <is>
          <t>PX_VOLUME</t>
        </is>
      </c>
      <c r="AS2" t="inlineStr">
        <is>
          <t>Date</t>
        </is>
      </c>
      <c r="AT2" t="inlineStr">
        <is>
          <t>PX_LAST</t>
        </is>
      </c>
      <c r="AU2" t="inlineStr">
        <is>
          <t>PX_VOLUME</t>
        </is>
      </c>
      <c r="AW2" t="inlineStr">
        <is>
          <t>Date</t>
        </is>
      </c>
      <c r="AX2" t="inlineStr">
        <is>
          <t>PX_LAST</t>
        </is>
      </c>
      <c r="AY2" t="inlineStr">
        <is>
          <t>PX_VOLUME</t>
        </is>
      </c>
      <c r="BA2" t="inlineStr">
        <is>
          <t>Date</t>
        </is>
      </c>
      <c r="BB2" t="inlineStr">
        <is>
          <t>PX_LAST</t>
        </is>
      </c>
      <c r="BC2" t="inlineStr">
        <is>
          <t>PX_VOLUME</t>
        </is>
      </c>
      <c r="BE2" t="inlineStr">
        <is>
          <t>Date</t>
        </is>
      </c>
      <c r="BF2" t="inlineStr">
        <is>
          <t>PX_LAST</t>
        </is>
      </c>
      <c r="BG2" t="inlineStr">
        <is>
          <t>PX_VOLUME</t>
        </is>
      </c>
      <c r="BI2" t="inlineStr">
        <is>
          <t>Date</t>
        </is>
      </c>
      <c r="BJ2" t="inlineStr">
        <is>
          <t>PX_LAST</t>
        </is>
      </c>
      <c r="BK2" t="inlineStr">
        <is>
          <t>PX_VOLUME</t>
        </is>
      </c>
      <c r="BM2" t="inlineStr">
        <is>
          <t>Date</t>
        </is>
      </c>
      <c r="BN2" t="inlineStr">
        <is>
          <t>PX_LAST</t>
        </is>
      </c>
      <c r="BO2" t="inlineStr">
        <is>
          <t>PX_VOLUME</t>
        </is>
      </c>
      <c r="BQ2" t="inlineStr">
        <is>
          <t>Date</t>
        </is>
      </c>
      <c r="BR2" t="inlineStr">
        <is>
          <t>PX_LAST</t>
        </is>
      </c>
      <c r="BS2" t="inlineStr">
        <is>
          <t>PX_VOLUME</t>
        </is>
      </c>
      <c r="BU2" t="inlineStr">
        <is>
          <t>Date</t>
        </is>
      </c>
      <c r="BV2" t="inlineStr">
        <is>
          <t>PX_LAST</t>
        </is>
      </c>
      <c r="BW2" t="inlineStr">
        <is>
          <t>PX_VOLUME</t>
        </is>
      </c>
      <c r="BY2" t="inlineStr">
        <is>
          <t>Date</t>
        </is>
      </c>
      <c r="BZ2" t="inlineStr">
        <is>
          <t>PX_LAST</t>
        </is>
      </c>
      <c r="CA2" t="inlineStr">
        <is>
          <t>PX_VOLUME</t>
        </is>
      </c>
      <c r="CC2" t="inlineStr">
        <is>
          <t>Date</t>
        </is>
      </c>
      <c r="CD2" t="inlineStr">
        <is>
          <t>PX_LAST</t>
        </is>
      </c>
      <c r="CE2" t="inlineStr">
        <is>
          <t>PX_VOLUME</t>
        </is>
      </c>
      <c r="CG2" t="inlineStr">
        <is>
          <t>Date</t>
        </is>
      </c>
      <c r="CH2" t="inlineStr">
        <is>
          <t>PX_LAST</t>
        </is>
      </c>
      <c r="CI2" t="inlineStr">
        <is>
          <t>PX_VOLUME</t>
        </is>
      </c>
      <c r="CK2" t="inlineStr">
        <is>
          <t>Date</t>
        </is>
      </c>
      <c r="CL2" t="inlineStr">
        <is>
          <t>PX_LAST</t>
        </is>
      </c>
      <c r="CM2" t="inlineStr">
        <is>
          <t>PX_VOLUME</t>
        </is>
      </c>
      <c r="CO2" t="inlineStr">
        <is>
          <t>Date</t>
        </is>
      </c>
      <c r="CP2" t="inlineStr">
        <is>
          <t>PX_LAST</t>
        </is>
      </c>
      <c r="CQ2" t="inlineStr">
        <is>
          <t>PX_VOLUME</t>
        </is>
      </c>
      <c r="CS2" t="inlineStr">
        <is>
          <t>Date</t>
        </is>
      </c>
      <c r="CT2" t="inlineStr">
        <is>
          <t>PX_LAST</t>
        </is>
      </c>
      <c r="CU2" t="inlineStr">
        <is>
          <t>PX_VOLUME</t>
        </is>
      </c>
      <c r="CW2" t="inlineStr">
        <is>
          <t>Date</t>
        </is>
      </c>
      <c r="CX2" t="inlineStr">
        <is>
          <t>PX_LAST</t>
        </is>
      </c>
      <c r="CY2" t="inlineStr">
        <is>
          <t>PX_VOLUME</t>
        </is>
      </c>
      <c r="DA2" t="inlineStr">
        <is>
          <t>Date</t>
        </is>
      </c>
      <c r="DB2" t="inlineStr">
        <is>
          <t>PX_LAST</t>
        </is>
      </c>
      <c r="DC2" t="inlineStr">
        <is>
          <t>PX_VOLUME</t>
        </is>
      </c>
      <c r="DE2" t="inlineStr">
        <is>
          <t>Date</t>
        </is>
      </c>
      <c r="DF2" t="inlineStr">
        <is>
          <t>PX_LAST</t>
        </is>
      </c>
      <c r="DG2" t="inlineStr">
        <is>
          <t>PX_VOLUME</t>
        </is>
      </c>
      <c r="DI2" t="inlineStr">
        <is>
          <t>Date</t>
        </is>
      </c>
      <c r="DJ2" t="inlineStr">
        <is>
          <t>PX_LAST</t>
        </is>
      </c>
      <c r="DK2" t="inlineStr">
        <is>
          <t>PX_VOLUME</t>
        </is>
      </c>
      <c r="DM2" t="inlineStr">
        <is>
          <t>Date</t>
        </is>
      </c>
      <c r="DN2" t="inlineStr">
        <is>
          <t>PX_LAST</t>
        </is>
      </c>
      <c r="DO2" t="inlineStr">
        <is>
          <t>PX_VOLUME</t>
        </is>
      </c>
      <c r="DQ2" t="inlineStr">
        <is>
          <t>Date</t>
        </is>
      </c>
      <c r="DR2" t="inlineStr">
        <is>
          <t>PX_LAST</t>
        </is>
      </c>
      <c r="DS2" t="inlineStr">
        <is>
          <t>PX_VOLUME</t>
        </is>
      </c>
      <c r="DU2" t="inlineStr">
        <is>
          <t>Date</t>
        </is>
      </c>
      <c r="DV2" t="inlineStr">
        <is>
          <t>PX_LAST</t>
        </is>
      </c>
      <c r="DW2" t="inlineStr">
        <is>
          <t>PX_VOLUME</t>
        </is>
      </c>
      <c r="DY2" t="inlineStr">
        <is>
          <t>Date</t>
        </is>
      </c>
      <c r="DZ2" t="inlineStr">
        <is>
          <t>PX_LAST</t>
        </is>
      </c>
      <c r="EA2" t="inlineStr">
        <is>
          <t>PX_VOLUME</t>
        </is>
      </c>
      <c r="EC2" t="inlineStr">
        <is>
          <t>Date</t>
        </is>
      </c>
      <c r="ED2" t="inlineStr">
        <is>
          <t>PX_LAST</t>
        </is>
      </c>
      <c r="EE2" t="inlineStr">
        <is>
          <t>PX_VOLUME</t>
        </is>
      </c>
      <c r="EG2" t="inlineStr">
        <is>
          <t>Date</t>
        </is>
      </c>
      <c r="EH2" t="inlineStr">
        <is>
          <t>PX_LAST</t>
        </is>
      </c>
      <c r="EI2" t="inlineStr">
        <is>
          <t>PX_VOLUME</t>
        </is>
      </c>
      <c r="EK2" t="inlineStr">
        <is>
          <t>Date</t>
        </is>
      </c>
      <c r="EL2" t="inlineStr">
        <is>
          <t>PX_LAST</t>
        </is>
      </c>
      <c r="EM2" t="inlineStr">
        <is>
          <t>PX_VOLUME</t>
        </is>
      </c>
      <c r="EO2" t="inlineStr">
        <is>
          <t>Date</t>
        </is>
      </c>
      <c r="EP2" t="inlineStr">
        <is>
          <t>PX_LAST</t>
        </is>
      </c>
      <c r="EQ2" t="inlineStr">
        <is>
          <t>PX_VOLUME</t>
        </is>
      </c>
      <c r="ES2" t="inlineStr">
        <is>
          <t>Date</t>
        </is>
      </c>
      <c r="ET2" t="inlineStr">
        <is>
          <t>PX_LAST</t>
        </is>
      </c>
      <c r="EU2" t="inlineStr">
        <is>
          <t>PX_VOLUME</t>
        </is>
      </c>
      <c r="EW2" t="inlineStr">
        <is>
          <t>Date</t>
        </is>
      </c>
      <c r="EX2" t="inlineStr">
        <is>
          <t>PX_LAST</t>
        </is>
      </c>
      <c r="EY2" t="inlineStr">
        <is>
          <t>PX_VOLUME</t>
        </is>
      </c>
      <c r="FA2" t="inlineStr">
        <is>
          <t>Date</t>
        </is>
      </c>
      <c r="FB2" t="inlineStr">
        <is>
          <t>PX_LAST</t>
        </is>
      </c>
      <c r="FC2" t="inlineStr">
        <is>
          <t>PX_VOLUME</t>
        </is>
      </c>
      <c r="FE2" t="inlineStr">
        <is>
          <t>Date</t>
        </is>
      </c>
      <c r="FF2" t="inlineStr">
        <is>
          <t>PX_LAST</t>
        </is>
      </c>
      <c r="FG2" t="inlineStr">
        <is>
          <t>PX_VOLUME</t>
        </is>
      </c>
      <c r="FI2" t="inlineStr">
        <is>
          <t>Date</t>
        </is>
      </c>
      <c r="FJ2" t="inlineStr">
        <is>
          <t>PX_LAST</t>
        </is>
      </c>
      <c r="FK2" t="inlineStr">
        <is>
          <t>PX_VOLUME</t>
        </is>
      </c>
      <c r="FM2" t="inlineStr">
        <is>
          <t>Date</t>
        </is>
      </c>
      <c r="FN2" t="inlineStr">
        <is>
          <t>PX_LAST</t>
        </is>
      </c>
      <c r="FO2" t="inlineStr">
        <is>
          <t>PX_VOLUME</t>
        </is>
      </c>
      <c r="FQ2" t="inlineStr">
        <is>
          <t>Date</t>
        </is>
      </c>
      <c r="FR2" t="inlineStr">
        <is>
          <t>PX_LAST</t>
        </is>
      </c>
      <c r="FS2" t="inlineStr">
        <is>
          <t>PX_VOLUME</t>
        </is>
      </c>
      <c r="FU2" t="inlineStr">
        <is>
          <t>Date</t>
        </is>
      </c>
      <c r="FV2" t="inlineStr">
        <is>
          <t>PX_LAST</t>
        </is>
      </c>
      <c r="FW2" t="inlineStr">
        <is>
          <t>PX_VOLUME</t>
        </is>
      </c>
      <c r="FY2" t="inlineStr">
        <is>
          <t>Date</t>
        </is>
      </c>
      <c r="FZ2" t="inlineStr">
        <is>
          <t>PX_LAST</t>
        </is>
      </c>
      <c r="GA2" t="inlineStr">
        <is>
          <t>PX_VOLUME</t>
        </is>
      </c>
      <c r="GC2" t="inlineStr">
        <is>
          <t>Date</t>
        </is>
      </c>
      <c r="GD2" t="inlineStr">
        <is>
          <t>PX_LAST</t>
        </is>
      </c>
      <c r="GE2" t="inlineStr">
        <is>
          <t>PX_VOLUME</t>
        </is>
      </c>
      <c r="GG2" t="inlineStr">
        <is>
          <t>Date</t>
        </is>
      </c>
      <c r="GH2" t="inlineStr">
        <is>
          <t>PX_LAST</t>
        </is>
      </c>
      <c r="GI2" t="inlineStr">
        <is>
          <t>PX_VOLUME</t>
        </is>
      </c>
      <c r="GK2" t="inlineStr">
        <is>
          <t>Date</t>
        </is>
      </c>
      <c r="GL2" t="inlineStr">
        <is>
          <t>PX_LAST</t>
        </is>
      </c>
      <c r="GM2" t="inlineStr">
        <is>
          <t>PX_VOLUME</t>
        </is>
      </c>
      <c r="GO2" t="inlineStr">
        <is>
          <t>Date</t>
        </is>
      </c>
      <c r="GP2" t="inlineStr">
        <is>
          <t>PX_LAST</t>
        </is>
      </c>
      <c r="GQ2" t="inlineStr">
        <is>
          <t>PX_VOLUME</t>
        </is>
      </c>
      <c r="GS2" t="inlineStr">
        <is>
          <t>Date</t>
        </is>
      </c>
      <c r="GT2" t="inlineStr">
        <is>
          <t>PX_LAST</t>
        </is>
      </c>
      <c r="GU2" t="inlineStr">
        <is>
          <t>PX_VOLUME</t>
        </is>
      </c>
      <c r="GW2" t="inlineStr">
        <is>
          <t>Date</t>
        </is>
      </c>
      <c r="GX2" t="inlineStr">
        <is>
          <t>PX_LAST</t>
        </is>
      </c>
      <c r="GY2" t="inlineStr">
        <is>
          <t>PX_VOLUME</t>
        </is>
      </c>
      <c r="HA2" t="inlineStr">
        <is>
          <t>Date</t>
        </is>
      </c>
      <c r="HB2" t="inlineStr">
        <is>
          <t>PX_LAST</t>
        </is>
      </c>
      <c r="HC2" t="inlineStr">
        <is>
          <t>PX_VOLUME</t>
        </is>
      </c>
      <c r="HE2" t="inlineStr">
        <is>
          <t>Date</t>
        </is>
      </c>
      <c r="HF2" t="inlineStr">
        <is>
          <t>PX_LAST</t>
        </is>
      </c>
      <c r="HG2" t="inlineStr">
        <is>
          <t>PX_VOLUME</t>
        </is>
      </c>
      <c r="HI2" t="inlineStr">
        <is>
          <t>Date</t>
        </is>
      </c>
      <c r="HJ2" t="inlineStr">
        <is>
          <t>PX_LAST</t>
        </is>
      </c>
      <c r="HK2" t="inlineStr">
        <is>
          <t>PX_VOLUME</t>
        </is>
      </c>
      <c r="HM2" t="inlineStr">
        <is>
          <t>Date</t>
        </is>
      </c>
      <c r="HN2" t="inlineStr">
        <is>
          <t>PX_LAST</t>
        </is>
      </c>
      <c r="HO2" t="inlineStr">
        <is>
          <t>PX_VOLUME</t>
        </is>
      </c>
      <c r="HQ2" t="inlineStr">
        <is>
          <t>Date</t>
        </is>
      </c>
      <c r="HR2" t="inlineStr">
        <is>
          <t>PX_LAST</t>
        </is>
      </c>
      <c r="HS2" t="inlineStr">
        <is>
          <t>PX_VOLUME</t>
        </is>
      </c>
      <c r="HU2" t="inlineStr">
        <is>
          <t>Date</t>
        </is>
      </c>
      <c r="HV2" t="inlineStr">
        <is>
          <t>PX_LAST</t>
        </is>
      </c>
      <c r="HW2" t="inlineStr">
        <is>
          <t>PX_VOLUME</t>
        </is>
      </c>
      <c r="HY2" t="inlineStr">
        <is>
          <t>Date</t>
        </is>
      </c>
      <c r="HZ2" t="inlineStr">
        <is>
          <t>PX_LAST</t>
        </is>
      </c>
      <c r="IA2" t="inlineStr">
        <is>
          <t>PX_VOLUME</t>
        </is>
      </c>
      <c r="IC2" t="inlineStr">
        <is>
          <t>Date</t>
        </is>
      </c>
      <c r="ID2" t="inlineStr">
        <is>
          <t>PX_LAST</t>
        </is>
      </c>
      <c r="IE2" t="inlineStr">
        <is>
          <t>PX_VOLUME</t>
        </is>
      </c>
      <c r="IG2" t="inlineStr">
        <is>
          <t>Date</t>
        </is>
      </c>
      <c r="IH2" t="inlineStr">
        <is>
          <t>PX_LAST</t>
        </is>
      </c>
      <c r="II2" t="inlineStr">
        <is>
          <t>PX_VOLUME</t>
        </is>
      </c>
      <c r="IK2" t="inlineStr">
        <is>
          <t>Date</t>
        </is>
      </c>
      <c r="IL2" t="inlineStr">
        <is>
          <t>PX_LAST</t>
        </is>
      </c>
      <c r="IM2" t="inlineStr">
        <is>
          <t>PX_VOLUME</t>
        </is>
      </c>
      <c r="IO2" t="inlineStr">
        <is>
          <t>Date</t>
        </is>
      </c>
      <c r="IP2" t="inlineStr">
        <is>
          <t>PX_LAST</t>
        </is>
      </c>
      <c r="IQ2" t="inlineStr">
        <is>
          <t>PX_VOLUME</t>
        </is>
      </c>
      <c r="IS2" t="inlineStr">
        <is>
          <t>Date</t>
        </is>
      </c>
      <c r="IT2" t="inlineStr">
        <is>
          <t>PX_LAST</t>
        </is>
      </c>
      <c r="IU2" t="inlineStr">
        <is>
          <t>PX_VOLUME</t>
        </is>
      </c>
      <c r="IW2" t="inlineStr">
        <is>
          <t>Date</t>
        </is>
      </c>
      <c r="IX2" t="inlineStr">
        <is>
          <t>PX_LAST</t>
        </is>
      </c>
      <c r="IY2" t="inlineStr">
        <is>
          <t>PX_VOLUME</t>
        </is>
      </c>
      <c r="JA2" t="inlineStr">
        <is>
          <t>Date</t>
        </is>
      </c>
      <c r="JB2" t="inlineStr">
        <is>
          <t>PX_LAST</t>
        </is>
      </c>
      <c r="JC2" t="inlineStr">
        <is>
          <t>PX_VOLUME</t>
        </is>
      </c>
      <c r="JE2" t="inlineStr">
        <is>
          <t>Date</t>
        </is>
      </c>
      <c r="JF2" t="inlineStr">
        <is>
          <t>PX_LAST</t>
        </is>
      </c>
      <c r="JG2" t="inlineStr">
        <is>
          <t>PX_VOLUME</t>
        </is>
      </c>
      <c r="JI2" t="inlineStr">
        <is>
          <t>Date</t>
        </is>
      </c>
      <c r="JJ2" t="inlineStr">
        <is>
          <t>PX_LAST</t>
        </is>
      </c>
      <c r="JK2" t="inlineStr">
        <is>
          <t>PX_VOLUME</t>
        </is>
      </c>
      <c r="JM2" t="inlineStr">
        <is>
          <t>Date</t>
        </is>
      </c>
      <c r="JN2" t="inlineStr">
        <is>
          <t>PX_LAST</t>
        </is>
      </c>
      <c r="JO2" t="inlineStr">
        <is>
          <t>PX_VOLUME</t>
        </is>
      </c>
      <c r="JQ2" t="inlineStr">
        <is>
          <t>Date</t>
        </is>
      </c>
      <c r="JR2" t="inlineStr">
        <is>
          <t>PX_LAST</t>
        </is>
      </c>
      <c r="JS2" t="inlineStr">
        <is>
          <t>PX_VOLUME</t>
        </is>
      </c>
      <c r="JU2" t="inlineStr">
        <is>
          <t>Date</t>
        </is>
      </c>
      <c r="JV2" t="inlineStr">
        <is>
          <t>PX_LAST</t>
        </is>
      </c>
      <c r="JW2" t="inlineStr">
        <is>
          <t>PX_VOLUME</t>
        </is>
      </c>
      <c r="JY2" t="inlineStr">
        <is>
          <t>Date</t>
        </is>
      </c>
      <c r="JZ2" t="inlineStr">
        <is>
          <t>PX_LAST</t>
        </is>
      </c>
      <c r="KA2" t="inlineStr">
        <is>
          <t>PX_VOLUME</t>
        </is>
      </c>
      <c r="KC2" t="inlineStr">
        <is>
          <t>Date</t>
        </is>
      </c>
      <c r="KD2" t="inlineStr">
        <is>
          <t>PX_LAST</t>
        </is>
      </c>
      <c r="KE2" t="inlineStr">
        <is>
          <t>PX_VOLUME</t>
        </is>
      </c>
      <c r="KG2" t="inlineStr">
        <is>
          <t>Date</t>
        </is>
      </c>
      <c r="KH2" t="inlineStr">
        <is>
          <t>PX_LAST</t>
        </is>
      </c>
      <c r="KI2" t="inlineStr">
        <is>
          <t>PX_VOLUME</t>
        </is>
      </c>
      <c r="KK2" t="inlineStr">
        <is>
          <t>Date</t>
        </is>
      </c>
      <c r="KL2" t="inlineStr">
        <is>
          <t>PX_LAST</t>
        </is>
      </c>
      <c r="KM2" t="inlineStr">
        <is>
          <t>PX_VOLUME</t>
        </is>
      </c>
      <c r="KO2" t="inlineStr">
        <is>
          <t>Date</t>
        </is>
      </c>
      <c r="KP2" t="inlineStr">
        <is>
          <t>PX_LAST</t>
        </is>
      </c>
      <c r="KQ2" t="inlineStr">
        <is>
          <t>PX_VOLUME</t>
        </is>
      </c>
      <c r="KS2" t="inlineStr">
        <is>
          <t>Date</t>
        </is>
      </c>
      <c r="KT2" t="inlineStr">
        <is>
          <t>PX_LAST</t>
        </is>
      </c>
      <c r="KU2" t="inlineStr">
        <is>
          <t>PX_VOLUME</t>
        </is>
      </c>
      <c r="KW2" t="inlineStr">
        <is>
          <t>Date</t>
        </is>
      </c>
      <c r="KX2" t="inlineStr">
        <is>
          <t>PX_LAST</t>
        </is>
      </c>
      <c r="KY2" t="inlineStr">
        <is>
          <t>PX_VOLUME</t>
        </is>
      </c>
      <c r="LA2" t="inlineStr">
        <is>
          <t>Date</t>
        </is>
      </c>
      <c r="LB2" t="inlineStr">
        <is>
          <t>PX_LAST</t>
        </is>
      </c>
      <c r="LC2" t="inlineStr">
        <is>
          <t>PX_VOLUME</t>
        </is>
      </c>
      <c r="LE2" t="inlineStr">
        <is>
          <t>Date</t>
        </is>
      </c>
      <c r="LF2" t="inlineStr">
        <is>
          <t>PX_LAST</t>
        </is>
      </c>
      <c r="LG2" t="inlineStr">
        <is>
          <t>PX_VOLUME</t>
        </is>
      </c>
      <c r="LI2" t="inlineStr">
        <is>
          <t>Date</t>
        </is>
      </c>
      <c r="LJ2" t="inlineStr">
        <is>
          <t>PX_LAST</t>
        </is>
      </c>
      <c r="LK2" t="inlineStr">
        <is>
          <t>PX_VOLUME</t>
        </is>
      </c>
      <c r="LM2" t="inlineStr">
        <is>
          <t>Date</t>
        </is>
      </c>
      <c r="LN2" t="inlineStr">
        <is>
          <t>PX_LAST</t>
        </is>
      </c>
      <c r="LO2" t="inlineStr">
        <is>
          <t>PX_VOLUME</t>
        </is>
      </c>
      <c r="LQ2" t="inlineStr">
        <is>
          <t>Date</t>
        </is>
      </c>
      <c r="LR2" t="inlineStr">
        <is>
          <t>PX_LAST</t>
        </is>
      </c>
      <c r="LS2" t="inlineStr">
        <is>
          <t>PX_VOLUME</t>
        </is>
      </c>
      <c r="LU2" t="inlineStr">
        <is>
          <t>Date</t>
        </is>
      </c>
      <c r="LV2" t="inlineStr">
        <is>
          <t>PX_LAST</t>
        </is>
      </c>
      <c r="LW2" t="inlineStr">
        <is>
          <t>PX_VOLUME</t>
        </is>
      </c>
      <c r="LY2" t="inlineStr">
        <is>
          <t>Date</t>
        </is>
      </c>
      <c r="LZ2" t="inlineStr">
        <is>
          <t>PX_LAST</t>
        </is>
      </c>
      <c r="MA2" t="inlineStr">
        <is>
          <t>PX_VOLUME</t>
        </is>
      </c>
      <c r="MC2" t="inlineStr">
        <is>
          <t>Date</t>
        </is>
      </c>
      <c r="MD2" t="inlineStr">
        <is>
          <t>PX_LAST</t>
        </is>
      </c>
      <c r="ME2" t="inlineStr">
        <is>
          <t>PX_VOLUME</t>
        </is>
      </c>
      <c r="MG2" t="inlineStr">
        <is>
          <t>Date</t>
        </is>
      </c>
      <c r="MH2" t="inlineStr">
        <is>
          <t>PX_LAST</t>
        </is>
      </c>
      <c r="MI2" t="inlineStr">
        <is>
          <t>PX_VOLUME</t>
        </is>
      </c>
      <c r="MK2" t="inlineStr">
        <is>
          <t>Date</t>
        </is>
      </c>
      <c r="ML2" t="inlineStr">
        <is>
          <t>PX_LAST</t>
        </is>
      </c>
      <c r="MM2" t="inlineStr">
        <is>
          <t>PX_VOLUME</t>
        </is>
      </c>
      <c r="MO2" t="inlineStr">
        <is>
          <t>Date</t>
        </is>
      </c>
      <c r="MP2" t="inlineStr">
        <is>
          <t>PX_LAST</t>
        </is>
      </c>
      <c r="MQ2" t="inlineStr">
        <is>
          <t>PX_VOLUME</t>
        </is>
      </c>
      <c r="MS2" t="inlineStr">
        <is>
          <t>Date</t>
        </is>
      </c>
      <c r="MT2" t="inlineStr">
        <is>
          <t>PX_LAST</t>
        </is>
      </c>
      <c r="MU2" t="inlineStr">
        <is>
          <t>PX_VOLUME</t>
        </is>
      </c>
      <c r="MW2" t="inlineStr">
        <is>
          <t>Date</t>
        </is>
      </c>
      <c r="MX2" t="inlineStr">
        <is>
          <t>PX_LAST</t>
        </is>
      </c>
      <c r="MY2" t="inlineStr">
        <is>
          <t>PX_VOLUME</t>
        </is>
      </c>
      <c r="NA2" t="inlineStr">
        <is>
          <t>Date</t>
        </is>
      </c>
      <c r="NB2" t="inlineStr">
        <is>
          <t>PX_LAST</t>
        </is>
      </c>
      <c r="NC2" t="inlineStr">
        <is>
          <t>PX_VOLUME</t>
        </is>
      </c>
      <c r="NE2" t="inlineStr">
        <is>
          <t>Date</t>
        </is>
      </c>
      <c r="NF2" t="inlineStr">
        <is>
          <t>PX_LAST</t>
        </is>
      </c>
      <c r="NG2" t="inlineStr">
        <is>
          <t>PX_VOLUME</t>
        </is>
      </c>
      <c r="NI2" t="inlineStr">
        <is>
          <t>Date</t>
        </is>
      </c>
      <c r="NJ2" t="inlineStr">
        <is>
          <t>PX_LAST</t>
        </is>
      </c>
      <c r="NK2" t="inlineStr">
        <is>
          <t>PX_VOLUME</t>
        </is>
      </c>
      <c r="NM2" t="inlineStr">
        <is>
          <t>Date</t>
        </is>
      </c>
      <c r="NN2" t="inlineStr">
        <is>
          <t>PX_LAST</t>
        </is>
      </c>
      <c r="NO2" t="inlineStr">
        <is>
          <t>PX_VOLUME</t>
        </is>
      </c>
      <c r="NQ2" t="inlineStr">
        <is>
          <t>Date</t>
        </is>
      </c>
      <c r="NR2" t="inlineStr">
        <is>
          <t>PX_LAST</t>
        </is>
      </c>
      <c r="NS2" t="inlineStr">
        <is>
          <t>PX_VOLUME</t>
        </is>
      </c>
      <c r="NU2" t="inlineStr">
        <is>
          <t>Date</t>
        </is>
      </c>
      <c r="NV2" t="inlineStr">
        <is>
          <t>PX_LAST</t>
        </is>
      </c>
      <c r="NW2" t="inlineStr">
        <is>
          <t>PX_VOLUME</t>
        </is>
      </c>
      <c r="NY2" t="inlineStr">
        <is>
          <t>Date</t>
        </is>
      </c>
      <c r="NZ2" t="inlineStr">
        <is>
          <t>PX_LAST</t>
        </is>
      </c>
      <c r="OA2" t="inlineStr">
        <is>
          <t>PX_VOLUME</t>
        </is>
      </c>
      <c r="OC2" t="inlineStr">
        <is>
          <t>Date</t>
        </is>
      </c>
      <c r="OD2" t="inlineStr">
        <is>
          <t>PX_LAST</t>
        </is>
      </c>
      <c r="OE2" t="inlineStr">
        <is>
          <t>PX_VOLUME</t>
        </is>
      </c>
      <c r="OG2" t="inlineStr">
        <is>
          <t>Date</t>
        </is>
      </c>
      <c r="OH2" t="inlineStr">
        <is>
          <t>PX_LAST</t>
        </is>
      </c>
      <c r="OI2" t="inlineStr">
        <is>
          <t>PX_VOLUME</t>
        </is>
      </c>
      <c r="OK2" t="inlineStr">
        <is>
          <t>Date</t>
        </is>
      </c>
      <c r="OL2" t="inlineStr">
        <is>
          <t>PX_LAST</t>
        </is>
      </c>
      <c r="OM2" t="inlineStr">
        <is>
          <t>PX_VOLUME</t>
        </is>
      </c>
      <c r="OO2" t="inlineStr">
        <is>
          <t>Date</t>
        </is>
      </c>
      <c r="OP2" t="inlineStr">
        <is>
          <t>PX_LAST</t>
        </is>
      </c>
      <c r="OQ2" t="inlineStr">
        <is>
          <t>PX_VOLUME</t>
        </is>
      </c>
      <c r="OS2" t="inlineStr">
        <is>
          <t>Date</t>
        </is>
      </c>
      <c r="OT2" t="inlineStr">
        <is>
          <t>PX_LAST</t>
        </is>
      </c>
      <c r="OU2" t="inlineStr">
        <is>
          <t>PX_VOLUME</t>
        </is>
      </c>
      <c r="OW2" t="inlineStr">
        <is>
          <t>Date</t>
        </is>
      </c>
      <c r="OX2" t="inlineStr">
        <is>
          <t>PX_LAST</t>
        </is>
      </c>
      <c r="OY2" t="inlineStr">
        <is>
          <t>PX_VOLUME</t>
        </is>
      </c>
      <c r="PA2" t="inlineStr">
        <is>
          <t>Date</t>
        </is>
      </c>
      <c r="PB2" t="inlineStr">
        <is>
          <t>PX_LAST</t>
        </is>
      </c>
      <c r="PC2" t="inlineStr">
        <is>
          <t>PX_VOLUME</t>
        </is>
      </c>
      <c r="PE2" t="inlineStr">
        <is>
          <t>Date</t>
        </is>
      </c>
      <c r="PF2" t="inlineStr">
        <is>
          <t>PX_LAST</t>
        </is>
      </c>
      <c r="PG2" t="inlineStr">
        <is>
          <t>PX_VOLUME</t>
        </is>
      </c>
      <c r="PI2" t="inlineStr">
        <is>
          <t>Date</t>
        </is>
      </c>
      <c r="PJ2" t="inlineStr">
        <is>
          <t>PX_LAST</t>
        </is>
      </c>
      <c r="PK2" t="inlineStr">
        <is>
          <t>PX_VOLUME</t>
        </is>
      </c>
      <c r="PM2" t="inlineStr">
        <is>
          <t>Date</t>
        </is>
      </c>
      <c r="PN2" t="inlineStr">
        <is>
          <t>PX_LAST</t>
        </is>
      </c>
      <c r="PO2" t="inlineStr">
        <is>
          <t>PX_VOLUME</t>
        </is>
      </c>
      <c r="PQ2" t="inlineStr">
        <is>
          <t>Date</t>
        </is>
      </c>
      <c r="PR2" t="inlineStr">
        <is>
          <t>PX_LAST</t>
        </is>
      </c>
      <c r="PS2" t="inlineStr">
        <is>
          <t>PX_VOLUME</t>
        </is>
      </c>
      <c r="PU2" t="inlineStr">
        <is>
          <t>Date</t>
        </is>
      </c>
      <c r="PV2" t="inlineStr">
        <is>
          <t>PX_LAST</t>
        </is>
      </c>
      <c r="PW2" t="inlineStr">
        <is>
          <t>PX_VOLUME</t>
        </is>
      </c>
      <c r="PY2" t="inlineStr">
        <is>
          <t>Date</t>
        </is>
      </c>
      <c r="PZ2" t="inlineStr">
        <is>
          <t>PX_LAST</t>
        </is>
      </c>
      <c r="QA2" t="inlineStr">
        <is>
          <t>PX_VOLUME</t>
        </is>
      </c>
      <c r="QC2" t="inlineStr">
        <is>
          <t>Date</t>
        </is>
      </c>
      <c r="QD2" t="inlineStr">
        <is>
          <t>PX_LAST</t>
        </is>
      </c>
      <c r="QE2" t="inlineStr">
        <is>
          <t>PX_VOLUME</t>
        </is>
      </c>
      <c r="QG2" t="inlineStr">
        <is>
          <t>Date</t>
        </is>
      </c>
      <c r="QH2" t="inlineStr">
        <is>
          <t>PX_LAST</t>
        </is>
      </c>
      <c r="QI2" t="inlineStr">
        <is>
          <t>PX_VOLUME</t>
        </is>
      </c>
    </row>
    <row r="3">
      <c r="A3">
        <f>BDH("BBG0213H7J14 Equity","PX_LAST,PX_VOLUME","1/1/2020","6/10/2026")</f>
        <v/>
      </c>
      <c r="E3">
        <f>BDH("BBG0213H7M99 Equity","PX_LAST,PX_VOLUME","1/1/2020","6/10/2026")</f>
        <v/>
      </c>
      <c r="I3">
        <f>BDH("BBG0213GYDM6 Equity","PX_LAST,PX_VOLUME","1/1/2020","6/10/2026")</f>
        <v/>
      </c>
      <c r="M3">
        <f>BDH("BBG0213GYF78 Equity","PX_LAST,PX_VOLUME","1/1/2020","6/10/2026")</f>
        <v/>
      </c>
      <c r="Q3">
        <f>BDH("BBG0213H7952 Equity","PX_LAST,PX_VOLUME","1/1/2020","6/10/2026")</f>
        <v/>
      </c>
      <c r="U3">
        <f>BDH("BBG0213H39R2 Equity","PX_LAST,PX_VOLUME","1/1/2020","6/10/2026")</f>
        <v/>
      </c>
      <c r="Y3">
        <f>BDH("BBG0213H7PR2 Equity","PX_LAST,PX_VOLUME","1/1/2020","6/10/2026")</f>
        <v/>
      </c>
      <c r="AC3">
        <f>BDH("BBG0213H2Z95 Equity","PX_LAST,PX_VOLUME","1/1/2020","6/10/2026")</f>
        <v/>
      </c>
      <c r="AG3">
        <f>BDH("BBG0213H3947 Equity","PX_LAST,PX_VOLUME","1/1/2020","6/10/2026")</f>
        <v/>
      </c>
      <c r="AK3">
        <f>BDH("BBG0213H2CP8 Equity","PX_LAST,PX_VOLUME","1/1/2020","6/10/2026")</f>
        <v/>
      </c>
      <c r="AO3">
        <f>BDH("BBG0213H79S7 Equity","PX_LAST,PX_VOLUME","1/1/2020","6/10/2026")</f>
        <v/>
      </c>
      <c r="AS3">
        <f>BDH("BBG0213H7MX2 Equity","PX_LAST,PX_VOLUME","1/1/2020","6/10/2026")</f>
        <v/>
      </c>
      <c r="AW3">
        <f>BDH("BBG020LD6G49 Equity","PX_LAST,PX_VOLUME","1/1/2020","6/10/2026")</f>
        <v/>
      </c>
      <c r="BA3">
        <f>BDH("BBG01YRRVTJ7 Equity","PX_LAST,PX_VOLUME","1/1/2020","6/10/2026")</f>
        <v/>
      </c>
      <c r="BE3">
        <f>BDH("BBG020LDGKX7 Equity","PX_LAST,PX_VOLUME","1/1/2020","6/10/2026")</f>
        <v/>
      </c>
      <c r="BI3">
        <f>BDH("BBG01YRRVR38 Equity","PX_LAST,PX_VOLUME","1/1/2020","6/10/2026")</f>
        <v/>
      </c>
      <c r="BM3">
        <f>BDH("BBG020LDGJ24 Equity","PX_LAST,PX_VOLUME","1/1/2020","6/10/2026")</f>
        <v/>
      </c>
      <c r="BQ3">
        <f>BDH("BBG01YRRVQH5 Equity","PX_LAST,PX_VOLUME","1/1/2020","6/10/2026")</f>
        <v/>
      </c>
      <c r="BU3">
        <f>BDH("BBG020LD6FJ5 Equity","PX_LAST,PX_VOLUME","1/1/2020","6/10/2026")</f>
        <v/>
      </c>
      <c r="BY3">
        <f>BDH("BBG01YRRVSX3 Equity","PX_LAST,PX_VOLUME","1/1/2020","6/10/2026")</f>
        <v/>
      </c>
      <c r="CC3">
        <f>BDH("BBG01Z0K0GB8 Equity","PX_LAST,PX_VOLUME","1/1/2020","6/10/2026")</f>
        <v/>
      </c>
      <c r="CG3">
        <f>BDH("BBG01YK88LL6 Equity","PX_LAST,PX_VOLUME","1/1/2020","6/10/2026")</f>
        <v/>
      </c>
      <c r="CK3">
        <f>BDH("BBG020LD6C66 Equity","PX_LAST,PX_VOLUME","1/1/2020","6/10/2026")</f>
        <v/>
      </c>
      <c r="CO3">
        <f>BDH("BBG01YK88JR5 Equity","PX_LAST,PX_VOLUME","1/1/2020","6/10/2026")</f>
        <v/>
      </c>
      <c r="CS3">
        <f>BDH("BBG020LDGJP9 Equity","PX_LAST,PX_VOLUME","1/1/2020","6/10/2026")</f>
        <v/>
      </c>
      <c r="CW3">
        <f>BDH("BBG01YK88KC8 Equity","PX_LAST,PX_VOLUME","1/1/2020","6/10/2026")</f>
        <v/>
      </c>
      <c r="DA3">
        <f>BDH("BBG020LDGM09 Equity","PX_LAST,PX_VOLUME","1/1/2020","6/10/2026")</f>
        <v/>
      </c>
      <c r="DE3">
        <f>BDH("BBG01YK8CBH8 Equity","PX_LAST,PX_VOLUME","1/1/2020","6/10/2026")</f>
        <v/>
      </c>
      <c r="DI3">
        <f>BDH("BBG020LDGK94 Equity","PX_LAST,PX_VOLUME","1/1/2020","6/10/2026")</f>
        <v/>
      </c>
      <c r="DM3">
        <f>BDH("BBG01YK88KZ3 Equity","PX_LAST,PX_VOLUME","1/1/2020","6/10/2026")</f>
        <v/>
      </c>
      <c r="DQ3">
        <f>BDH("BBG01Z0K20K1 Equity","PX_LAST,PX_VOLUME","1/1/2020","6/10/2026")</f>
        <v/>
      </c>
      <c r="DU3">
        <f>BDH("BBG01XZL3SG9 Equity","PX_LAST,PX_VOLUME","1/1/2020","6/10/2026")</f>
        <v/>
      </c>
      <c r="DY3">
        <f>BDH("BBG01Z0K5M39 Equity","PX_LAST,PX_VOLUME","1/1/2020","6/10/2026")</f>
        <v/>
      </c>
      <c r="EC3">
        <f>BDH("BBG01XZL6BR1 Equity","PX_LAST,PX_VOLUME","1/1/2020","6/10/2026")</f>
        <v/>
      </c>
      <c r="EG3">
        <f>BDH("BBG01Z0K4ZR5 Equity","PX_LAST,PX_VOLUME","1/1/2020","6/10/2026")</f>
        <v/>
      </c>
      <c r="EK3">
        <f>BDH("BBG01XZL6228 Equity","PX_LAST,PX_VOLUME","1/1/2020","6/10/2026")</f>
        <v/>
      </c>
      <c r="EO3">
        <f>BDH("BBG01Z0JZMY5 Equity","PX_LAST,PX_VOLUME","1/1/2020","6/10/2026")</f>
        <v/>
      </c>
      <c r="ES3">
        <f>BDH("BBG01XZL60V0 Equity","PX_LAST,PX_VOLUME","1/1/2020","6/10/2026")</f>
        <v/>
      </c>
      <c r="EW3">
        <f>BDH("BBG01Z0JZF89 Equity","PX_LAST,PX_VOLUME","1/1/2020","6/10/2026")</f>
        <v/>
      </c>
      <c r="FA3">
        <f>BDH("BBG01XZL3H46 Equity","PX_LAST,PX_VOLUME","1/1/2020","6/10/2026")</f>
        <v/>
      </c>
      <c r="FE3">
        <f>BDH("BBG01Z0K5G14 Equity","PX_LAST,PX_VOLUME","1/1/2020","6/10/2026")</f>
        <v/>
      </c>
      <c r="FI3">
        <f>BDH("BBG01XZL6790 Equity","PX_LAST,PX_VOLUME","1/1/2020","6/10/2026")</f>
        <v/>
      </c>
      <c r="FM3">
        <f>BDH("BBG01Z0K5DT1 Equity","PX_LAST,PX_VOLUME","1/1/2020","6/10/2026")</f>
        <v/>
      </c>
      <c r="FQ3">
        <f>BDH("BBG01XZL0NY3 Equity","PX_LAST,PX_VOLUME","1/1/2020","6/10/2026")</f>
        <v/>
      </c>
      <c r="FU3">
        <f>BDH("BBG01Z0K2156 Equity","PX_LAST,PX_VOLUME","1/1/2020","6/10/2026")</f>
        <v/>
      </c>
      <c r="FY3">
        <f>BDH("BBG01XZL3T22 Equity","PX_LAST,PX_VOLUME","1/1/2020","6/10/2026")</f>
        <v/>
      </c>
      <c r="GC3">
        <f>BDH("BBG01Z0K19R6 Equity","PX_LAST,PX_VOLUME","1/1/2020","6/10/2026")</f>
        <v/>
      </c>
      <c r="GG3">
        <f>BDH("BBG01XZL0NB8 Equity","PX_LAST,PX_VOLUME","1/1/2020","6/10/2026")</f>
        <v/>
      </c>
      <c r="GK3">
        <f>BDH("BBG01Z0JZD11 Equity","PX_LAST,PX_VOLUME","1/1/2020","6/10/2026")</f>
        <v/>
      </c>
      <c r="GO3">
        <f>BDH("BBG01XZL3FX8 Equity","PX_LAST,PX_VOLUME","1/1/2020","6/10/2026")</f>
        <v/>
      </c>
      <c r="GS3">
        <f>BDH("BBG01Z0K1ZY0 Equity","PX_LAST,PX_VOLUME","1/1/2020","6/10/2026")</f>
        <v/>
      </c>
      <c r="GW3">
        <f>BDH("BBG01XZL67X3 Equity","PX_LAST,PX_VOLUME","1/1/2020","6/10/2026")</f>
        <v/>
      </c>
      <c r="HA3">
        <f>BDH("BBG01Z0K5MQ4 Equity","PX_LAST,PX_VOLUME","1/1/2020","6/10/2026")</f>
        <v/>
      </c>
      <c r="HE3">
        <f>BDH("BBG01XZL6CC5 Equity","PX_LAST,PX_VOLUME","1/1/2020","6/10/2026")</f>
        <v/>
      </c>
      <c r="HI3">
        <f>BDH("BBG01Z0JZMB0 Equity","PX_LAST,PX_VOLUME","1/1/2020","6/10/2026")</f>
        <v/>
      </c>
      <c r="HM3">
        <f>BDH("BBG01XZL6077 Equity","PX_LAST,PX_VOLUME","1/1/2020","6/10/2026")</f>
        <v/>
      </c>
      <c r="HQ3">
        <f>BDH("BBG01Z0JZNK8 Equity","PX_LAST,PX_VOLUME","1/1/2020","6/10/2026")</f>
        <v/>
      </c>
      <c r="HU3">
        <f>BDH("BBG01XZL61G5 Equity","PX_LAST,PX_VOLUME","1/1/2020","6/10/2026")</f>
        <v/>
      </c>
      <c r="HY3">
        <f>BDH("BBG01Z0JZFW2 Equity","PX_LAST,PX_VOLUME","1/1/2020","6/10/2026")</f>
        <v/>
      </c>
      <c r="IC3">
        <f>BDH("BBG01XZL63F2 Equity","PX_LAST,PX_VOLUME","1/1/2020","6/10/2026")</f>
        <v/>
      </c>
      <c r="IG3">
        <f>BDH("BBG01Z0K5FF1 Equity","PX_LAST,PX_VOLUME","1/1/2020","6/10/2026")</f>
        <v/>
      </c>
      <c r="IK3">
        <f>BDH("BBG01XZL66P4 Equity","PX_LAST,PX_VOLUME","1/1/2020","6/10/2026")</f>
        <v/>
      </c>
      <c r="IO3">
        <f>BDH("BBG01Z0K0GY3 Equity","PX_LAST,PX_VOLUME","1/1/2020","6/10/2026")</f>
        <v/>
      </c>
      <c r="IS3">
        <f>BDH("BBG01XZL6CZ0 Equity","PX_LAST,PX_VOLUME","1/1/2020","6/10/2026")</f>
        <v/>
      </c>
      <c r="IW3">
        <f>BDH("BBG01Z0JZDN7 Equity","PX_LAST,PX_VOLUME","1/1/2020","6/10/2026")</f>
        <v/>
      </c>
      <c r="JA3">
        <f>BDH("BBG01XZL3GJ2 Equity","PX_LAST,PX_VOLUME","1/1/2020","6/10/2026")</f>
        <v/>
      </c>
      <c r="JE3">
        <f>BDH("BBG01Z0K55Z1 Equity","PX_LAST,PX_VOLUME","1/1/2020","6/10/2026")</f>
        <v/>
      </c>
      <c r="JI3">
        <f>BDH("BBG01XZL6415 Equity","PX_LAST,PX_VOLUME","1/1/2020","6/10/2026")</f>
        <v/>
      </c>
      <c r="JM3">
        <f>BDH("BBG01Z0K50C7 Equity","PX_LAST,PX_VOLUME","1/1/2020","6/10/2026")</f>
        <v/>
      </c>
      <c r="JQ3">
        <f>BDH("BBG01XZL62P3 Equity","PX_LAST,PX_VOLUME","1/1/2020","6/10/2026")</f>
        <v/>
      </c>
      <c r="JU3">
        <f>BDH("BBG01Z0K21S1 Equity","PX_LAST,PX_VOLUME","1/1/2020","6/10/2026")</f>
        <v/>
      </c>
      <c r="JY3">
        <f>BDH("BBG01XZL6B46 Equity","PX_LAST,PX_VOLUME","1/1/2020","6/10/2026")</f>
        <v/>
      </c>
      <c r="KC3">
        <f>BDH("BBG01Z54DSP4 Equity","PX_LAST,PX_VOLUME","1/1/2020","6/10/2026")</f>
        <v/>
      </c>
      <c r="KG3">
        <f>BDH("BBG01Y2B22G3 Equity","PX_LAST,PX_VOLUME","1/1/2020","6/10/2026")</f>
        <v/>
      </c>
      <c r="KK3">
        <f>BDH("BBG01Z5499C5 Equity","PX_LAST,PX_VOLUME","1/1/2020","6/10/2026")</f>
        <v/>
      </c>
      <c r="KO3">
        <f>BDH("BBG01YRRVPW0 Equity","PX_LAST,PX_VOLUME","1/1/2020","6/10/2026")</f>
        <v/>
      </c>
      <c r="KS3">
        <f>BDH("BBG01Z5499Z0 Equity","PX_LAST,PX_VOLUME","1/1/2020","6/10/2026")</f>
        <v/>
      </c>
      <c r="KW3">
        <f>BDH("BBG01YRRVRQ3 Equity","PX_LAST,PX_VOLUME","1/1/2020","6/10/2026")</f>
        <v/>
      </c>
      <c r="LA3">
        <f>BDH("BBG01Z54DS29 Equity","PX_LAST,PX_VOLUME","1/1/2020","6/10/2026")</f>
        <v/>
      </c>
      <c r="LE3">
        <f>BDH("BBG01YRRVS90 Equity","PX_LAST,PX_VOLUME","1/1/2020","6/10/2026")</f>
        <v/>
      </c>
      <c r="LI3">
        <f>BDH("BBG01Z0K5D66 Equity","PX_LAST,PX_VOLUME","1/1/2020","6/10/2026")</f>
        <v/>
      </c>
      <c r="LM3">
        <f>BDH("BBG01YRRVP87 Equity","PX_LAST,PX_VOLUME","1/1/2020","6/10/2026")</f>
        <v/>
      </c>
      <c r="LQ3">
        <f>BDH("BBG020LD4DJ2 Equity","PX_LAST,PX_VOLUME","1/1/2020","6/10/2026")</f>
        <v/>
      </c>
      <c r="LU3">
        <f>BDH("BBG020LDF464 Equity","PX_LAST,PX_VOLUME","1/1/2020","6/10/2026")</f>
        <v/>
      </c>
      <c r="LY3">
        <f>BDH("BBG020LDGW98 Equity","PX_LAST,PX_VOLUME","1/1/2020","6/10/2026")</f>
        <v/>
      </c>
      <c r="MC3">
        <f>BDH("BBG020LDGTG7 Equity","PX_LAST,PX_VOLUME","1/1/2020","6/10/2026")</f>
        <v/>
      </c>
      <c r="MG3">
        <f>BDH("BBG01ZSS5CL4 Equity","PX_LAST,PX_VOLUME","1/1/2020","6/10/2026")</f>
        <v/>
      </c>
      <c r="MK3">
        <f>BDH("BBG020LDGVP2 Equity","PX_LAST,PX_VOLUME","1/1/2020","6/10/2026")</f>
        <v/>
      </c>
      <c r="MO3">
        <f>BDH("BBG020LDGV27 Equity","PX_LAST,PX_VOLUME","1/1/2020","6/10/2026")</f>
        <v/>
      </c>
      <c r="MS3">
        <f>BDH("BBG020LD4F43 Equity","PX_LAST,PX_VOLUME","1/1/2020","6/10/2026")</f>
        <v/>
      </c>
      <c r="MW3">
        <f>BDH("BBG01ZN37F26 Equity","PX_LAST,PX_VOLUME","1/1/2020","6/10/2026")</f>
        <v/>
      </c>
      <c r="NA3">
        <f>BDH("BBG01ZN37CV1 Equity","PX_LAST,PX_VOLUME","1/1/2020","6/10/2026")</f>
        <v/>
      </c>
      <c r="NE3">
        <f>BDH("BBG01ZN37920 Equity","PX_LAST,PX_VOLUME","1/1/2020","6/10/2026")</f>
        <v/>
      </c>
      <c r="NI3">
        <f>BDH("BBG01ZN3HD39 Equity","PX_LAST,PX_VOLUME","1/1/2020","6/10/2026")</f>
        <v/>
      </c>
      <c r="NM3">
        <f>BDH("BBG01ZN37LM1 Equity","PX_LAST,PX_VOLUME","1/1/2020","6/10/2026")</f>
        <v/>
      </c>
      <c r="NQ3">
        <f>BDH("BBG01ZN37JD6 Equity","PX_LAST,PX_VOLUME","1/1/2020","6/10/2026")</f>
        <v/>
      </c>
      <c r="NU3">
        <f>BDH("BBG01ZN3J6L2 Equity","PX_LAST,PX_VOLUME","1/1/2020","6/10/2026")</f>
        <v/>
      </c>
      <c r="NY3">
        <f>BDH("BBG01ZN37FP1 Equity","PX_LAST,PX_VOLUME","1/1/2020","6/10/2026")</f>
        <v/>
      </c>
      <c r="OC3">
        <f>BDH("BBG01ZN37DG6 Equity","PX_LAST,PX_VOLUME","1/1/2020","6/10/2026")</f>
        <v/>
      </c>
      <c r="OG3">
        <f>BDH("BBG01ZN37MV9 Equity","PX_LAST,PX_VOLUME","1/1/2020","6/10/2026")</f>
        <v/>
      </c>
      <c r="OK3">
        <f>BDH("BBG01ZN37L05 Equity","PX_LAST,PX_VOLUME","1/1/2020","6/10/2026")</f>
        <v/>
      </c>
      <c r="OO3">
        <f>BDH("BBG01ZN3HCH6 Equity","PX_LAST,PX_VOLUME","1/1/2020","6/10/2026")</f>
        <v/>
      </c>
      <c r="OS3">
        <f>BDH("BBG01ZN379P5 Equity","PX_LAST,PX_VOLUME","1/1/2020","6/10/2026")</f>
        <v/>
      </c>
      <c r="OW3">
        <f>BDH("BBG01ZN37H59 Equity","PX_LAST,PX_VOLUME","1/1/2020","6/10/2026")</f>
        <v/>
      </c>
      <c r="PA3">
        <f>BDH("BBG01ZN37M76 Equity","PX_LAST,PX_VOLUME","1/1/2020","6/10/2026")</f>
        <v/>
      </c>
      <c r="PE3">
        <f>BDH("BBG01ZN37K07 Equity","PX_LAST,PX_VOLUME","1/1/2020","6/10/2026")</f>
        <v/>
      </c>
      <c r="PI3">
        <f>BDH("BBG01ZN3HSK7 Equity","PX_LAST,PX_VOLUME","1/1/2020","6/10/2026")</f>
        <v/>
      </c>
      <c r="PM3">
        <f>BDH("BBG01ZN37HS4 Equity","PX_LAST,PX_VOLUME","1/1/2020","6/10/2026")</f>
        <v/>
      </c>
      <c r="PQ3">
        <f>BDH("BBG01ZN37B98 Equity","PX_LAST,PX_VOLUME","1/1/2020","6/10/2026")</f>
        <v/>
      </c>
      <c r="PU3">
        <f>BDH("BBG01ZN3JHW6 Equity","PX_LAST,PX_VOLUME","1/1/2020","6/10/2026")</f>
        <v/>
      </c>
      <c r="PY3">
        <f>BDH("BBG01ZN37KD3 Equity","PX_LAST,PX_VOLUME","1/1/2020","6/10/2026")</f>
        <v/>
      </c>
      <c r="QC3">
        <f>BDH("BBG01ZSS5D69 Equity","PX_LAST,PX_VOLUME","1/1/2020","6/10/2026")</f>
        <v/>
      </c>
      <c r="QG3">
        <f>BDH("BBG01ZTRXYT8 Equity","PX_LAST,PX_VOLUME","1/1/2020","6/10/2026")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2026-07-18T23:27:06Z</dcterms:created>
  <dcterms:modified xsi:type="dcterms:W3CDTF">2026-07-18T23:27:06Z</dcterms:modified>
</cp:coreProperties>
</file>